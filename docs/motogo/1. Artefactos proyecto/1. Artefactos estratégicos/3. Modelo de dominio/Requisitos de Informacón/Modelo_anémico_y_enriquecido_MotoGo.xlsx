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"/>
    </mc:Choice>
  </mc:AlternateContent>
  <xr:revisionPtr revIDLastSave="11635" documentId="13_ncr:1_{21B9ED60-2C51-4666-ADE3-971729F12D7C}" xr6:coauthVersionLast="47" xr6:coauthVersionMax="47" xr10:uidLastSave="{D9205F92-FF0F-46D6-8CD3-CF6FDD479DCB}"/>
  <bookViews>
    <workbookView xWindow="-120" yWindow="-120" windowWidth="20640" windowHeight="11160" firstSheet="5" activeTab="5" xr2:uid="{36012E7C-B3F4-482B-AC16-7CCB81B9AE88}"/>
  </bookViews>
  <sheets>
    <sheet name="Modelo dominio anémico contexto" sheetId="61" r:id="rId1"/>
    <sheet name="Listado Objetos de Dominio" sheetId="67" r:id="rId2"/>
    <sheet name="Caracterizacion" sheetId="71" r:id="rId3"/>
    <sheet name="Valores" sheetId="69" r:id="rId4"/>
    <sheet name="Categoría Muestreo" sheetId="74" r:id="rId5"/>
    <sheet name="Categoría Caracterización" sheetId="75" r:id="rId6"/>
    <sheet name="Calificación Muestreo" sheetId="112" r:id="rId7"/>
    <sheet name="Calificación Caracterización" sheetId="113" r:id="rId8"/>
    <sheet name="Ciudad Muestreo" sheetId="103" r:id="rId9"/>
    <sheet name="Ciudad Caracterización" sheetId="102" r:id="rId10"/>
    <sheet name="Departamento Muestreo" sheetId="100" r:id="rId11"/>
    <sheet name="Departamento Caracterización " sheetId="101" r:id="rId12"/>
    <sheet name="Detalle Horario Muestreo " sheetId="109" r:id="rId13"/>
    <sheet name="Detalle horari Caracterización" sheetId="108" r:id="rId14"/>
    <sheet name="Dia Muestreo" sheetId="96" r:id="rId15"/>
    <sheet name="Dia Caracterización" sheetId="97" r:id="rId16"/>
    <sheet name="Diagnotico Muestreo " sheetId="127" r:id="rId17"/>
    <sheet name="Diagnostico Caracterización" sheetId="128" r:id="rId18"/>
    <sheet name="Estad servicio Realiz Muestreo " sheetId="118" r:id="rId19"/>
    <sheet name="Estad servicio RealCaracterizac" sheetId="119" r:id="rId20"/>
    <sheet name="Evidencia Fotográfica Muestreo" sheetId="120" r:id="rId21"/>
    <sheet name="Evidencia Foto Caracterizació " sheetId="121" r:id="rId22"/>
    <sheet name="Excepción Horario Muestreo" sheetId="99" r:id="rId23"/>
    <sheet name="Excepción Horar Caracterización" sheetId="98" r:id="rId24"/>
    <sheet name="Franquicia Muestreo" sheetId="122" r:id="rId25"/>
    <sheet name="Franquicia Caracterizació" sheetId="123" r:id="rId26"/>
    <sheet name="Horario Sede Muestreo" sheetId="107" r:id="rId27"/>
    <sheet name="Horario Sede Caracterización" sheetId="106" r:id="rId28"/>
    <sheet name="Imagen Muestreo " sheetId="91" r:id="rId29"/>
    <sheet name="Imagen  Caracterización" sheetId="90" r:id="rId30"/>
    <sheet name="Linea Muestreo" sheetId="72" r:id="rId31"/>
    <sheet name="Linea Caracterización" sheetId="73" r:id="rId32"/>
    <sheet name="Linea Categoría Muestreo" sheetId="95" r:id="rId33"/>
    <sheet name="Linea Categoría Caracterización" sheetId="94" r:id="rId34"/>
    <sheet name="Marca Muestreo" sheetId="70" r:id="rId35"/>
    <sheet name="Marca Caracterización" sheetId="66" r:id="rId36"/>
    <sheet name="Motocicleta Muestreo" sheetId="78" r:id="rId37"/>
    <sheet name="Motocicleta Caracterización" sheetId="126" r:id="rId38"/>
    <sheet name="Rango Calificación Muestreo" sheetId="86" r:id="rId39"/>
    <sheet name="Rango Califi Caracterización" sheetId="87" r:id="rId40"/>
    <sheet name="Rango Cilindraje Muestreo" sheetId="76" r:id="rId41"/>
    <sheet name="Rango Cilindaje Caracterización" sheetId="77" r:id="rId42"/>
    <sheet name="Referecia Muestreo" sheetId="82" r:id="rId43"/>
    <sheet name="Referencia Caracterización" sheetId="83" r:id="rId44"/>
    <sheet name="Representante Sede Muestreo" sheetId="134" r:id="rId45"/>
    <sheet name="Representante Sede Caracterizac" sheetId="135" r:id="rId46"/>
    <sheet name="Sede Muestreo" sheetId="132" r:id="rId47"/>
    <sheet name="Sede Caracterización" sheetId="133" r:id="rId48"/>
    <sheet name="Servicio Muestreo " sheetId="111" r:id="rId49"/>
    <sheet name="Servicio Caracterización" sheetId="110" r:id="rId50"/>
    <sheet name="Servicio Reali Muestreo" sheetId="116" r:id="rId51"/>
    <sheet name="Servicio Reali Caracterizació" sheetId="117" r:id="rId52"/>
    <sheet name="Servicio Sede Muestreo " sheetId="129" r:id="rId53"/>
    <sheet name="Servicio Sede Caracterización" sheetId="130" r:id="rId54"/>
    <sheet name="Trancision Est Serv Real Muestr" sheetId="136" r:id="rId55"/>
    <sheet name="Transición Esta Serv Real Carac" sheetId="137" r:id="rId56"/>
    <sheet name="Tipo Servicio Muestreo" sheetId="92" r:id="rId57"/>
    <sheet name="Tipo Servicio Caracterización" sheetId="93" r:id="rId58"/>
    <sheet name="TipoSede Muestreo" sheetId="124" r:id="rId59"/>
    <sheet name="TipoSede Caracteriz" sheetId="125" r:id="rId60"/>
    <sheet name="Ubicación Muestreo" sheetId="104" r:id="rId61"/>
    <sheet name="Ubicación Caracterización" sheetId="105" r:id="rId62"/>
    <sheet name="Usuario Muestreo" sheetId="84" r:id="rId63"/>
    <sheet name="Usuario Caracterización " sheetId="85" r:id="rId64"/>
    <sheet name="Objeto Dominio N" sheetId="68" r:id="rId65"/>
    <sheet name="modelo-1" sheetId="80" r:id="rId66"/>
    <sheet name="Hoja2" sheetId="81" r:id="rId67"/>
  </sheets>
  <definedNames>
    <definedName name="_xlnm._FilterDatabase" localSheetId="1" hidden="1">'Listado Objetos de Dominio'!$A$2:$B$5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90" l="1"/>
  <c r="A6" i="90"/>
  <c r="D5" i="120"/>
  <c r="D6" i="120"/>
  <c r="D7" i="120"/>
  <c r="D8" i="120"/>
  <c r="D9" i="120"/>
  <c r="D4" i="120"/>
  <c r="B5" i="91"/>
  <c r="D5" i="91" s="1"/>
  <c r="B6" i="91"/>
  <c r="D6" i="91" s="1"/>
  <c r="B7" i="91"/>
  <c r="D7" i="91" s="1"/>
  <c r="B4" i="91"/>
  <c r="D4" i="91" s="1"/>
  <c r="B14" i="94"/>
  <c r="S6" i="94"/>
  <c r="D5" i="95"/>
  <c r="D6" i="95"/>
  <c r="D7" i="95"/>
  <c r="D8" i="95"/>
  <c r="D4" i="95"/>
  <c r="T8" i="133"/>
  <c r="T7" i="110"/>
  <c r="T6" i="110"/>
  <c r="T5" i="110"/>
  <c r="Y4" i="126"/>
  <c r="Y4" i="85"/>
  <c r="Y4" i="135"/>
  <c r="X4" i="128"/>
  <c r="W4" i="128"/>
  <c r="V4" i="128"/>
  <c r="X4" i="121"/>
  <c r="W4" i="121"/>
  <c r="V4" i="121"/>
  <c r="U4" i="121"/>
  <c r="Z4" i="130"/>
  <c r="Y4" i="130"/>
  <c r="X4" i="130"/>
  <c r="W4" i="130"/>
  <c r="V4" i="130"/>
  <c r="U4" i="130"/>
  <c r="W4" i="113"/>
  <c r="V4" i="113"/>
  <c r="A7" i="126"/>
  <c r="X4" i="126"/>
  <c r="W4" i="126"/>
  <c r="V4" i="126"/>
  <c r="U4" i="126"/>
  <c r="C5" i="122"/>
  <c r="C6" i="122"/>
  <c r="C7" i="122"/>
  <c r="C8" i="122"/>
  <c r="C4" i="122"/>
  <c r="A7" i="133"/>
  <c r="X4" i="133"/>
  <c r="W4" i="133"/>
  <c r="V4" i="133"/>
  <c r="W4" i="110"/>
  <c r="V4" i="110"/>
  <c r="A6" i="108"/>
  <c r="X4" i="108"/>
  <c r="W4" i="108"/>
  <c r="V4" i="108"/>
  <c r="A9" i="113"/>
  <c r="Z4" i="106"/>
  <c r="Y4" i="106"/>
  <c r="X4" i="106"/>
  <c r="W4" i="106"/>
  <c r="V4" i="106"/>
  <c r="A9" i="117"/>
  <c r="W4" i="117"/>
  <c r="V4" i="117"/>
  <c r="X4" i="123"/>
  <c r="W4" i="123"/>
  <c r="V4" i="123"/>
  <c r="V4" i="125"/>
  <c r="A10" i="85"/>
  <c r="X4" i="105"/>
  <c r="W4" i="105"/>
  <c r="V4" i="105"/>
  <c r="U4" i="101"/>
  <c r="Z4" i="98"/>
  <c r="Y4" i="98"/>
  <c r="X4" i="98"/>
  <c r="W4" i="98"/>
  <c r="V4" i="98"/>
  <c r="B2" i="98"/>
  <c r="B10" i="93"/>
  <c r="V4" i="93"/>
  <c r="B3" i="137"/>
  <c r="B2" i="137"/>
  <c r="X4" i="90"/>
  <c r="W4" i="90"/>
  <c r="V4" i="90"/>
  <c r="T7" i="90"/>
  <c r="E6" i="86"/>
  <c r="E5" i="86"/>
  <c r="E4" i="86"/>
  <c r="V4" i="83"/>
  <c r="U4" i="75"/>
  <c r="T4" i="94"/>
  <c r="T4" i="66"/>
  <c r="T4" i="73"/>
  <c r="U4" i="73"/>
  <c r="B13" i="121"/>
  <c r="A7" i="90"/>
  <c r="U4" i="93"/>
  <c r="U4" i="87"/>
  <c r="AB4" i="85"/>
  <c r="AA4" i="85"/>
  <c r="Z4" i="85"/>
  <c r="X4" i="85"/>
  <c r="W4" i="85"/>
  <c r="V4" i="85"/>
  <c r="U4" i="85"/>
  <c r="Z4" i="135"/>
  <c r="AB4" i="135"/>
  <c r="AA4" i="135"/>
  <c r="A5" i="135"/>
  <c r="A6" i="135"/>
  <c r="A7" i="135"/>
  <c r="A8" i="135"/>
  <c r="A9" i="135"/>
  <c r="A10" i="135"/>
  <c r="A11" i="135"/>
  <c r="A12" i="135"/>
  <c r="A13" i="135"/>
  <c r="T14" i="135"/>
  <c r="B2" i="135"/>
  <c r="S6" i="75"/>
  <c r="C24" i="66"/>
  <c r="B24" i="66"/>
  <c r="B12" i="137"/>
  <c r="T8" i="137"/>
  <c r="T7" i="137"/>
  <c r="T6" i="137"/>
  <c r="T5" i="137"/>
  <c r="A8" i="137"/>
  <c r="A7" i="137"/>
  <c r="A6" i="137"/>
  <c r="A5" i="137"/>
  <c r="C12" i="137"/>
  <c r="U4" i="137"/>
  <c r="A8" i="133"/>
  <c r="E8" i="132"/>
  <c r="E7" i="132"/>
  <c r="E6" i="132"/>
  <c r="E5" i="132"/>
  <c r="E4" i="132"/>
  <c r="B11" i="123"/>
  <c r="H5" i="104"/>
  <c r="H6" i="104"/>
  <c r="H7" i="104"/>
  <c r="H8" i="104"/>
  <c r="H4" i="104"/>
  <c r="G5" i="104"/>
  <c r="G6" i="104"/>
  <c r="G7" i="104"/>
  <c r="G8" i="104"/>
  <c r="G4" i="104"/>
  <c r="B15" i="133"/>
  <c r="T9" i="133"/>
  <c r="T7" i="133"/>
  <c r="T6" i="133"/>
  <c r="T5" i="133"/>
  <c r="A9" i="133"/>
  <c r="C16" i="133"/>
  <c r="A6" i="133"/>
  <c r="A5" i="133"/>
  <c r="T10" i="135"/>
  <c r="T13" i="135"/>
  <c r="T12" i="135"/>
  <c r="T11" i="135"/>
  <c r="T9" i="135"/>
  <c r="T8" i="135"/>
  <c r="T7" i="135"/>
  <c r="T6" i="135"/>
  <c r="T5" i="135"/>
  <c r="B20" i="135"/>
  <c r="B19" i="135"/>
  <c r="B18" i="135"/>
  <c r="C19" i="135"/>
  <c r="C18" i="135"/>
  <c r="C20" i="135"/>
  <c r="X4" i="135"/>
  <c r="W4" i="135"/>
  <c r="V4" i="135"/>
  <c r="U4" i="135"/>
  <c r="B3" i="135"/>
  <c r="B2" i="133"/>
  <c r="C15" i="133"/>
  <c r="U4" i="133"/>
  <c r="B3" i="133"/>
  <c r="C5" i="124"/>
  <c r="C6" i="124"/>
  <c r="C4" i="124"/>
  <c r="B3" i="125"/>
  <c r="B2" i="125"/>
  <c r="B3" i="85"/>
  <c r="B2" i="85"/>
  <c r="B3" i="105"/>
  <c r="B2" i="105"/>
  <c r="B2" i="93"/>
  <c r="B3" i="93"/>
  <c r="B3" i="117"/>
  <c r="B2" i="117"/>
  <c r="B3" i="110"/>
  <c r="B2" i="110"/>
  <c r="B2" i="77"/>
  <c r="B2" i="87"/>
  <c r="B3" i="87"/>
  <c r="B2" i="126"/>
  <c r="B3" i="126"/>
  <c r="B2" i="83"/>
  <c r="B3" i="83"/>
  <c r="B2" i="94"/>
  <c r="B2" i="73"/>
  <c r="B3" i="90"/>
  <c r="B2" i="90"/>
  <c r="B2" i="106"/>
  <c r="B3" i="106"/>
  <c r="B3" i="121"/>
  <c r="B2" i="121"/>
  <c r="B3" i="98"/>
  <c r="B2" i="119"/>
  <c r="B3" i="119"/>
  <c r="B2" i="130"/>
  <c r="B3" i="130"/>
  <c r="B17" i="130"/>
  <c r="T11" i="130"/>
  <c r="T10" i="130"/>
  <c r="T9" i="130"/>
  <c r="T8" i="130"/>
  <c r="T7" i="130"/>
  <c r="T6" i="130"/>
  <c r="T5" i="130"/>
  <c r="A11" i="130"/>
  <c r="A10" i="130"/>
  <c r="A9" i="130"/>
  <c r="A8" i="130"/>
  <c r="A7" i="130"/>
  <c r="C18" i="130" s="1"/>
  <c r="A6" i="130"/>
  <c r="C17" i="130" s="1"/>
  <c r="A5" i="130"/>
  <c r="B3" i="123"/>
  <c r="B2" i="123"/>
  <c r="B3" i="128"/>
  <c r="B2" i="128"/>
  <c r="B2" i="97"/>
  <c r="B3" i="97"/>
  <c r="B3" i="108"/>
  <c r="B2" i="108"/>
  <c r="B2" i="101"/>
  <c r="B3" i="101"/>
  <c r="B2" i="102"/>
  <c r="B3" i="102"/>
  <c r="B2" i="113"/>
  <c r="B3" i="113"/>
  <c r="T10" i="128"/>
  <c r="T9" i="128"/>
  <c r="T8" i="128"/>
  <c r="T7" i="128"/>
  <c r="T6" i="128"/>
  <c r="T5" i="128"/>
  <c r="A10" i="128"/>
  <c r="A9" i="128"/>
  <c r="A8" i="128"/>
  <c r="A7" i="128"/>
  <c r="A6" i="128"/>
  <c r="A5" i="128"/>
  <c r="U4" i="128"/>
  <c r="B16" i="126"/>
  <c r="B14" i="126"/>
  <c r="T9" i="126"/>
  <c r="T8" i="126"/>
  <c r="T7" i="126"/>
  <c r="T6" i="126"/>
  <c r="T5" i="126"/>
  <c r="A9" i="126"/>
  <c r="A8" i="126"/>
  <c r="C17" i="126" s="1"/>
  <c r="A6" i="126"/>
  <c r="C14" i="126" s="1"/>
  <c r="A5" i="126"/>
  <c r="B11" i="125"/>
  <c r="A6" i="125"/>
  <c r="C11" i="125" s="1"/>
  <c r="A5" i="125"/>
  <c r="T6" i="123"/>
  <c r="T5" i="123"/>
  <c r="A6" i="123"/>
  <c r="C11" i="123" s="1"/>
  <c r="A5" i="123"/>
  <c r="T6" i="125"/>
  <c r="T5" i="125"/>
  <c r="U4" i="125"/>
  <c r="U4" i="123"/>
  <c r="T7" i="121"/>
  <c r="T6" i="121"/>
  <c r="T5" i="121"/>
  <c r="A6" i="121"/>
  <c r="C13" i="121" s="1"/>
  <c r="A7" i="121"/>
  <c r="C14" i="121" s="1"/>
  <c r="A5" i="121"/>
  <c r="B14" i="119"/>
  <c r="T6" i="119"/>
  <c r="T5" i="119"/>
  <c r="A6" i="119"/>
  <c r="C14" i="119" s="1"/>
  <c r="A5" i="119"/>
  <c r="U4" i="119"/>
  <c r="B14" i="117"/>
  <c r="A10" i="117"/>
  <c r="A8" i="117"/>
  <c r="A7" i="117"/>
  <c r="A6" i="117"/>
  <c r="A5" i="117"/>
  <c r="T10" i="117"/>
  <c r="T9" i="117"/>
  <c r="T8" i="117"/>
  <c r="T7" i="117"/>
  <c r="C15" i="117"/>
  <c r="T6" i="117"/>
  <c r="C14" i="117"/>
  <c r="T5" i="117"/>
  <c r="U4" i="117"/>
  <c r="B14" i="113"/>
  <c r="T10" i="113"/>
  <c r="T9" i="113"/>
  <c r="T8" i="113"/>
  <c r="T7" i="113"/>
  <c r="T6" i="113"/>
  <c r="T5" i="113"/>
  <c r="A10" i="113"/>
  <c r="A8" i="113"/>
  <c r="A7" i="113"/>
  <c r="C15" i="113" s="1"/>
  <c r="A6" i="113"/>
  <c r="C14" i="113" s="1"/>
  <c r="A5" i="113"/>
  <c r="U4" i="113"/>
  <c r="B12" i="110"/>
  <c r="A7" i="110"/>
  <c r="A6" i="110"/>
  <c r="A5" i="110"/>
  <c r="C13" i="110"/>
  <c r="C12" i="110"/>
  <c r="U4" i="110"/>
  <c r="B14" i="108"/>
  <c r="T9" i="108"/>
  <c r="T8" i="108"/>
  <c r="T7" i="108"/>
  <c r="T6" i="108"/>
  <c r="T5" i="108"/>
  <c r="A9" i="108"/>
  <c r="C17" i="108" s="1"/>
  <c r="A8" i="108"/>
  <c r="C16" i="108" s="1"/>
  <c r="A7" i="108"/>
  <c r="A5" i="108"/>
  <c r="C15" i="108"/>
  <c r="C14" i="108"/>
  <c r="U4" i="108"/>
  <c r="B13" i="106"/>
  <c r="T9" i="106"/>
  <c r="T8" i="106"/>
  <c r="T7" i="106"/>
  <c r="T6" i="106"/>
  <c r="T5" i="106"/>
  <c r="A9" i="106"/>
  <c r="A8" i="106"/>
  <c r="C15" i="106" s="1"/>
  <c r="A7" i="106"/>
  <c r="C14" i="106" s="1"/>
  <c r="A6" i="106"/>
  <c r="C13" i="106" s="1"/>
  <c r="A5" i="106"/>
  <c r="B20" i="105"/>
  <c r="B17" i="105"/>
  <c r="T10" i="105"/>
  <c r="T9" i="105"/>
  <c r="T8" i="105"/>
  <c r="T7" i="105"/>
  <c r="T6" i="105"/>
  <c r="T5" i="105"/>
  <c r="U4" i="106"/>
  <c r="A10" i="105"/>
  <c r="C22" i="105" s="1"/>
  <c r="A9" i="105"/>
  <c r="C19" i="105" s="1"/>
  <c r="A8" i="105"/>
  <c r="A7" i="105"/>
  <c r="A6" i="105"/>
  <c r="A5" i="105"/>
  <c r="U4" i="105"/>
  <c r="T7" i="102"/>
  <c r="T6" i="102"/>
  <c r="T5" i="102"/>
  <c r="B16" i="102"/>
  <c r="B14" i="102"/>
  <c r="A7" i="102"/>
  <c r="C16" i="102" s="1"/>
  <c r="A6" i="102"/>
  <c r="C14" i="102" s="1"/>
  <c r="A5" i="102"/>
  <c r="U4" i="102"/>
  <c r="B10" i="101"/>
  <c r="T6" i="101"/>
  <c r="T5" i="101"/>
  <c r="A6" i="101"/>
  <c r="C10" i="101" s="1"/>
  <c r="A5" i="101"/>
  <c r="B16" i="98"/>
  <c r="B14" i="98"/>
  <c r="T10" i="98"/>
  <c r="T9" i="98"/>
  <c r="T8" i="98"/>
  <c r="T7" i="98"/>
  <c r="T6" i="98"/>
  <c r="T5" i="98"/>
  <c r="A8" i="98"/>
  <c r="C16" i="98" s="1"/>
  <c r="A10" i="98"/>
  <c r="C17" i="98" s="1"/>
  <c r="A9" i="98"/>
  <c r="C15" i="98" s="1"/>
  <c r="A7" i="98"/>
  <c r="C14" i="98" s="1"/>
  <c r="A6" i="98"/>
  <c r="A5" i="98"/>
  <c r="U4" i="98"/>
  <c r="B10" i="97"/>
  <c r="T6" i="97"/>
  <c r="T5" i="97"/>
  <c r="A6" i="97"/>
  <c r="C10" i="97" s="1"/>
  <c r="A5" i="97"/>
  <c r="U4" i="97"/>
  <c r="T14" i="85"/>
  <c r="T13" i="85"/>
  <c r="T12" i="85"/>
  <c r="A13" i="85"/>
  <c r="A12" i="85"/>
  <c r="S7" i="94"/>
  <c r="S5" i="94"/>
  <c r="B3" i="94"/>
  <c r="B2" i="66"/>
  <c r="A7" i="94"/>
  <c r="A6" i="94"/>
  <c r="D18" i="94"/>
  <c r="C18" i="94"/>
  <c r="B18" i="94"/>
  <c r="D17" i="94"/>
  <c r="C17" i="94"/>
  <c r="B17" i="94"/>
  <c r="A5" i="94"/>
  <c r="U4" i="94"/>
  <c r="K5" i="71"/>
  <c r="M6" i="71"/>
  <c r="L6" i="71"/>
  <c r="K6" i="71"/>
  <c r="L5" i="71"/>
  <c r="M5" i="71"/>
  <c r="D22" i="75"/>
  <c r="C22" i="75"/>
  <c r="B22" i="75"/>
  <c r="D21" i="75"/>
  <c r="B21" i="75"/>
  <c r="C21" i="75"/>
  <c r="B20" i="73"/>
  <c r="D19" i="73"/>
  <c r="C19" i="73"/>
  <c r="B19" i="73"/>
  <c r="D20" i="73"/>
  <c r="C20" i="73"/>
  <c r="B25" i="66"/>
  <c r="D25" i="66"/>
  <c r="C25" i="66"/>
  <c r="D24" i="66"/>
  <c r="T6" i="93"/>
  <c r="T5" i="93"/>
  <c r="A6" i="93"/>
  <c r="C10" i="93" s="1"/>
  <c r="A5" i="93"/>
  <c r="B12" i="90"/>
  <c r="T5" i="90"/>
  <c r="C12" i="90"/>
  <c r="A5" i="90"/>
  <c r="U4" i="90"/>
  <c r="T8" i="87"/>
  <c r="T7" i="87"/>
  <c r="T6" i="87"/>
  <c r="T5" i="87"/>
  <c r="B12" i="87"/>
  <c r="A8" i="87"/>
  <c r="C14" i="87" s="1"/>
  <c r="A7" i="87"/>
  <c r="C13" i="87" s="1"/>
  <c r="A6" i="87"/>
  <c r="C12" i="87" s="1"/>
  <c r="A5" i="87"/>
  <c r="E7" i="86"/>
  <c r="E8" i="86"/>
  <c r="E9" i="86"/>
  <c r="T11" i="85"/>
  <c r="T10" i="85"/>
  <c r="T9" i="85"/>
  <c r="T8" i="85"/>
  <c r="T6" i="85"/>
  <c r="T7" i="85"/>
  <c r="T5" i="85"/>
  <c r="B18" i="85"/>
  <c r="A11" i="85"/>
  <c r="C19" i="85" s="1"/>
  <c r="C18" i="85"/>
  <c r="A9" i="85"/>
  <c r="A8" i="85"/>
  <c r="A7" i="85"/>
  <c r="A6" i="85"/>
  <c r="C20" i="85" s="1"/>
  <c r="A5" i="85"/>
  <c r="B13" i="83"/>
  <c r="T9" i="83"/>
  <c r="T8" i="83"/>
  <c r="T7" i="83"/>
  <c r="T6" i="83"/>
  <c r="T5" i="83"/>
  <c r="A9" i="83"/>
  <c r="A8" i="83"/>
  <c r="A7" i="83"/>
  <c r="C14" i="83" s="1"/>
  <c r="A6" i="83"/>
  <c r="C13" i="83" s="1"/>
  <c r="A5" i="83"/>
  <c r="U4" i="83"/>
  <c r="S8" i="77"/>
  <c r="S7" i="77"/>
  <c r="S6" i="77"/>
  <c r="S5" i="77"/>
  <c r="A8" i="77"/>
  <c r="A7" i="77"/>
  <c r="A6" i="77"/>
  <c r="C13" i="77" s="1"/>
  <c r="A5" i="77"/>
  <c r="A6" i="75"/>
  <c r="C13" i="75" s="1"/>
  <c r="A5" i="75"/>
  <c r="A7" i="73"/>
  <c r="A6" i="73"/>
  <c r="A5" i="73"/>
  <c r="A6" i="66"/>
  <c r="C10" i="66" s="1"/>
  <c r="A5" i="66"/>
  <c r="B3" i="73"/>
  <c r="B13" i="77"/>
  <c r="B13" i="75"/>
  <c r="B15" i="73"/>
  <c r="B14" i="73"/>
  <c r="C16" i="73"/>
  <c r="C14" i="73"/>
  <c r="S6" i="73"/>
  <c r="S7" i="73"/>
  <c r="S5" i="75"/>
  <c r="S6" i="66"/>
  <c r="S5" i="66"/>
  <c r="S5" i="73"/>
  <c r="B3" i="77"/>
  <c r="B2" i="75"/>
  <c r="B3" i="66"/>
  <c r="B3" i="75"/>
  <c r="T4" i="77"/>
  <c r="T4" i="75"/>
  <c r="C15" i="73"/>
  <c r="B3" i="68"/>
  <c r="B2" i="68"/>
  <c r="T4" i="68"/>
  <c r="S4" i="68"/>
  <c r="R4" i="68"/>
  <c r="Q4" i="68"/>
  <c r="C17" i="105" l="1"/>
  <c r="C20" i="105"/>
  <c r="C18" i="105"/>
  <c r="C21" i="105"/>
  <c r="C14" i="94"/>
</calcChain>
</file>

<file path=xl/sharedStrings.xml><?xml version="1.0" encoding="utf-8"?>
<sst xmlns="http://schemas.openxmlformats.org/spreadsheetml/2006/main" count="6647" uniqueCount="2073">
  <si>
    <t>Subdominio/Contexto:</t>
  </si>
  <si>
    <t>Nombre</t>
  </si>
  <si>
    <t>Descripción</t>
  </si>
  <si>
    <t>Muestreo</t>
  </si>
  <si>
    <t>Caracterización</t>
  </si>
  <si>
    <t>Calificación</t>
  </si>
  <si>
    <t>Objeto de dominio que representa la valoración numérica dada a un servicio</t>
  </si>
  <si>
    <t>ver</t>
  </si>
  <si>
    <t>Categoría</t>
  </si>
  <si>
    <t>Objeto de dominio que representa la clasificación por Categoría las motocicletas según su tipo o uso.</t>
  </si>
  <si>
    <t>Ciudad</t>
  </si>
  <si>
    <t>Objeto de dominio que representa la ciudad donde se encuentra ubicada la sede.</t>
  </si>
  <si>
    <t>Departamento</t>
  </si>
  <si>
    <t>Objeto de dominio que representa la división territorial donde se encuentra la ciudad.</t>
  </si>
  <si>
    <t>Detalle Horario</t>
  </si>
  <si>
    <t>Objeto de dominio que representa la información específica de los horarios de atención de la sede.</t>
  </si>
  <si>
    <t>Dia</t>
  </si>
  <si>
    <t>Objeto de dominio que representa cada uno de los días de la semana en que opera una sede.</t>
  </si>
  <si>
    <t>Diagnostico</t>
  </si>
  <si>
    <t>Objeto de dominio que representa la evaluación técnica realizada a una motocicleta por parte de una sede.</t>
  </si>
  <si>
    <t>Franquicia</t>
  </si>
  <si>
    <t>Objeto de dominio que representa el nombre comercial de la franquicia que ofrece servicios para motocicletas.</t>
  </si>
  <si>
    <t>Represéntate sede</t>
  </si>
  <si>
    <t>Objeto de dominio que representa la persona responsable de gestionar una sede específica de una sede.</t>
  </si>
  <si>
    <t>Servicio sede</t>
  </si>
  <si>
    <t>Objeto de dominio que representa la relación entre una sede y los servicios que ofrece.</t>
  </si>
  <si>
    <t>Estado Servicio Realizado</t>
  </si>
  <si>
    <t>Objeto de dominio que representa el estado actual de un servicio en proceso o finalizado.</t>
  </si>
  <si>
    <t>Excepción Horario</t>
  </si>
  <si>
    <t>Objeto de dominio que representa las excepciones o casos especiales en los horarios de atención.</t>
  </si>
  <si>
    <t xml:space="preserve">Evidencia Fotográfica </t>
  </si>
  <si>
    <t>Objeto de dominio que representa las imágenes asociadas a una motocicleta.</t>
  </si>
  <si>
    <t>Horario Sede</t>
  </si>
  <si>
    <t>Objeto de dominio que representa los horarios generales de operación de cada una de las sedes</t>
  </si>
  <si>
    <t>Imagen</t>
  </si>
  <si>
    <t xml:space="preserve">Objeto de dominio que representa los recursos visuales asociados a motocicletas </t>
  </si>
  <si>
    <t>Línea</t>
  </si>
  <si>
    <t>Objeto de dominio que representa la familia o serie específica de motocicletas dentro de una marca.</t>
  </si>
  <si>
    <t>Línea Categoría</t>
  </si>
  <si>
    <t>Objeto de dominio que representa la relación entre una línea de motocicletas y su categoría.</t>
  </si>
  <si>
    <t>Marca</t>
  </si>
  <si>
    <t>Objeto de dominio que representa cada uno de los fabricantes de motocicletas.</t>
  </si>
  <si>
    <t>Referencia</t>
  </si>
  <si>
    <t>Objeto de dominio que representa la versión específica de una motocicleta dentro de una línea</t>
  </si>
  <si>
    <t>Motocicleta</t>
  </si>
  <si>
    <t>Objeto de dominio que representa el vehículo de dos ruedas con sus características específicas.</t>
  </si>
  <si>
    <t>Rango Calificación</t>
  </si>
  <si>
    <t>Objeto de dominio que representa los intervalos de valoración permitidos para las calificaciones</t>
  </si>
  <si>
    <t>Rango Cilindraje</t>
  </si>
  <si>
    <t>Objeto de dominio que representa los rangos de cilindraje de las motos</t>
  </si>
  <si>
    <t>Servicio</t>
  </si>
  <si>
    <t>Objeto de dominio que representa los servicios de mantenimiento o reparación ofrecidos para las motocicletas</t>
  </si>
  <si>
    <t>Servicio Realizado</t>
  </si>
  <si>
    <t>Objeto de dominio que representa un servicio específico completado en una motocicleta.</t>
  </si>
  <si>
    <t>Tipo Servicio</t>
  </si>
  <si>
    <t>Objeto de dominio que representa la clasificación de los diferentes servicios ofrecidos para las motocicletas</t>
  </si>
  <si>
    <t>Ubicación</t>
  </si>
  <si>
    <t>Objeto de dominio que representa las coordenadas geográficas de una sede</t>
  </si>
  <si>
    <t>Usuario</t>
  </si>
  <si>
    <t>Objeto de dominio que representa la persona registrada que puede buscar o calificar servicios</t>
  </si>
  <si>
    <t>Tipo Sede</t>
  </si>
  <si>
    <t xml:space="preserve">Objeto de dominio que representa la clasificación de la sede según los servicios especializados que ofrece </t>
  </si>
  <si>
    <t>Sede</t>
  </si>
  <si>
    <t>Objeto de dominio que representa una sucursal de atención de una franquicia, que puede ofrecer servicios</t>
  </si>
  <si>
    <t>Transición Estado Servicio Realizado</t>
  </si>
  <si>
    <t xml:space="preserve">Objeto de dominio que gestiona  las transiciones de estados de un servicio </t>
  </si>
  <si>
    <t>Tipo de Dato</t>
  </si>
  <si>
    <t>Longitud</t>
  </si>
  <si>
    <t>Precisión</t>
  </si>
  <si>
    <t>Rango</t>
  </si>
  <si>
    <t>Formato</t>
  </si>
  <si>
    <t>Valor por defecto</t>
  </si>
  <si>
    <t>Regla especial</t>
  </si>
  <si>
    <t>SI y No</t>
  </si>
  <si>
    <t>UUID</t>
  </si>
  <si>
    <t>Alfanumérico</t>
  </si>
  <si>
    <t>DD/MM/YYYY</t>
  </si>
  <si>
    <t>31/12/2028</t>
  </si>
  <si>
    <t>SI</t>
  </si>
  <si>
    <t>Numérico entero</t>
  </si>
  <si>
    <t>DD-MM-YYYY</t>
  </si>
  <si>
    <t>NO</t>
  </si>
  <si>
    <t>Valor</t>
  </si>
  <si>
    <t>Numérico decimal</t>
  </si>
  <si>
    <t>YYYY-MM-DD (ISO 8601)</t>
  </si>
  <si>
    <t>Texto</t>
  </si>
  <si>
    <t>DD/MM/YYYY HH:mm:ss</t>
  </si>
  <si>
    <t>Carácter</t>
  </si>
  <si>
    <t>HH:mm:ss (24 horas)</t>
  </si>
  <si>
    <t>Booleano</t>
  </si>
  <si>
    <t>HH:mm:ss.SSS (con milisegundos)</t>
  </si>
  <si>
    <t>Fecha</t>
  </si>
  <si>
    <t>hh:mm:ss a (12 horas con AM/PM)</t>
  </si>
  <si>
    <t>UUID 9</t>
  </si>
  <si>
    <t>Hora</t>
  </si>
  <si>
    <t>UUID 10</t>
  </si>
  <si>
    <t>Fecha/Hora</t>
  </si>
  <si>
    <t>UPPERCASE</t>
  </si>
  <si>
    <t>UUID 11</t>
  </si>
  <si>
    <t>Array</t>
  </si>
  <si>
    <t>lowercase</t>
  </si>
  <si>
    <t>UUID 12</t>
  </si>
  <si>
    <t>Objeto</t>
  </si>
  <si>
    <t>Título Case</t>
  </si>
  <si>
    <t>UUID 13</t>
  </si>
  <si>
    <t>camelCase</t>
  </si>
  <si>
    <t>UUID 14</t>
  </si>
  <si>
    <t>calificacion</t>
  </si>
  <si>
    <t>snake_case</t>
  </si>
  <si>
    <t>UUID 15</t>
  </si>
  <si>
    <t>categoria</t>
  </si>
  <si>
    <t>kebab-case</t>
  </si>
  <si>
    <t>UUID 16</t>
  </si>
  <si>
    <t>ciudad</t>
  </si>
  <si>
    <t>PascalCase</t>
  </si>
  <si>
    <t>UUID 17</t>
  </si>
  <si>
    <t>departamento</t>
  </si>
  <si>
    <t>Teléfono (+XX XXX XXX XXXX)</t>
  </si>
  <si>
    <t>UUID 18</t>
  </si>
  <si>
    <t>detalleHorario</t>
  </si>
  <si>
    <t>Email (usuario@dominio.com)</t>
  </si>
  <si>
    <t>UUID 19</t>
  </si>
  <si>
    <t>dia</t>
  </si>
  <si>
    <t>URL (https://www.dominio.com)</t>
  </si>
  <si>
    <t>UUID 20</t>
  </si>
  <si>
    <t>diagnostico</t>
  </si>
  <si>
    <t>UUID 21</t>
  </si>
  <si>
    <t>franquicia</t>
  </si>
  <si>
    <t>UUID 22</t>
  </si>
  <si>
    <t>sedeServicio</t>
  </si>
  <si>
    <t>UUID 23</t>
  </si>
  <si>
    <t>estadoServicioRealizado</t>
  </si>
  <si>
    <t>UUID 24</t>
  </si>
  <si>
    <t>excepcion</t>
  </si>
  <si>
    <t>UUID 25</t>
  </si>
  <si>
    <t>evidencia fotográfica</t>
  </si>
  <si>
    <t>UUID 26</t>
  </si>
  <si>
    <t>horarioSede</t>
  </si>
  <si>
    <t>UUID 27</t>
  </si>
  <si>
    <t>imagen</t>
  </si>
  <si>
    <t>UUID 28</t>
  </si>
  <si>
    <t>linea</t>
  </si>
  <si>
    <t>UUID 29</t>
  </si>
  <si>
    <t>lineaCategoria</t>
  </si>
  <si>
    <t>UUID 30</t>
  </si>
  <si>
    <t>marca</t>
  </si>
  <si>
    <t>UUID 31</t>
  </si>
  <si>
    <t>referencia</t>
  </si>
  <si>
    <t>UUID 32</t>
  </si>
  <si>
    <t>motocicleta</t>
  </si>
  <si>
    <t>UUID 33</t>
  </si>
  <si>
    <t>rangoCalificacion</t>
  </si>
  <si>
    <t>UUID 34</t>
  </si>
  <si>
    <t>rangoCilindraje</t>
  </si>
  <si>
    <t>UUID 35</t>
  </si>
  <si>
    <t>servicio</t>
  </si>
  <si>
    <t>UUID 36</t>
  </si>
  <si>
    <t>servicioRealizado</t>
  </si>
  <si>
    <t>UUID 37</t>
  </si>
  <si>
    <t>tipoServicio</t>
  </si>
  <si>
    <t>UUID 38</t>
  </si>
  <si>
    <t>ubicacion</t>
  </si>
  <si>
    <t>UUID 39</t>
  </si>
  <si>
    <t>usuario</t>
  </si>
  <si>
    <t>UUID 40</t>
  </si>
  <si>
    <t>tipoSede</t>
  </si>
  <si>
    <t>UUID 41</t>
  </si>
  <si>
    <t>representanteSede</t>
  </si>
  <si>
    <t>UUID 42</t>
  </si>
  <si>
    <t>sede</t>
  </si>
  <si>
    <t>UUID 43</t>
  </si>
  <si>
    <t>UUID 44</t>
  </si>
  <si>
    <t>UUID 45</t>
  </si>
  <si>
    <t>UUID 46</t>
  </si>
  <si>
    <t>UUID 47</t>
  </si>
  <si>
    <t>UUID 48</t>
  </si>
  <si>
    <t>UUID 49</t>
  </si>
  <si>
    <t>UUID 50</t>
  </si>
  <si>
    <t>UUID 51</t>
  </si>
  <si>
    <t>UUID 52</t>
  </si>
  <si>
    <t>UUID 53</t>
  </si>
  <si>
    <t>UUID 54</t>
  </si>
  <si>
    <t>UUID 55</t>
  </si>
  <si>
    <t>UUID 56</t>
  </si>
  <si>
    <t xml:space="preserve"> 62bd7e62-34d6-4a87-ac4b-8adb8ba57975</t>
  </si>
  <si>
    <t>UUID 57</t>
  </si>
  <si>
    <t xml:space="preserve"> 8b8771a3-cab6-4f85-b668-300b9ed7f4ab</t>
  </si>
  <si>
    <t>UUID 58</t>
  </si>
  <si>
    <t xml:space="preserve"> c8220d31-ac8c-4518-b08e-1f3e70b58df6</t>
  </si>
  <si>
    <t>UUID 59</t>
  </si>
  <si>
    <t xml:space="preserve"> 719675b7-fe25-4f4f-a0f3-b22aaaf34a3b</t>
  </si>
  <si>
    <t>UUID 60</t>
  </si>
  <si>
    <t xml:space="preserve"> a44d2ef9-937d-4be6-ac09-212cd25ab45e</t>
  </si>
  <si>
    <t>UUID 61</t>
  </si>
  <si>
    <t>UUID 62</t>
  </si>
  <si>
    <t>UUID 63</t>
  </si>
  <si>
    <t>UUID 64</t>
  </si>
  <si>
    <t>UUID 65</t>
  </si>
  <si>
    <t>UUID 66</t>
  </si>
  <si>
    <t>UUID 67</t>
  </si>
  <si>
    <t>UUID 68</t>
  </si>
  <si>
    <t>UUID 69</t>
  </si>
  <si>
    <t>UUID 70</t>
  </si>
  <si>
    <t>UUID 71</t>
  </si>
  <si>
    <t>UUID 72</t>
  </si>
  <si>
    <t>UUID 73</t>
  </si>
  <si>
    <t>UUID 74</t>
  </si>
  <si>
    <t>UUID 75</t>
  </si>
  <si>
    <t>UUID 76</t>
  </si>
  <si>
    <t>UUID 77</t>
  </si>
  <si>
    <t>UUID 78</t>
  </si>
  <si>
    <t>UUID 79</t>
  </si>
  <si>
    <t>UUID 80</t>
  </si>
  <si>
    <t>UUID 81</t>
  </si>
  <si>
    <t>UUID 82</t>
  </si>
  <si>
    <t>UUID 83</t>
  </si>
  <si>
    <t>UUID 84</t>
  </si>
  <si>
    <t>UUID 85</t>
  </si>
  <si>
    <t>UUID 86</t>
  </si>
  <si>
    <t>UUID 87</t>
  </si>
  <si>
    <t>UUID 88</t>
  </si>
  <si>
    <t>UUID 89</t>
  </si>
  <si>
    <t>UUID 90</t>
  </si>
  <si>
    <t>UUID 91</t>
  </si>
  <si>
    <t>UUID 92</t>
  </si>
  <si>
    <t>UUID 93</t>
  </si>
  <si>
    <t>UUID 94</t>
  </si>
  <si>
    <t>UUID 95</t>
  </si>
  <si>
    <t>UUID 96</t>
  </si>
  <si>
    <t>UUID 97</t>
  </si>
  <si>
    <t>UUID 98</t>
  </si>
  <si>
    <t>UUID 99</t>
  </si>
  <si>
    <t>UUID 100</t>
  </si>
  <si>
    <t>UUID 101</t>
  </si>
  <si>
    <t>UUID 102</t>
  </si>
  <si>
    <t>UUID 103</t>
  </si>
  <si>
    <t>UUID 104</t>
  </si>
  <si>
    <t>UUID 105</t>
  </si>
  <si>
    <t>UUID 106</t>
  </si>
  <si>
    <t xml:space="preserve"> 7946c16d-8570-45c7-8000-157828a7b089</t>
  </si>
  <si>
    <t>UUID 107</t>
  </si>
  <si>
    <t xml:space="preserve"> d92e7939-dfea-490a-848e-a8dd596a5997</t>
  </si>
  <si>
    <t>UUID 108</t>
  </si>
  <si>
    <t xml:space="preserve"> f6383318-5077-4e22-a6d5-3a21bea35515</t>
  </si>
  <si>
    <t>UUID 109</t>
  </si>
  <si>
    <t xml:space="preserve"> 98414d62-96f5-4826-bfa1-b0a883c86a29</t>
  </si>
  <si>
    <t>UUID 110</t>
  </si>
  <si>
    <t xml:space="preserve"> a8cf92cc-db7f-4b68-b66a-5bb2815b7e9a</t>
  </si>
  <si>
    <t>UUID 111</t>
  </si>
  <si>
    <t xml:space="preserve"> 69c41d01-0e24-4186-a8e0-eb0329522dac</t>
  </si>
  <si>
    <t>UUID 112</t>
  </si>
  <si>
    <t xml:space="preserve"> d52ad4b6-1c9b-4ab5-b6fd-72a444bf1578</t>
  </si>
  <si>
    <t>UUID 113</t>
  </si>
  <si>
    <t xml:space="preserve"> e4ec760c-2a0d-406b-8dae-5710bed70b0f</t>
  </si>
  <si>
    <t>UUID 114</t>
  </si>
  <si>
    <t xml:space="preserve"> a4d59da0-cbf2-484a-8424-f228b9f028ad</t>
  </si>
  <si>
    <t>UUID 115</t>
  </si>
  <si>
    <t xml:space="preserve"> 25047435-2dbd-4f3e-80c8-d5910a1d6f28</t>
  </si>
  <si>
    <t>UUID 116</t>
  </si>
  <si>
    <t xml:space="preserve"> d876e9f8-f80a-44ab-943a-463e036f8686</t>
  </si>
  <si>
    <t>UUID 117</t>
  </si>
  <si>
    <t xml:space="preserve"> 61fa4cf1-d604-4872-b0a3-eba819e3a2d9</t>
  </si>
  <si>
    <t>UUID 118</t>
  </si>
  <si>
    <t xml:space="preserve"> 3d6cefcb-74cd-46c5-9853-4617845c35bb</t>
  </si>
  <si>
    <t>UUID 119</t>
  </si>
  <si>
    <t xml:space="preserve"> 5290f01b-cfcb-4db2-8750-1f1a0064defb</t>
  </si>
  <si>
    <t>UUID 120</t>
  </si>
  <si>
    <t xml:space="preserve"> 61f99aad-8e7e-47d7-8434-7f72f6101b0c</t>
  </si>
  <si>
    <t>UUID 121</t>
  </si>
  <si>
    <t>UUID 122</t>
  </si>
  <si>
    <t xml:space="preserve"> 25047435-2dbd-4f3e-80c8-d5910a1d6f29</t>
  </si>
  <si>
    <t>UUID 123</t>
  </si>
  <si>
    <t xml:space="preserve"> d876e9f8-f80a-44ab-943a-463e036f8687</t>
  </si>
  <si>
    <t>UUID 124</t>
  </si>
  <si>
    <t xml:space="preserve"> 61fa4cf1-d604-4872-b0a3-eba819e3a2d10</t>
  </si>
  <si>
    <t>UUID 125</t>
  </si>
  <si>
    <t>UUID 126</t>
  </si>
  <si>
    <t>UUID 127</t>
  </si>
  <si>
    <t>UUID 128</t>
  </si>
  <si>
    <t>UUID 129</t>
  </si>
  <si>
    <t xml:space="preserve"> 25047435-2dbd-4f3e-80c8-d5910a1d6f30</t>
  </si>
  <si>
    <t>UUID 130</t>
  </si>
  <si>
    <t xml:space="preserve"> d876e9f8-f80a-44ab-943a-463e036f8688</t>
  </si>
  <si>
    <t>UUID 131</t>
  </si>
  <si>
    <t xml:space="preserve"> 61fa4cf1-d604-4872-b0a3-eba819e3a2d11</t>
  </si>
  <si>
    <t>UUID 132</t>
  </si>
  <si>
    <t>UUID 133</t>
  </si>
  <si>
    <t>UUID 134</t>
  </si>
  <si>
    <t>UUID 135</t>
  </si>
  <si>
    <t>UUID 136</t>
  </si>
  <si>
    <t xml:space="preserve"> 25047435-2dbd-4f3e-80c8-d5910a1d6f31</t>
  </si>
  <si>
    <t>UUID 137</t>
  </si>
  <si>
    <t xml:space="preserve"> d876e9f8-f80a-44ab-943a-463e036f8689</t>
  </si>
  <si>
    <t>UUID 138</t>
  </si>
  <si>
    <t xml:space="preserve"> 61fa4cf1-d604-4872-b0a3-eba819e3a2d12</t>
  </si>
  <si>
    <t>UUID 139</t>
  </si>
  <si>
    <t>UUID 140</t>
  </si>
  <si>
    <t>UUID 141</t>
  </si>
  <si>
    <t>UUID 142</t>
  </si>
  <si>
    <t>UUID 143</t>
  </si>
  <si>
    <t xml:space="preserve"> 25047435-2dbd-4f3e-80c8-d5910a1d6f32</t>
  </si>
  <si>
    <t>UUID 144</t>
  </si>
  <si>
    <t xml:space="preserve"> d876e9f8-f80a-44ab-943a-463e036f8690</t>
  </si>
  <si>
    <t>UUID 145</t>
  </si>
  <si>
    <t xml:space="preserve"> 61fa4cf1-d604-4872-b0a3-eba819e3a2d13</t>
  </si>
  <si>
    <t>UUID 146</t>
  </si>
  <si>
    <t>UUID 147</t>
  </si>
  <si>
    <t>UUID 148</t>
  </si>
  <si>
    <t>UUID 149</t>
  </si>
  <si>
    <t>UUID 150</t>
  </si>
  <si>
    <t>UUID 151</t>
  </si>
  <si>
    <t>UUID 152</t>
  </si>
  <si>
    <t>UUID 153</t>
  </si>
  <si>
    <t>UUID 154</t>
  </si>
  <si>
    <t>UUID 155</t>
  </si>
  <si>
    <t>UUID 156</t>
  </si>
  <si>
    <t>UUID 157</t>
  </si>
  <si>
    <t>UUID 158</t>
  </si>
  <si>
    <t>UUID 159</t>
  </si>
  <si>
    <t>UUID 160</t>
  </si>
  <si>
    <t>UUID 161</t>
  </si>
  <si>
    <t>UUID 162</t>
  </si>
  <si>
    <t>UUID 163</t>
  </si>
  <si>
    <t>UUID 164</t>
  </si>
  <si>
    <t>UUID 165</t>
  </si>
  <si>
    <t>UUID 166</t>
  </si>
  <si>
    <t>UUID 167</t>
  </si>
  <si>
    <t>UUID 168</t>
  </si>
  <si>
    <t>UUID 169</t>
  </si>
  <si>
    <t>UUID 170</t>
  </si>
  <si>
    <t>UUID 171</t>
  </si>
  <si>
    <t>UUID 172</t>
  </si>
  <si>
    <t>UUID 173</t>
  </si>
  <si>
    <t>UUID 174</t>
  </si>
  <si>
    <t>UUID 175</t>
  </si>
  <si>
    <t>UUID 176</t>
  </si>
  <si>
    <t>UUID 177</t>
  </si>
  <si>
    <t>UUID 178</t>
  </si>
  <si>
    <t>UUID 179</t>
  </si>
  <si>
    <t>UUID 180</t>
  </si>
  <si>
    <t>UUID 181</t>
  </si>
  <si>
    <t>UUID 182</t>
  </si>
  <si>
    <t>UUID 183</t>
  </si>
  <si>
    <t>UUID 184</t>
  </si>
  <si>
    <t>UUID 185</t>
  </si>
  <si>
    <t>UUID 186</t>
  </si>
  <si>
    <t>UUID 187</t>
  </si>
  <si>
    <t>UUID 188</t>
  </si>
  <si>
    <t>UUID 189</t>
  </si>
  <si>
    <t>UUID 190</t>
  </si>
  <si>
    <t>UUID 191</t>
  </si>
  <si>
    <t>UUID 192</t>
  </si>
  <si>
    <t>UUID 193</t>
  </si>
  <si>
    <t>UUID 194</t>
  </si>
  <si>
    <t>UUID 195</t>
  </si>
  <si>
    <t>UUID 196</t>
  </si>
  <si>
    <t>UUID 197</t>
  </si>
  <si>
    <t>UUID 198</t>
  </si>
  <si>
    <t>UUID 199</t>
  </si>
  <si>
    <t>UUID 200</t>
  </si>
  <si>
    <t>Tipo Objeto Dominio</t>
  </si>
  <si>
    <t>Tipo</t>
  </si>
  <si>
    <t>Propio</t>
  </si>
  <si>
    <t>Cuando el objeto de dominio es parte del contexto actual</t>
  </si>
  <si>
    <t>Referenciado</t>
  </si>
  <si>
    <t>Cuando el objeto de dominio es parte de otro contexto</t>
  </si>
  <si>
    <t xml:space="preserve"> Corresponde al identificador único que va a permitir diferenciar cada una de las categorías de motocicletas en el sistema</t>
  </si>
  <si>
    <t xml:space="preserve"> Corresponde al atributo que clasifica una motocicleta por categoría  según sus características y uso principal</t>
  </si>
  <si>
    <t>El nombre de la categoría no debe de tener duplicidad en el registro de categorías de motocicletas</t>
  </si>
  <si>
    <t>id</t>
  </si>
  <si>
    <t>nombre</t>
  </si>
  <si>
    <t>Combinación única</t>
  </si>
  <si>
    <t xml:space="preserve"> 51f36e6d-904d-49d4-958b-074d134a40c5</t>
  </si>
  <si>
    <t>Automáticas y Semiautomáticas</t>
  </si>
  <si>
    <t xml:space="preserve"> 3c5fb5ab-c8a1-40ac-bfd2-c34dc5dadd62</t>
  </si>
  <si>
    <t>Urbana</t>
  </si>
  <si>
    <t xml:space="preserve"> dd2cf3d4-9df7-4656-ba06-42c052cceaef</t>
  </si>
  <si>
    <t>Todoterreno</t>
  </si>
  <si>
    <t xml:space="preserve"> 7c81b48c-5547-4ada-95b9-5b829b7cadf1</t>
  </si>
  <si>
    <t>Deportiva</t>
  </si>
  <si>
    <t xml:space="preserve"> 86ed717d-8489-4860-80c7-e4f9f24c1e08</t>
  </si>
  <si>
    <t>SuperDeportiva</t>
  </si>
  <si>
    <t xml:space="preserve"> 29618b5d-4716-4c09-b8e9-cd1f196e8ec4</t>
  </si>
  <si>
    <t>Adventure</t>
  </si>
  <si>
    <t xml:space="preserve"> b08af03b-7556-45a6-9caa-eae411cd0702</t>
  </si>
  <si>
    <t>Sport Heritage</t>
  </si>
  <si>
    <t xml:space="preserve"> 375e0b5f-951a-4037-9eda-c9de98dc84da</t>
  </si>
  <si>
    <t>Motocross y Enduro</t>
  </si>
  <si>
    <t xml:space="preserve"> da9dc0cf-01fb-4396-ad33-c961ecddf7a4</t>
  </si>
  <si>
    <t>Electrica</t>
  </si>
  <si>
    <t>&lt;-Volver al inicio</t>
  </si>
  <si>
    <t>Objeto de Dominio:</t>
  </si>
  <si>
    <t>Descripción:</t>
  </si>
  <si>
    <t>Atributo</t>
  </si>
  <si>
    <t>Longitud mínima</t>
  </si>
  <si>
    <t>Longitud máxima</t>
  </si>
  <si>
    <t>Rango Inicial</t>
  </si>
  <si>
    <t>Rango Final</t>
  </si>
  <si>
    <t>Descripción Formato</t>
  </si>
  <si>
    <t>¿Quitar espacios en blanco al inicio?</t>
  </si>
  <si>
    <t>¿Quitar espacios en blanco al final?</t>
  </si>
  <si>
    <t>¿Auto generado?</t>
  </si>
  <si>
    <t>¿Calculado?</t>
  </si>
  <si>
    <t>¿Obligatorio?</t>
  </si>
  <si>
    <t>¿Sensible?</t>
  </si>
  <si>
    <t>¿Identifica al registro?</t>
  </si>
  <si>
    <t>xxxxxxxx-xxxx-xxxx-xxxx-xxxxxxxxxxxx</t>
  </si>
  <si>
    <t>Donde cada x es cualquier carácter  que puede ir de( 0-9, a-f)</t>
  </si>
  <si>
    <t>Filtro/Listar/No Mostrar</t>
  </si>
  <si>
    <t>Requerido / No Modificable</t>
  </si>
  <si>
    <t>x</t>
  </si>
  <si>
    <t>Donde  x  puede ser una cadena que incluye caracteres alfanuméricos, espacios ( ), letras mayúsculas (A-Z), minúsculas (a-z) y tildes (á, é, í, ó, ú)</t>
  </si>
  <si>
    <t>Filtro/Listar/Mostrar[BusquedaGeneral{SI}/Ordenador{No}/Reordenamiento{NO}]</t>
  </si>
  <si>
    <t>Requerido / Modificable</t>
  </si>
  <si>
    <t>Combinaciones únicas</t>
  </si>
  <si>
    <t>Nombre combinación</t>
  </si>
  <si>
    <t>Atributos</t>
  </si>
  <si>
    <t>Categoría única</t>
  </si>
  <si>
    <t xml:space="preserve"> </t>
  </si>
  <si>
    <t>Responsabilidad</t>
  </si>
  <si>
    <t>Entradas</t>
  </si>
  <si>
    <t>Salida</t>
  </si>
  <si>
    <t>Políticas (Reglas de Negocio)</t>
  </si>
  <si>
    <t>Parámetro</t>
  </si>
  <si>
    <t>Tipo de dato</t>
  </si>
  <si>
    <t>Política</t>
  </si>
  <si>
    <t>Detalle</t>
  </si>
  <si>
    <t>¿Qué hago?</t>
  </si>
  <si>
    <t>Consultar la Información de la Categoría</t>
  </si>
  <si>
    <t>Consultar la Información de una Categoría Motocicleta</t>
  </si>
  <si>
    <t>Filtro</t>
  </si>
  <si>
    <t>categoría</t>
  </si>
  <si>
    <t>Contiene información de todas las categorías que se enviarán como base para llevar a cabo el filtro de consulta</t>
  </si>
  <si>
    <t>Lista&lt;Categoría&gt;</t>
  </si>
  <si>
    <t>Contiene información de las categorías que cumplen con los criterios de búsqueda</t>
  </si>
  <si>
    <t>Categoría  POL-0002</t>
  </si>
  <si>
    <t>Asegurar que los datos que fueron enviados como filtro para llevar a cabo la acción sean válidos a nivel de tipo de dato, longitud, obligatoriedad, formato y rango.</t>
  </si>
  <si>
    <t>Generar una excepción indicándole al usuario que hay problemas con los datos ingresados y de ser posible indicarle cómo solucionarlos</t>
  </si>
  <si>
    <t>Detener Operación</t>
  </si>
  <si>
    <t>Editar la Información de la Categoría Motocicleta</t>
  </si>
  <si>
    <t>Permite actualizar la información de una categoría de motocicleta.</t>
  </si>
  <si>
    <t>datos</t>
  </si>
  <si>
    <t>Contiene información de todas las categorías que se enviarán como base para llevar a cabo la actualización</t>
  </si>
  <si>
    <t>Categoría  POL-0001</t>
  </si>
  <si>
    <t>Asegurar la validación de los datos para llevar a cabo la acción a nivel de tipo de dato, longitud, obligatoriedad, formato y rango.</t>
  </si>
  <si>
    <t>dato calculado</t>
  </si>
  <si>
    <t>Corresponde al identificador único que identifica cada calificación realizada por un usuario a un servicio.</t>
  </si>
  <si>
    <t>Corresponde al ServicioRealizado que identifica el servicio que fue realizado y  puede ser calificado.</t>
  </si>
  <si>
    <t>Corresponde al atributo que indica la fecha en que el usuario realizó la calificación del servicio.</t>
  </si>
  <si>
    <t>Corresponde al rangoCalificacion que indica la calificación otorgada un servicio.</t>
  </si>
  <si>
    <t>Corresponde al atributo que permite al usuario expresar su opinión detallada sobre el servicio recibido.</t>
  </si>
  <si>
    <t>Corresponde al atributo que indica si el comentario contiene contenido ofensivo</t>
  </si>
  <si>
    <t>La calificación no debe tener duplicidad en la combinación del servicio realizado y la fecha de calificación.</t>
  </si>
  <si>
    <t>fechaCalificacion</t>
  </si>
  <si>
    <t>calificación</t>
  </si>
  <si>
    <t>comentario</t>
  </si>
  <si>
    <t>comentarioOfensivo</t>
  </si>
  <si>
    <t>Baike universe - Cambio de aceite y filtros - Finalizado  - 12/12/2024 - 12/12/2024 - MRC35E</t>
  </si>
  <si>
    <t>13/12/2024</t>
  </si>
  <si>
    <t>Excelente 5-5</t>
  </si>
  <si>
    <t>El Servicio me pareció excelente, en todo sentido</t>
  </si>
  <si>
    <t>No</t>
  </si>
  <si>
    <t>Baike universe - Cambio de aceite y filtros - Finalizado  - 12/12/2024 - 12/12/2024 - MRC35E - 13/12/2024</t>
  </si>
  <si>
    <t>Dos Ruedas - Revisión/ajuste de frenos - Cancelado  - 13/12/2024 - 13/12/2024 - YBR67A</t>
  </si>
  <si>
    <t>14/12/2024</t>
  </si>
  <si>
    <t>Dos Ruedas - Revisión/ajuste de frenos - Cancelado  - 13/12/2024 - 13/12/2024 - YBR67A - 14/12/2024</t>
  </si>
  <si>
    <t>¿Modificable?</t>
  </si>
  <si>
    <t>Requerido</t>
  </si>
  <si>
    <t>Filtro/Listar/ No Mostrar</t>
  </si>
  <si>
    <t>Filtro/Listar/Mostrar[Orden{1}/CriterioOrdenamiento{1, ASC}/BusquedaGeneral{NO}/Ordenador{NO}/Reordenamiento{NO} /PropiedadesMostrar{ servicioRealizado.motocicleta.usuario}]</t>
  </si>
  <si>
    <t>Filtro/Listar/Mostrar[Orden{2}/BusquedaGeneral{NO}/Ordenador{NO}/Reordenamiento{NO} ]</t>
  </si>
  <si>
    <t>Filtro/Listar/Mostrar[Orden{3}/BusquedaGeneral{NO}/Ordenador{NO}/Reordenamiento{NO} / PropiedadesMostrar{ reangoCalificacion.valorMaximo, rangoCalificacion.etiqueta}]</t>
  </si>
  <si>
    <t>Filtro/Listar/Mostrar[Orden{4}/BusquedaGeneral{NO}/Ordenador{NO}/Reordenamiento{NO} ]</t>
  </si>
  <si>
    <t>servicio realizado y fecha de calificación únicos</t>
  </si>
  <si>
    <t>Excepción</t>
  </si>
  <si>
    <t>Registrar información de la Calificación</t>
  </si>
  <si>
    <t>Permite valorar un servicio realizado</t>
  </si>
  <si>
    <t xml:space="preserve"> Contiene la calificación del servicio brindado.</t>
  </si>
  <si>
    <t>Calificación POL-0003</t>
  </si>
  <si>
    <t>Solo se permite una calificación por usuario a un servicio realizado por alguna sede</t>
  </si>
  <si>
    <t>Detener la operación</t>
  </si>
  <si>
    <t>Calificación POL - 0004</t>
  </si>
  <si>
    <t>No debe existir otra calificación de un servicio  con el mismo identificador.</t>
  </si>
  <si>
    <t>Generar un nuevo identificador hasta garantizar que no exista</t>
  </si>
  <si>
    <t>Continuar la operación</t>
  </si>
  <si>
    <t>Calificación POL - 0005</t>
  </si>
  <si>
    <t>Se debe asegurar que la información a comentar no sean información sensible</t>
  </si>
  <si>
    <t>"Se debe reportar un problema indicando que los datos no son válidos, entregando el detalle de cuáles son las normas que está infringiendo y cómo puede remediarse el problema de ser posible.
"</t>
  </si>
  <si>
    <t>Detener y abortar el proceso actual.</t>
  </si>
  <si>
    <t>Modificar Información de la Calificación</t>
  </si>
  <si>
    <t>Permite modificar una calificación echa a un servicio realizado</t>
  </si>
  <si>
    <t>Contiene la calificación para actualizar</t>
  </si>
  <si>
    <t>Calificación POL-0002</t>
  </si>
  <si>
    <t>La calificación debe estar previamente registrada</t>
  </si>
  <si>
    <t>Calificación POL-0001</t>
  </si>
  <si>
    <t>Asegurar que los datos requeridos para llevar a cabo la acción sean válidos a nivel de tipo de dato, longitud, obligatoriedad, formato y rango.</t>
  </si>
  <si>
    <t>Contiene el identificador  de la calificación para actualizar</t>
  </si>
  <si>
    <t>Consultar  Información de la calificación</t>
  </si>
  <si>
    <t>Permite ver las calificaciones registradas</t>
  </si>
  <si>
    <t>filtro</t>
  </si>
  <si>
    <t>Lista&lt;calificación&gt;</t>
  </si>
  <si>
    <t>Contiene información de los filtros que se enviaran como base para llevar a cabo la consulta</t>
  </si>
  <si>
    <t>Contiene información de la calificación que cumple con el filtro</t>
  </si>
  <si>
    <t>Calificación POL - 0006</t>
  </si>
  <si>
    <t>Corresponde al identificador único que identifica cada ciudad en el sistema.</t>
  </si>
  <si>
    <t>Corresponde al atributo nombre que contiene el nombre de la ciudad</t>
  </si>
  <si>
    <t>Corresponde al departamento al que pertenece la ciudad.</t>
  </si>
  <si>
    <t xml:space="preserve"> La ciudad no existan ciudades con nombres duplicados en el sistema.</t>
  </si>
  <si>
    <t>La ciudad no debe tener duplicidad en la combinación de su nombre y departamento</t>
  </si>
  <si>
    <t xml:space="preserve">Combinación única </t>
  </si>
  <si>
    <t xml:space="preserve"> 63dedd71-ff65-4c46-9723-64c29ee2ba8a</t>
  </si>
  <si>
    <t>Bogotá</t>
  </si>
  <si>
    <t>Cundinamarca</t>
  </si>
  <si>
    <t>Bogotá ,Cundinamarca</t>
  </si>
  <si>
    <t xml:space="preserve"> 6160eb47-e560-49a6-a49c-f8990a53e423</t>
  </si>
  <si>
    <t>Medellín</t>
  </si>
  <si>
    <t>Antioquia</t>
  </si>
  <si>
    <t>Medellín ,Antioquia</t>
  </si>
  <si>
    <t xml:space="preserve"> 91812cb6-b51b-4845-8adc-8ec50ae154dc</t>
  </si>
  <si>
    <t>Cali</t>
  </si>
  <si>
    <t>Valle del Cauca</t>
  </si>
  <si>
    <t>Cali ,Valle del Cauca</t>
  </si>
  <si>
    <t xml:space="preserve"> 5643d1d9-f9f0-4b50-805d-b54870b27db2</t>
  </si>
  <si>
    <t>Barranquilla</t>
  </si>
  <si>
    <t>Atlántico</t>
  </si>
  <si>
    <t>Barranquilla ,Atlántico</t>
  </si>
  <si>
    <t xml:space="preserve"> d7275c10-fd10-4e01-bfcb-f996c00a3ffe</t>
  </si>
  <si>
    <t>Cartagena</t>
  </si>
  <si>
    <t>Bolívar</t>
  </si>
  <si>
    <t>Cartagena ,Bolívar</t>
  </si>
  <si>
    <t xml:space="preserve"> 4a1907e4-df8e-4269-be6e-8ca86a8497eb</t>
  </si>
  <si>
    <t>Cúcuta</t>
  </si>
  <si>
    <t>Norte de Santander</t>
  </si>
  <si>
    <t>Cúcuta ,Norte de Santander</t>
  </si>
  <si>
    <t xml:space="preserve"> f38f8524-2d54-4731-a372-d687b426e360</t>
  </si>
  <si>
    <t>Soledad</t>
  </si>
  <si>
    <t>Soledad ,Atlántico</t>
  </si>
  <si>
    <t xml:space="preserve"> 7d1ab9fa-213d-4428-8eca-a33828d4a04f</t>
  </si>
  <si>
    <t>Ibagué</t>
  </si>
  <si>
    <t>Tolima</t>
  </si>
  <si>
    <t>Ibagué ,Tolima</t>
  </si>
  <si>
    <t xml:space="preserve"> cc892516-445b-4cbc-b6dd-b77ea49058d5</t>
  </si>
  <si>
    <t>Bucaramanga</t>
  </si>
  <si>
    <t>Santander</t>
  </si>
  <si>
    <t>Bucaramanga ,Santander</t>
  </si>
  <si>
    <t xml:space="preserve"> 5b5989e1-8fe7-4484-a747-6223e22829b6</t>
  </si>
  <si>
    <t>Soacha</t>
  </si>
  <si>
    <t>Soacha ,Cundinamarca</t>
  </si>
  <si>
    <t xml:space="preserve"> 9c2c8429-e591-4cd1-b091-a415fa6c4dcd</t>
  </si>
  <si>
    <t>Villavicencio</t>
  </si>
  <si>
    <t>Meta</t>
  </si>
  <si>
    <t>Villavicencio ,Meta</t>
  </si>
  <si>
    <t xml:space="preserve"> 59059f99-d6e6-4063-97ca-5534d01c4a3d</t>
  </si>
  <si>
    <t>Santa Marta</t>
  </si>
  <si>
    <t>Magdalena</t>
  </si>
  <si>
    <t>Santa Marta ,Magdalena</t>
  </si>
  <si>
    <t xml:space="preserve"> b0d16091-6172-4797-a780-45a6537540c3</t>
  </si>
  <si>
    <t>Bello</t>
  </si>
  <si>
    <t>Bello ,Antioquia</t>
  </si>
  <si>
    <t xml:space="preserve"> b51e0976-7c9c-4dca-8eea-87ad07160bd3</t>
  </si>
  <si>
    <t>Valledupar</t>
  </si>
  <si>
    <t>Cesar</t>
  </si>
  <si>
    <t>Valledupar ,Cesar</t>
  </si>
  <si>
    <t xml:space="preserve"> 38c76c9d-c166-4039-b832-487486dfc69a</t>
  </si>
  <si>
    <t>Pereira</t>
  </si>
  <si>
    <t>Risaralda</t>
  </si>
  <si>
    <t>Pereira ,Risaralda</t>
  </si>
  <si>
    <t xml:space="preserve"> 29d2efc9-f273-4a79-9c05-118577825f92</t>
  </si>
  <si>
    <t>Buenaventura</t>
  </si>
  <si>
    <t>Buenaventura ,Valle del Cauca</t>
  </si>
  <si>
    <t xml:space="preserve"> 22f50d97-a18a-45d2-8174-5a4b72b52ed9</t>
  </si>
  <si>
    <t>Pasto</t>
  </si>
  <si>
    <t>Nariño</t>
  </si>
  <si>
    <t>Pasto ,Nariño</t>
  </si>
  <si>
    <t xml:space="preserve"> d1107882-6c78-4bb1-95cc-74dc5ebc948f</t>
  </si>
  <si>
    <t>Manizales</t>
  </si>
  <si>
    <t>Caldas</t>
  </si>
  <si>
    <t>Manizales ,Caldas</t>
  </si>
  <si>
    <t xml:space="preserve"> 70d49396-d5fa-452c-a747-2722379fb5da</t>
  </si>
  <si>
    <t>Montería</t>
  </si>
  <si>
    <t>Córdoba</t>
  </si>
  <si>
    <t>Montería ,Córdoba</t>
  </si>
  <si>
    <t xml:space="preserve"> 8f7eac81-740f-48c0-afb8-771c1cd81942</t>
  </si>
  <si>
    <t>Neiva</t>
  </si>
  <si>
    <t>Huila</t>
  </si>
  <si>
    <t>Neiva ,Huila</t>
  </si>
  <si>
    <t xml:space="preserve"> 2d8d0582-4413-410c-bdb4-d38aba475803</t>
  </si>
  <si>
    <t>Palmira</t>
  </si>
  <si>
    <t>Palmira ,Valle del Cauca</t>
  </si>
  <si>
    <t xml:space="preserve"> dcb6b85d-0472-4a85-9b93-34e8bfec5151</t>
  </si>
  <si>
    <t>Riohacha</t>
  </si>
  <si>
    <t>La Guajira</t>
  </si>
  <si>
    <t>Riohacha ,La Guajira</t>
  </si>
  <si>
    <t xml:space="preserve"> 0b7d5066-a7e8-4c53-9620-7aa8201a4e61</t>
  </si>
  <si>
    <t>Armenia</t>
  </si>
  <si>
    <t>Quindío</t>
  </si>
  <si>
    <t>Armenia ,Quindío</t>
  </si>
  <si>
    <t xml:space="preserve"> e1f4d226-98f5-4296-9e32-0f6a96530c52</t>
  </si>
  <si>
    <t>Popayán</t>
  </si>
  <si>
    <t>Cauca</t>
  </si>
  <si>
    <t>Popayán ,Cauca</t>
  </si>
  <si>
    <t xml:space="preserve"> 2304c9f5-ea8e-4afa-871f-7fe8a5f30d2c</t>
  </si>
  <si>
    <t>Sincelejo</t>
  </si>
  <si>
    <t>Sucre</t>
  </si>
  <si>
    <t>Sincelejo ,Sucre</t>
  </si>
  <si>
    <t xml:space="preserve"> c5c4993b-cf5d-45e2-9bfa-3cfb800c1c9c</t>
  </si>
  <si>
    <t>Itagüí</t>
  </si>
  <si>
    <t>Itagüí ,Antioquia</t>
  </si>
  <si>
    <t xml:space="preserve"> b1a94946-9723-4cd8-8fba-45e1e9b2f6b2</t>
  </si>
  <si>
    <t>Floridablanca</t>
  </si>
  <si>
    <t>Floridablanca ,Santander</t>
  </si>
  <si>
    <t xml:space="preserve"> 2bc62361-f6fd-48af-af2f-98f4a79722c2</t>
  </si>
  <si>
    <t>Envigado</t>
  </si>
  <si>
    <t>Envigado ,Antioquia</t>
  </si>
  <si>
    <t xml:space="preserve"> 61324d24-9875-4600-becb-7d60e9f1f219</t>
  </si>
  <si>
    <t>Tuluá</t>
  </si>
  <si>
    <t>Tuluá ,Valle del Cauca</t>
  </si>
  <si>
    <t xml:space="preserve"> 00a4b9c2-c4a0-46a6-894c-4ce14264cede</t>
  </si>
  <si>
    <t>Dosquebradas</t>
  </si>
  <si>
    <t>Dosquebradas ,Risaralda</t>
  </si>
  <si>
    <t xml:space="preserve"> 41a6d87d-0f6b-4c0b-b4e0-29ddf5c73394</t>
  </si>
  <si>
    <t>San Andrés de Tumaco</t>
  </si>
  <si>
    <t>San Andrés de Tumaco ,Nariño</t>
  </si>
  <si>
    <t xml:space="preserve"> 684caba1-8ca8-407e-8925-c4b104520e31</t>
  </si>
  <si>
    <t>Tunja</t>
  </si>
  <si>
    <t>Boyacá</t>
  </si>
  <si>
    <t>Tunja ,Boyacá</t>
  </si>
  <si>
    <t xml:space="preserve"> 037f5290-7253-4348-991c-deed0c877a2d</t>
  </si>
  <si>
    <t>Girón</t>
  </si>
  <si>
    <t>Girón ,Santander</t>
  </si>
  <si>
    <t xml:space="preserve"> 2104cd94-995e-4262-91e8-bd5020869643</t>
  </si>
  <si>
    <t>Apartadó</t>
  </si>
  <si>
    <t>Apartadó ,Antioquia</t>
  </si>
  <si>
    <t xml:space="preserve"> 4023b2b6-e8ba-4066-a0af-50a891cbcdb8</t>
  </si>
  <si>
    <t>Fusagasugá</t>
  </si>
  <si>
    <t>Fusagasugá ,Cundinamarca</t>
  </si>
  <si>
    <t xml:space="preserve"> 35e94089-32be-4860-b295-391da42e133d</t>
  </si>
  <si>
    <t>Facatativá</t>
  </si>
  <si>
    <t>Facatativá ,Cundinamarca</t>
  </si>
  <si>
    <t xml:space="preserve"> 263aa1e8-54d2-4466-9174-e674a15e4816</t>
  </si>
  <si>
    <t>Florencia</t>
  </si>
  <si>
    <t>Caquetá</t>
  </si>
  <si>
    <t>Florencia ,Caquetá</t>
  </si>
  <si>
    <t xml:space="preserve"> 84229389-6a41-43fa-9dde-e6d5fd00fc43</t>
  </si>
  <si>
    <t>Zipaquirá</t>
  </si>
  <si>
    <t>Zipaquirá ,Cundinamarca</t>
  </si>
  <si>
    <t xml:space="preserve"> 33e9b175-cd5b-48ea-9da3-fdd22bf3deb7</t>
  </si>
  <si>
    <t>Jamundí</t>
  </si>
  <si>
    <t>Jamundí ,Valle del Cauca</t>
  </si>
  <si>
    <t xml:space="preserve"> 01ee38b4-20d0-4f55-912e-339655cb73e5</t>
  </si>
  <si>
    <t>Rionegro</t>
  </si>
  <si>
    <t>Rionegro ,Antioquia</t>
  </si>
  <si>
    <t xml:space="preserve"> c4ddb8be-04e3-44aa-82e9-9a700392ae2b</t>
  </si>
  <si>
    <t>Magangué</t>
  </si>
  <si>
    <t>Magangué ,Bolívar</t>
  </si>
  <si>
    <t xml:space="preserve"> b187d0c2-8c54-4614-827b-f5f04d09e7af</t>
  </si>
  <si>
    <t>Maicao</t>
  </si>
  <si>
    <t>Maicao ,La Guajira</t>
  </si>
  <si>
    <t xml:space="preserve"> 251673cb-1b02-4201-9cce-474b880f81b1</t>
  </si>
  <si>
    <t>Chía</t>
  </si>
  <si>
    <t>Chía ,Cundinamarca</t>
  </si>
  <si>
    <t xml:space="preserve"> ee27a789-0de6-400e-9863-4b3be67fee78</t>
  </si>
  <si>
    <t>Turbo</t>
  </si>
  <si>
    <t>Turbo ,Antioquia</t>
  </si>
  <si>
    <t xml:space="preserve"> e81593b9-c889-4d6d-ab77-3b5c5c798a37</t>
  </si>
  <si>
    <t>Quibdó</t>
  </si>
  <si>
    <t>Chocó</t>
  </si>
  <si>
    <t>Quibdó ,Chocó</t>
  </si>
  <si>
    <t xml:space="preserve"> ff634565-f782-4d1e-82e2-c3241ab32ce6</t>
  </si>
  <si>
    <t>Cartago</t>
  </si>
  <si>
    <t>Cartago ,Valle del Cauca</t>
  </si>
  <si>
    <t xml:space="preserve"> 51be25ad-5f26-4854-895d-740b8a0cc218</t>
  </si>
  <si>
    <t>Pitalito</t>
  </si>
  <si>
    <t>Pitalito ,Huila</t>
  </si>
  <si>
    <t xml:space="preserve"> 20e561be-0b9a-4fec-9dbb-4602d38a544c</t>
  </si>
  <si>
    <t>Sogamoso</t>
  </si>
  <si>
    <t>Sogamoso ,Boyacá</t>
  </si>
  <si>
    <t xml:space="preserve"> 6df17b15-2b48-46cc-96b0-e7b8eb1ea7e5</t>
  </si>
  <si>
    <t>Yopal</t>
  </si>
  <si>
    <t>Casanare</t>
  </si>
  <si>
    <t>Yopal ,Casanare</t>
  </si>
  <si>
    <t xml:space="preserve"> 23adcff0-e668-4ab4-97b0-14ac81380f4e</t>
  </si>
  <si>
    <t>Ipiales</t>
  </si>
  <si>
    <t>Ipiales ,Nariño</t>
  </si>
  <si>
    <t xml:space="preserve"> a08747c0-a3ba-44e9-a2fc-1f5cef407066</t>
  </si>
  <si>
    <t>Caucasia</t>
  </si>
  <si>
    <t>Caucasia ,Antioquia</t>
  </si>
  <si>
    <t xml:space="preserve"> 2c8b74fb-fe10-4e04-a113-5c35ea4f0564</t>
  </si>
  <si>
    <t>Girardot</t>
  </si>
  <si>
    <t>Girardot ,Cundinamarca</t>
  </si>
  <si>
    <t xml:space="preserve"> 11358169-1ab5-47f7-a577-340f357cc2c1</t>
  </si>
  <si>
    <t>Uribia</t>
  </si>
  <si>
    <t>Uribia ,La Guajira</t>
  </si>
  <si>
    <t xml:space="preserve"> 0957b117-7287-4cd6-aefc-122c7386423c</t>
  </si>
  <si>
    <t>Barrancabermeja</t>
  </si>
  <si>
    <t>Barrancabermeja ,Santander</t>
  </si>
  <si>
    <t xml:space="preserve"> 4f063a14-2be3-4117-8826-78f172df6c86</t>
  </si>
  <si>
    <t>Duitama</t>
  </si>
  <si>
    <t>Duitama ,Boyacá</t>
  </si>
  <si>
    <t xml:space="preserve"> 44a570c1-aaf9-46f8-b1ca-16b502db2e6a</t>
  </si>
  <si>
    <t>Villa del Rosario</t>
  </si>
  <si>
    <t>Villa del Rosario ,Norte de Santander</t>
  </si>
  <si>
    <t xml:space="preserve"> aa1f9c82-6047-48f7-92ae-02d4c182bb32</t>
  </si>
  <si>
    <t>Ciénaga</t>
  </si>
  <si>
    <t>Ciénaga ,Magdalena</t>
  </si>
  <si>
    <t xml:space="preserve"> 09141c55-ebff-4380-bcf2-44c998392100</t>
  </si>
  <si>
    <t>Lorica</t>
  </si>
  <si>
    <t>Lorica ,Córdoba</t>
  </si>
  <si>
    <t xml:space="preserve"> b5e53a43-ff72-43c5-b6ca-32598b6e8efa</t>
  </si>
  <si>
    <t>Sabanalarga</t>
  </si>
  <si>
    <t>Sabanalarga ,Antioquia</t>
  </si>
  <si>
    <t xml:space="preserve"> 00d5e4f7-340c-4711-8566-2892e7cbbbe3</t>
  </si>
  <si>
    <t>Los Patios</t>
  </si>
  <si>
    <t>Los Patios ,Norte de Santander</t>
  </si>
  <si>
    <t xml:space="preserve"> 6588196c-6a28-4604-b1b4-db5f77de03ba</t>
  </si>
  <si>
    <t>Aguachica</t>
  </si>
  <si>
    <t>Aguachica ,Cesar</t>
  </si>
  <si>
    <t xml:space="preserve"> eaf660c0-1f8f-4f4d-8c1b-781c7189ce9f</t>
  </si>
  <si>
    <t>Yumbo</t>
  </si>
  <si>
    <t>Yumbo ,Valle del Cauca</t>
  </si>
  <si>
    <t xml:space="preserve"> 2fba3b26-495b-44cf-823c-d85ba40ff7ec</t>
  </si>
  <si>
    <t>Mosquera</t>
  </si>
  <si>
    <t>Mosquera ,Cundinamarca</t>
  </si>
  <si>
    <t xml:space="preserve"> ce751d6d-42d7-432d-8f82-216f8f0938d0</t>
  </si>
  <si>
    <t>Piedecuesta</t>
  </si>
  <si>
    <t>Piedecuesta ,Santander</t>
  </si>
  <si>
    <t xml:space="preserve"> c631ff7f-e104-4a4a-ab3b-bfae709d74cf</t>
  </si>
  <si>
    <t>Ocaña</t>
  </si>
  <si>
    <t>Ocaña ,Norte de Santander</t>
  </si>
  <si>
    <t xml:space="preserve"> 893bc8ba-beca-448f-9a3e-3ac1e8915f9c</t>
  </si>
  <si>
    <t>Madrid</t>
  </si>
  <si>
    <t>Madrid ,Cundinamarca</t>
  </si>
  <si>
    <t xml:space="preserve"> 0c988b03-8ed3-4935-ae54-524b4eb54e3d</t>
  </si>
  <si>
    <t>Funza</t>
  </si>
  <si>
    <t>Funza ,Cundinamarca</t>
  </si>
  <si>
    <t xml:space="preserve"> b0d4d886-3a47-4658-a8bd-5264eed6a01d</t>
  </si>
  <si>
    <t>Santa Cruz de Lorica</t>
  </si>
  <si>
    <t>Santa Cruz de Lorica ,Córdoba</t>
  </si>
  <si>
    <t xml:space="preserve"> c42742f8-08e3-4c9f-905e-bc346ccc5169</t>
  </si>
  <si>
    <t>Turbaco</t>
  </si>
  <si>
    <t>Turbaco ,Bolívar</t>
  </si>
  <si>
    <t xml:space="preserve"> 13514045-3959-4667-9784-691fbc3b14f9</t>
  </si>
  <si>
    <t>Arjona</t>
  </si>
  <si>
    <t>Arjona ,Bolívar</t>
  </si>
  <si>
    <t xml:space="preserve"> eaf8b197-8238-43f1-8fab-c808f1c30662</t>
  </si>
  <si>
    <t>Santander de Quilichao</t>
  </si>
  <si>
    <t>Santander de Quilichao ,Cauca</t>
  </si>
  <si>
    <t xml:space="preserve"> d8d8860c-1928-4e33-af7e-c1d24aeb01db</t>
  </si>
  <si>
    <t>Cereté</t>
  </si>
  <si>
    <t>Cereté ,Córdoba</t>
  </si>
  <si>
    <t xml:space="preserve"> 8944d04e-4f0d-4929-b92e-321038d47944</t>
  </si>
  <si>
    <t>Caldas ,Antioquia</t>
  </si>
  <si>
    <t xml:space="preserve"> ecf62657-bba2-4317-81b8-fc7faad4fbce</t>
  </si>
  <si>
    <t>La Dorada</t>
  </si>
  <si>
    <t>La Dorada ,Caldas</t>
  </si>
  <si>
    <t xml:space="preserve"> 3f87db7e-7886-4984-9163-70969d227307</t>
  </si>
  <si>
    <t>El Banco</t>
  </si>
  <si>
    <t>El Banco ,Magdalena</t>
  </si>
  <si>
    <t xml:space="preserve"> e9d9e0a5-ff54-4027-9b3e-e6a62addf05b</t>
  </si>
  <si>
    <t>Sahagún</t>
  </si>
  <si>
    <t>Sahagún ,Córdoba</t>
  </si>
  <si>
    <t xml:space="preserve"> 80e27e56-286f-4a3c-98d5-6c3ca7ad7d2f</t>
  </si>
  <si>
    <t>San Vicente del Caguán</t>
  </si>
  <si>
    <t>San Vicente del Caguán ,Caquetá</t>
  </si>
  <si>
    <t>horarioEstablecimiento</t>
  </si>
  <si>
    <t>Filtro/Listar/Mostrar[Orden{1}/CriterioOrdenamiento{1, ASC}/BusquedaGeneral{SI}/Ordenador{SI}/Reordenamiento{NO}]</t>
  </si>
  <si>
    <t>Filtro/Listar/Mostrar[Orden{1}/CriterioOrdenamiento{1, ASC}/BusquedaGeneral{SI}/Ordenador{SI}/Reordenamiento{NO} /PropiedadesMostrar{ departamento.nombre}]</t>
  </si>
  <si>
    <t>fecha y hora de inicio únicos</t>
  </si>
  <si>
    <t>fecha y hora de fin únicos</t>
  </si>
  <si>
    <t>Consultar Información de la ciudad</t>
  </si>
  <si>
    <t>Permite visualizar la información de una ciudad</t>
  </si>
  <si>
    <t>Contiene información de las diferentes ciudades que se enviarán como base para llevar a cabo el filtro de la consulta</t>
  </si>
  <si>
    <t>Lista&lt;ciudad&gt;</t>
  </si>
  <si>
    <t>Contiene información de las diferentes  ciudades que cumplen con los criterios de búsqueda</t>
  </si>
  <si>
    <t>Ciudad POL-0001</t>
  </si>
  <si>
    <t>Asegurar que los datos que fueron enviados como filtro para llevar a cabo la acción sean válidos a nivel de tipo de dato, longitud, obligatoriedad, formato y rango..</t>
  </si>
  <si>
    <t>Corresponde al identificador único que identifica cada departamento en el sistema.</t>
  </si>
  <si>
    <t>Corresponde al atributo que indica el nombre del departamento</t>
  </si>
  <si>
    <t>El departamento no debe tener duplicidad en su nombre</t>
  </si>
  <si>
    <t xml:space="preserve"> baf7686f-548f-4886-a9d4-8dd650774176</t>
  </si>
  <si>
    <t xml:space="preserve"> 9da583ae-03a6-4eee-9654-f976aa153cae</t>
  </si>
  <si>
    <t xml:space="preserve"> 7968baa5-d516-4f83-8ede-77dfc0abc1c8</t>
  </si>
  <si>
    <t xml:space="preserve"> 2d0e3ae6-0b6b-46d0-aab0-3bac8e480472</t>
  </si>
  <si>
    <t xml:space="preserve"> 192df308-16f9-46a1-b341-ec84f49d015b</t>
  </si>
  <si>
    <t xml:space="preserve"> 0aebf2b6-e8f5-40fd-9669-cc8fee49c810</t>
  </si>
  <si>
    <t xml:space="preserve"> 6e24bf5f-e874-4c20-9750-cf8ebdc03a8b</t>
  </si>
  <si>
    <t xml:space="preserve"> fe86dac9-02f6-4c38-aacc-bc2e82d6a733</t>
  </si>
  <si>
    <t xml:space="preserve"> 44dbc677-d935-438b-ab73-429504f7209c</t>
  </si>
  <si>
    <t xml:space="preserve"> f5f6cdfc-c61d-4a34-bdf5-47884bcaf1b2</t>
  </si>
  <si>
    <t xml:space="preserve"> 0a412d74-d33e-45a7-afb7-28f98eac55e8</t>
  </si>
  <si>
    <t xml:space="preserve"> ed2bba99-fce8-42f6-a3e2-5f9421454f49</t>
  </si>
  <si>
    <t xml:space="preserve"> 44ae6bc9-1755-4cee-a7ca-f22d62285f05</t>
  </si>
  <si>
    <t xml:space="preserve"> 7d89ff2b-7e04-4241-be25-10ac35d2499e</t>
  </si>
  <si>
    <t>Distrito Capital</t>
  </si>
  <si>
    <t xml:space="preserve"> d1b02865-b297-48df-acc6-c650a250ee46</t>
  </si>
  <si>
    <t xml:space="preserve"> 9bc632aa-7018-4ec5-87ac-d032cd42f91c</t>
  </si>
  <si>
    <t xml:space="preserve"> d40f9ec4-533d-4bc4-a0d9-6427b9690966</t>
  </si>
  <si>
    <t xml:space="preserve"> 0cd73416-9089-4179-98aa-7ad527d1bb1f</t>
  </si>
  <si>
    <t xml:space="preserve"> e27ee015-6be0-4ae4-8fe3-f55e00826ca9</t>
  </si>
  <si>
    <t xml:space="preserve"> c12698db-0adf-4f1f-8573-ebfc97bbdbbd</t>
  </si>
  <si>
    <t xml:space="preserve"> 8b77914d-1780-449f-8c62-bd2e18cecb5c</t>
  </si>
  <si>
    <t xml:space="preserve"> 51f60174-dbd2-409d-a081-62a4326a15a3</t>
  </si>
  <si>
    <t xml:space="preserve"> 0326d38b-5fc0-482b-bee2-209fec780c2b</t>
  </si>
  <si>
    <t xml:space="preserve"> ece6808a-5529-4ac1-b042-b566fdc7a8bf</t>
  </si>
  <si>
    <t xml:space="preserve"> f2475b07-1a49-4a72-8aa0-e2ab265fcf59</t>
  </si>
  <si>
    <t xml:space="preserve"> 270786c6-60d6-4297-9198-20fc738483e1</t>
  </si>
  <si>
    <t>Donde  x  puede ser una cadena que incluye caracteres alfanuméricos,espacios( ), letras mayúsculas (A-Z), minúsculas (a-z) y tildes (á, é, í, ó, ú)</t>
  </si>
  <si>
    <t>Filtro/Listar/Mostrar[Orden{1}/CriterioOrdenamiento{1, ASC}/BusquedaGeneral{SI}/Ordenador{NO}/Reordenamiento{NO}]</t>
  </si>
  <si>
    <t>nombre del departamento único</t>
  </si>
  <si>
    <t>Consultar Información del Departamento</t>
  </si>
  <si>
    <t>Permite visualizar la información de un departamento</t>
  </si>
  <si>
    <t>Contiene información de los diferentes departamentos que se enviarán como base para llevar a cabo el filtro de la consulta</t>
  </si>
  <si>
    <t>Lista&lt;departamento&gt;</t>
  </si>
  <si>
    <t>Contiene información de los diferentes  departamentos que cumplen con los criterios de búsqueda</t>
  </si>
  <si>
    <t>Departamento POL-0001</t>
  </si>
  <si>
    <t>Corresponde al identificador único que identifica cada detalle de horario de operación del establecimiento en el sistema</t>
  </si>
  <si>
    <t>Corresponde al horarioEstablecimeinto vigente al que le pertenece este horario de operación.</t>
  </si>
  <si>
    <t>Corresponde al día de la semana en que opera el establecimiento. Si un día no está registrado, significa que el establecimiento no opera ese día</t>
  </si>
  <si>
    <t>Corresponde al atributo que indica la hora en que inicia la operación del establecimiento.</t>
  </si>
  <si>
    <t>Corresponde al atributo que indica la hora en que finaliza la operación del establecimiento</t>
  </si>
  <si>
    <t>El detalle horario no debe tener duplicidad en la combinación del horario establecimiento, día y rango horario de operación</t>
  </si>
  <si>
    <t>día</t>
  </si>
  <si>
    <t>horaInicio</t>
  </si>
  <si>
    <t>horaFin</t>
  </si>
  <si>
    <t>Baike universe - 01/01/2024 -06/12/2028</t>
  </si>
  <si>
    <t>Lunes</t>
  </si>
  <si>
    <t>7:00 a. m.</t>
  </si>
  <si>
    <t>12:00 p. m.</t>
  </si>
  <si>
    <t>Baike universe - 01/01/2024 -06/12/2028 - Lunes - 07:00-12:00</t>
  </si>
  <si>
    <t>1:00 p. m.</t>
  </si>
  <si>
    <t>5:00 p. m.</t>
  </si>
  <si>
    <t>Baike universe - 01/01/2024 -06/12/2028 - Lunes - 13:00-17:00</t>
  </si>
  <si>
    <t>Martes</t>
  </si>
  <si>
    <t>Baike universe - 01/01/2024 -06/12/2028 - Martes - 07:00-12:00</t>
  </si>
  <si>
    <t>1:30 p. m.</t>
  </si>
  <si>
    <t>5:30 p. m.</t>
  </si>
  <si>
    <t>Baike universe - 01/01/2024 -06/12/2028 - Martes - 13:30-17:30</t>
  </si>
  <si>
    <t>Miércoles</t>
  </si>
  <si>
    <t>Baike universe - 01/01/2024 -06/12/2028 - Miércoles - 07:00-12:00</t>
  </si>
  <si>
    <t>Baike universe - 01/01/2024 -06/12/2028 - Miércoles - 13:30-17:30</t>
  </si>
  <si>
    <t>Jueves</t>
  </si>
  <si>
    <t>Baike universe - 01/01/2024 -06/12/2028 - Jueves - 07:00-12:00</t>
  </si>
  <si>
    <t>Baike universe - 01/01/2024 -06/12/2028 - Jueves - 13:30-17:30</t>
  </si>
  <si>
    <t>Viernes</t>
  </si>
  <si>
    <t>Baike universe - 01/01/2024 -06/12/2028 - Viernes - 07:00-12:00</t>
  </si>
  <si>
    <t>Baike universe - 01/01/2024 -06/12/2028 - Viernes - 13:30-17:30</t>
  </si>
  <si>
    <t>Sábado</t>
  </si>
  <si>
    <t>8:00 a. m.</t>
  </si>
  <si>
    <t>Baike universe - 01/01/2024 -06/12/2028 - Sábado - 08:00-12:00</t>
  </si>
  <si>
    <t>Dos Ruedas - 01/01/2020 -05/16/2022</t>
  </si>
  <si>
    <t>Dos Ruedas - 01/01/2020 -05/16/2022 - Lunes - 07:00-12:00</t>
  </si>
  <si>
    <t>Dos Ruedas - 01/01/2020 -05/16/2022 - Lunes - 13:00-17:00</t>
  </si>
  <si>
    <t>Dos Ruedas - 01/01/2020 -05/16/2022 - Martes - 07:00-12:00</t>
  </si>
  <si>
    <t>Dos Ruedas - 01/01/2020 -05/16/2022 - Martes - 13:30-17:30</t>
  </si>
  <si>
    <t>Dos Ruedas - 01/01/2020 -05/16/2022 - Miércoles - 07:00-12:00</t>
  </si>
  <si>
    <t>Miercoles</t>
  </si>
  <si>
    <t>Dos Ruedas - 01/01/2020 -05/16/2022 - Miercoles - 13:30-17:30</t>
  </si>
  <si>
    <t>Dos Ruedas - 01/01/2020 -05/16/2022 - Jueves - 07:00-12:00</t>
  </si>
  <si>
    <t>Dos Ruedas - 01/01/2020 -05/16/2022 - Jueves - 13:30-17:30</t>
  </si>
  <si>
    <t>Dos Ruedas - 01/01/2020 -05/16/2022 - Viernes - 07:00-12:00</t>
  </si>
  <si>
    <t>Dos Ruedas - 01/01/2020 -05/16/2022 - Viernes - 13:30-17:30</t>
  </si>
  <si>
    <t>No requerido</t>
  </si>
  <si>
    <t>Filtro/Listar/Mostrar[Orden{1}/CriterioOrdenamiento{1, ASC}/BusquedaGeneral{NO}/Ordenador{NO}/Reordenamiento{NO} /PropiedadesMostrar{ horarioSede.sede}]</t>
  </si>
  <si>
    <t>Filtro/Listar/Mostrar[Orden{3}/BusquedaGeneral{NO}/Ordenador{NO}/Reordenamiento{NO} ]</t>
  </si>
  <si>
    <t>El horario del establecimiento, día, hora de inicio y de fin son únicos</t>
  </si>
  <si>
    <t>Registrar Información del Detalle Horario</t>
  </si>
  <si>
    <t>Permite registrar los detalles de los horarios y días de operación de una sede</t>
  </si>
  <si>
    <t xml:space="preserve">Contiene información requerida para llevar a cabo el registro del nuevo detalle horario </t>
  </si>
  <si>
    <t>Detalle Horario POL-0004</t>
  </si>
  <si>
    <t>La sede debe estar previamente registrada</t>
  </si>
  <si>
    <t>Generar una excepción indicándole al usuario que hay problemas con los datos ingresados y de ser posible indicarle como solucionarlos</t>
  </si>
  <si>
    <t>Detalle Horario POL-0003</t>
  </si>
  <si>
    <t>El día debe estar Registrado.</t>
  </si>
  <si>
    <t>Detalle Horario POL-0001</t>
  </si>
  <si>
    <t>Detalle Horario POL-0002</t>
  </si>
  <si>
    <t>No debe existir otro detalle horario  con el mismo identificador.</t>
  </si>
  <si>
    <t>Modificar Información del  Detalle Horario</t>
  </si>
  <si>
    <t>Permite actualizar la información de los detalles de horarios y días de operación de una sede</t>
  </si>
  <si>
    <t>Contiene información de los datos del Detalle Horario a modificar</t>
  </si>
  <si>
    <t>Detalle Horario POL-0005</t>
  </si>
  <si>
    <t>La sede y el  día deben estar previamente asociados.</t>
  </si>
  <si>
    <t>Validar que todos los campos cumplan con las especificaciones requeridas antes de procesar la información</t>
  </si>
  <si>
    <t>Contiene  el identificador del detalle horario a modificar la información</t>
  </si>
  <si>
    <t>Eliminar Información del Detalle Horario</t>
  </si>
  <si>
    <t>Permite eliminar un detalle horario específico de una sede</t>
  </si>
  <si>
    <t xml:space="preserve">id
</t>
  </si>
  <si>
    <t>Contiene el identificador del detalle horario a eliminar</t>
  </si>
  <si>
    <t>Detalle Horario POL-0006</t>
  </si>
  <si>
    <t>Asegurarse que el detalle horario a eliminar no se encuentre asociado a una sede</t>
  </si>
  <si>
    <t>Consultar Información del  Detalle Horario</t>
  </si>
  <si>
    <t>Permite consultar los detalles horarios configurados para una sede</t>
  </si>
  <si>
    <t>Lista&lt;detalleHorario&gt;</t>
  </si>
  <si>
    <t>Contiene información del detalle horario que cumple con el filtro</t>
  </si>
  <si>
    <t>Detalle Horario POL - 0007</t>
  </si>
  <si>
    <t>Corresponde al identificador único que identifica cada día en el sistema</t>
  </si>
  <si>
    <t>Corresponde al atributo que indica el nombre del día</t>
  </si>
  <si>
    <t>El día no debe tener duplicidad en su nombre</t>
  </si>
  <si>
    <t xml:space="preserve"> 9a63d7fa-7c97-4374-b574-63bd41586441</t>
  </si>
  <si>
    <t xml:space="preserve"> c2686453-5d4b-4690-9259-f575b6276153</t>
  </si>
  <si>
    <t xml:space="preserve"> 3376d24a-7d86-4ddf-89ee-e7d03cd736ff</t>
  </si>
  <si>
    <t xml:space="preserve"> 5e2e836e-f39e-444b-9673-3efb066c4e1d</t>
  </si>
  <si>
    <t xml:space="preserve"> 8f761fdc-5488-4cb6-a225-85451f2003ed</t>
  </si>
  <si>
    <t xml:space="preserve"> 70a42e6d-f733-4d73-95cf-359b99319d80</t>
  </si>
  <si>
    <t xml:space="preserve"> 088c83a2-7138-4a2e-98df-5d8e810faafd</t>
  </si>
  <si>
    <t>Domingo</t>
  </si>
  <si>
    <t>`</t>
  </si>
  <si>
    <t>Donde  x  puede ser una cadena que incluye caracteres alfanuméricos, espacios( ), letras mayúsculas (A-Z), minúsculas (a-z) y tildes (á, é, í, ó, ú)</t>
  </si>
  <si>
    <t>Filtro/Listar/Mostrar[Orden{1}/BusquedaGeneral{SI}/Ordenador{NO}/Reordenamiento{NO} ]</t>
  </si>
  <si>
    <t>nombre del día único</t>
  </si>
  <si>
    <t>Consultar Información  del Día</t>
  </si>
  <si>
    <t>Permite ver la información del día de la semana</t>
  </si>
  <si>
    <t>Contiene información de los diferentes días que se enviarán como base para llevar a cabo el filtro de la consulta</t>
  </si>
  <si>
    <t>Lista&lt;día&gt;</t>
  </si>
  <si>
    <t>Contiene información de los diferentes  días que cumplen con los criterios de búsqueda</t>
  </si>
  <si>
    <t>Día POL-0001</t>
  </si>
  <si>
    <t>Corresponde al identificador único que identifica cada diagnóstico realizado a una motocicleta.</t>
  </si>
  <si>
    <t>Corresponde al atributo que indica la fecha en que se realizó el diagnóstico.</t>
  </si>
  <si>
    <t>Corresponde al atributo que describe el problema reportado o encontrado en la motocicleta.</t>
  </si>
  <si>
    <t>Corresponde al atributo que indica la posible solución técnica al problema diagnosticado.</t>
  </si>
  <si>
    <t>Corresponde al motocicleta diagnosticada e indica la matricula.</t>
  </si>
  <si>
    <t>Corresponde a la sede donde se realizó el diagnóstico.</t>
  </si>
  <si>
    <t>fecha</t>
  </si>
  <si>
    <t>descripcionProblema</t>
  </si>
  <si>
    <t>posibleSolucion</t>
  </si>
  <si>
    <t>24/12/2024</t>
  </si>
  <si>
    <t>Cambio no Funciona</t>
  </si>
  <si>
    <t>Cambiar huaya del Clusth</t>
  </si>
  <si>
    <t>MRC35E</t>
  </si>
  <si>
    <t>Sede A - Baike universe</t>
  </si>
  <si>
    <t>Motor Con sonido raro</t>
  </si>
  <si>
    <t>Cambio de Aceite</t>
  </si>
  <si>
    <t>YBR67A</t>
  </si>
  <si>
    <t>Sede A - Dos Ruedas</t>
  </si>
  <si>
    <t>No Requerido</t>
  </si>
  <si>
    <t>Filtro/Listar/Mostrar[Orden{1}/BusquedaGeneral{NO}/Ordenador{NO}/Reordenamiento{NO}]</t>
  </si>
  <si>
    <t>Filtro/Listar/Mostrar[Orden{2}/BusquedaGeneral{NO}/Ordenador{NO}/Reordenamiento{NO}]</t>
  </si>
  <si>
    <t>Filtro/Listar/Mostrar[Orden{3}/BusquedaGeneral{NO}/Ordenador{NO}/Reordenamiento{NO}]</t>
  </si>
  <si>
    <t>Filtro/Listar/Mostrar[Orden{4}/CriterioOrdenamiento{1, ASC}/BusquedaGeneral{SI}/Ordenador{SI}/Reordenamiento{NO} /PropiedadesMostrar{ motocicleta.matricula}]</t>
  </si>
  <si>
    <t>Filtro/Listar/Mostrar[Orden{4}/CriterioOrdenamiento{2, ASC}/BusquedaGeneral{SI}/Ordenador{SI}/Reordenamiento{NO} /PropiedadesMostrar{ sede.nombre}]</t>
  </si>
  <si>
    <t>Registrar  Información del Diagnóstico</t>
  </si>
  <si>
    <t>Permite crear un nuevo diagnóstico técnico</t>
  </si>
  <si>
    <t>diagnóstico</t>
  </si>
  <si>
    <t xml:space="preserve"> Contiene la información de un nuevo diagnóstico que se hace a una  motocicleta </t>
  </si>
  <si>
    <t>Diagnostico POL - 0001</t>
  </si>
  <si>
    <t>Diagnostico POL - 0002</t>
  </si>
  <si>
    <t>Generar una excepción indicando al usuario que la sede debe estar asociada al diagnóstico</t>
  </si>
  <si>
    <t>Diagnostico POL - 0003</t>
  </si>
  <si>
    <t>La motocicleta debe estar previamente registrada</t>
  </si>
  <si>
    <t>Generar una excepción indicando al usuario que debe de asociar una motocicleta para realizar el diagnostico</t>
  </si>
  <si>
    <t>Diagnostico POL - 0004</t>
  </si>
  <si>
    <t>No puede existir otro diagnostico con el mismo identificador.</t>
  </si>
  <si>
    <t>Contuar Operacion</t>
  </si>
  <si>
    <t>Modificar Información del  Diagnóstico</t>
  </si>
  <si>
    <t>Permite actualizar un diagnóstico existente</t>
  </si>
  <si>
    <t>Contiene  el identificador del diagnóstico para actualizar</t>
  </si>
  <si>
    <t>Contiene información del diagnóstico para actualizar</t>
  </si>
  <si>
    <t>Eliminar Información del Diagnóstico</t>
  </si>
  <si>
    <t>Permite eliminar un diagnóstico</t>
  </si>
  <si>
    <t>Lista&lt;diagnosticó&gt;</t>
  </si>
  <si>
    <t>Lista&lt;diagnóstico&gt;</t>
  </si>
  <si>
    <t>Contiene información del diagnóstico que cumple con el filtro</t>
  </si>
  <si>
    <t>Diagnostico POL - 0005</t>
  </si>
  <si>
    <t>Asegurar que el diagnostico a eliminar no tenga dependencias.</t>
  </si>
  <si>
    <t>Generar una excepción indicando al usuario que no es posible eliminar el diagnostico</t>
  </si>
  <si>
    <t>Consultar  Información del Diagnóstico</t>
  </si>
  <si>
    <t>Permite ver los diagnósticos registrados</t>
  </si>
  <si>
    <t>Contiene el identificador del diagnóstico a eliminar</t>
  </si>
  <si>
    <t>Diagnostico POL - 0006</t>
  </si>
  <si>
    <t>Corresponde al identificador único que identifica cada estado posible de un servicio realizado en el sistema</t>
  </si>
  <si>
    <t>Corresponde al atributo que indica el nombre del estado que puede tener un servicio realizado</t>
  </si>
  <si>
    <t>El estado del servicio realizado no debe tener duplicidad en el nombre del estado</t>
  </si>
  <si>
    <t>Pendiente</t>
  </si>
  <si>
    <t>En Proceso</t>
  </si>
  <si>
    <t>Finalizado</t>
  </si>
  <si>
    <t>Cancelado</t>
  </si>
  <si>
    <t>Nombre del estado del servicio único</t>
  </si>
  <si>
    <t>Consultar Información del Estado del Servicio Realizado</t>
  </si>
  <si>
    <t>Lista&lt;estadoServicioRealizado&gt;</t>
  </si>
  <si>
    <t>Contiene información del Servicio que cumple con el filtro</t>
  </si>
  <si>
    <t>Estado Servicio Realizado POL - 0001</t>
  </si>
  <si>
    <t>Generar una excepción indicando al Servicio que el número de cédula ya está registrado.</t>
  </si>
  <si>
    <t>Corresponde al identificador único que identifica cada evidencia fotográfica asociada a una motocicleta.</t>
  </si>
  <si>
    <t>Corresponde al atributo que indica el ángulo de la evidencia fotográfica de la motocicleta.</t>
  </si>
  <si>
    <t>Corresponde al atributo que indica la placa de la motocicleta a la que pertenece la evidencia fotográfica.</t>
  </si>
  <si>
    <t>La evidencia fotográfica de la motocicleta no debe tener duplicidad en la combinación del tipo de evidencia fotográfica y la placa de la motocicleta</t>
  </si>
  <si>
    <t>anguloEvidencia</t>
  </si>
  <si>
    <t xml:space="preserve">Frontal </t>
  </si>
  <si>
    <t xml:space="preserve">Lateral </t>
  </si>
  <si>
    <t xml:space="preserve">Trasera </t>
  </si>
  <si>
    <t>AXA66N</t>
  </si>
  <si>
    <t>Inicio</t>
  </si>
  <si>
    <t xml:space="preserve">Filtro/Listar/Mostrar[Orden{1}//BusquedaGeneral{NO}/Ordenador{NO}/Reordenamiento{NO} </t>
  </si>
  <si>
    <t>Filtro/Listar/Mostrar[Orden{2}/CriterioOrdenamiento{1, ASC}/BusquedaGeneral{SI}/Ordenador{SI}/Reordenamiento{NO} /PropiedadesMostrar{ motocicleta.matricula}]</t>
  </si>
  <si>
    <t>Angulo y matricula única</t>
  </si>
  <si>
    <t>Cargar evidencia fotográfica de la  Motocicleta</t>
  </si>
  <si>
    <t>Permite cargar una nueva evidencia fotografía de una motocicleta</t>
  </si>
  <si>
    <t>Datos</t>
  </si>
  <si>
    <t>evidenciaFotografica</t>
  </si>
  <si>
    <t>Contiene información de los datos de la evidencia foto a registrar</t>
  </si>
  <si>
    <t>Evidencia Fotográfica POL-0002</t>
  </si>
  <si>
    <t>Evidencia Fotográfica POL-0003</t>
  </si>
  <si>
    <t>La evidencia fotográfica debe de estar previamente verificada</t>
  </si>
  <si>
    <t>Generar una excepción indicando que la evidencia fotográfica no se puedo verificar correctamente</t>
  </si>
  <si>
    <t>Evidencia Fotográfica POL-0005</t>
  </si>
  <si>
    <t>No puede existir otra evidencia fotográfica con el mismo identificador.</t>
  </si>
  <si>
    <t>Continuar Operación</t>
  </si>
  <si>
    <t>Actualizar evidencia fotográfica de la  Motocicleta</t>
  </si>
  <si>
    <t>Permite hacer cambios en la  evidencia fotográfica de motocicleta</t>
  </si>
  <si>
    <t>Contiene el identificador de la evidencia Foto</t>
  </si>
  <si>
    <t>Contiene información de los datos de la evidencia foto a modificar</t>
  </si>
  <si>
    <t>Consultar evidencia fotográfica de la Motocicleta</t>
  </si>
  <si>
    <t>Permite visualizar una evidencia fotográfica específica de una motocicleta</t>
  </si>
  <si>
    <t>Lista&lt;evidenciaFotografica&gt;</t>
  </si>
  <si>
    <t>Contiene información de la evidencia fotográfica específica de una motocicleta que cumple con el filtro</t>
  </si>
  <si>
    <t>Evidencia Fotográfica POL-0006</t>
  </si>
  <si>
    <t>Eliminar evidencia fotográfica de la  Motocicleta</t>
  </si>
  <si>
    <t>Permite eliminar una evidencia fotográfica existente del sistema</t>
  </si>
  <si>
    <t>Contiene el identificador de la evidencia foto  para eliminar</t>
  </si>
  <si>
    <t>Contiene información del servicio que cumple con el filtro</t>
  </si>
  <si>
    <t>Evidencia Fotográfica POL-0004</t>
  </si>
  <si>
    <t>La evidencia fotográfica por eliminar no debe tener dependencias asociadas a la motocicleta</t>
  </si>
  <si>
    <t>Generar una excepción indicando que la evidencia fotográfica no se puede eliminar porque está asociada a la motocicleta</t>
  </si>
  <si>
    <t>Corresponde al identificador único que identifica cada excepción de horario en el sistema.</t>
  </si>
  <si>
    <t>Corresponde al horarioEstebleciemiento que indica el horario del establecimiento al que se le aplica la excepción.</t>
  </si>
  <si>
    <t>Corresponde al horarioEstablecimeinto que indica la fecha inicial de la excepción.</t>
  </si>
  <si>
    <t>Corresponde al atributo que indica la fecha final de la excepción.</t>
  </si>
  <si>
    <t>Corresponde al atributo que indica la hora inicial de la excepción.</t>
  </si>
  <si>
    <t>Corresponde al atributo que indica la hora final de la excepción.</t>
  </si>
  <si>
    <t>La excepción de horario no debe tener duplicidad en la combinación de fecha de inicio y hora de inicio.</t>
  </si>
  <si>
    <t>La excepción de horario no debe tener duplicidad en la combinación de fecha de fin y hora de fin</t>
  </si>
  <si>
    <t>fecahInicioExep</t>
  </si>
  <si>
    <t>fechaFinExep</t>
  </si>
  <si>
    <t>horaInicioExep</t>
  </si>
  <si>
    <t>horaFinExep</t>
  </si>
  <si>
    <t xml:space="preserve"> 45526d94-b0c6-499f-9cf7-5328f7fc9a6a</t>
  </si>
  <si>
    <t>12:00 a. m.</t>
  </si>
  <si>
    <t>07/12/2024 - 00:00:00</t>
  </si>
  <si>
    <t>07/12/2024 - 23:59:00</t>
  </si>
  <si>
    <t xml:space="preserve"> f645fc7a-d0d5-4966-a676-00711aee8890</t>
  </si>
  <si>
    <t>06/01/2025 - 00:00:00</t>
  </si>
  <si>
    <t>06/01/2025 - 23:59:00</t>
  </si>
  <si>
    <t xml:space="preserve"> 3a599380-8d29-4c20-b5b9-56b923d28cd4</t>
  </si>
  <si>
    <t>23/12/2021</t>
  </si>
  <si>
    <t>23/12/2021 - 12:00:00</t>
  </si>
  <si>
    <t>01/01/2022 - 23:59:00</t>
  </si>
  <si>
    <t xml:space="preserve"> e2001ba8-f6c8-40b1-aa67-3baace053203</t>
  </si>
  <si>
    <t>06/01/2021 - 00:00:00</t>
  </si>
  <si>
    <t>06/01/2022 - 23:59:00</t>
  </si>
  <si>
    <t>Requerido / NO Modificable</t>
  </si>
  <si>
    <t>horario Establecimiento</t>
  </si>
  <si>
    <t>Filtro/Listar/Mostrar[Orden{1}/CriterioOrdenamiento{1, ASC}/BusquedaGeneral{SI}/Ordenador{SI}/Reordenamiento{NO} /PropiedadesMostrar{ horarioSede.nombre}]</t>
  </si>
  <si>
    <t>Filtro/Listar/Mostrar[Orden{2}/BusquedaGeneral{SI}/Ordenador{NO}/Reordenamiento{NO} ]</t>
  </si>
  <si>
    <t>Filtro/Listar/Mostrar[Orden{5}/BusquedaGeneral{NO}/Ordenador{NO}/Reordenamiento{NO} ]</t>
  </si>
  <si>
    <t>Fecha y hora de inicio únicos</t>
  </si>
  <si>
    <t>Fecha y hora de fin únicos</t>
  </si>
  <si>
    <t>Registrar Información de la Excepción de  Horario</t>
  </si>
  <si>
    <t>Permite crear una nueva excepción en el horario regular</t>
  </si>
  <si>
    <t>excepcionHorario</t>
  </si>
  <si>
    <t>Contiene información requerida para llevar a cabo el registro de una nueva excepción del horario</t>
  </si>
  <si>
    <t>Excepción Horario POL- 0004</t>
  </si>
  <si>
    <t>La excepción de horario debe ser programada con mínimo 24 horas de anticipación y no puede ser programada para una fecha que esté antes de la actual</t>
  </si>
  <si>
    <t>Excepción Horario POL- 0003</t>
  </si>
  <si>
    <t>La excepción debe estar dentro del horario regular</t>
  </si>
  <si>
    <t>Excepción Horario POL- 0002</t>
  </si>
  <si>
    <t>No debe existir una excepción horario  con el mismo identificador.</t>
  </si>
  <si>
    <t>Excepción Horario POL- 0001</t>
  </si>
  <si>
    <t>Modificar Información de la Excepción Horario</t>
  </si>
  <si>
    <t>Permite actualizar una excepción existente</t>
  </si>
  <si>
    <t>Contiene información de los datos de la excepción horario a modificar</t>
  </si>
  <si>
    <t>Excepción Horario POL-0005</t>
  </si>
  <si>
    <t>Solo se podrán modificar las excepciones de horario cuya fecha sea posterior a la fecha actual</t>
  </si>
  <si>
    <t>Contiene  el identificador de la excepción horario a modificar la información</t>
  </si>
  <si>
    <t>Excepción Horario POL-0001</t>
  </si>
  <si>
    <t>Eliminar Información de la Excepción Horario</t>
  </si>
  <si>
    <t>Permite eliminar una excepción de horario</t>
  </si>
  <si>
    <t>Contiene el identificador de la excepción horario a eliminarle la  información</t>
  </si>
  <si>
    <t>Excepción Horario POL-0006</t>
  </si>
  <si>
    <t>Asegurar que la excepción horario no esté vinculada a una sede</t>
  </si>
  <si>
    <t>Consultar Información de la  Excepción Horario</t>
  </si>
  <si>
    <t>Permite ver las excepciones programadas</t>
  </si>
  <si>
    <t>Lista&lt;excepción horario&gt;</t>
  </si>
  <si>
    <t>Contiene información del Excepción Horario que cumple con el filtro</t>
  </si>
  <si>
    <t>Excepción Horario POL - 0007</t>
  </si>
  <si>
    <t>Activar  La Excepción Horario</t>
  </si>
  <si>
    <t>Permite activar una excepción de horario</t>
  </si>
  <si>
    <t>Contiene el identificador de la excepción  horario para activar</t>
  </si>
  <si>
    <t>Excepción Horario POL - 0001</t>
  </si>
  <si>
    <t>Excepción Horario POL - 0008</t>
  </si>
  <si>
    <t>la excepción horario debe estar previamente desactivado</t>
  </si>
  <si>
    <t>Desactivar la Excepción Horario</t>
  </si>
  <si>
    <t>Permite desactivar una excepción de horario</t>
  </si>
  <si>
    <t>Contiene el identificador de la excepción horario para desactivar</t>
  </si>
  <si>
    <t>Excepción Horario POL - 0009</t>
  </si>
  <si>
    <t>la excepción horario debe estar previamente activado</t>
  </si>
  <si>
    <t>Corresponde al identificador único que identifica cada franquicia</t>
  </si>
  <si>
    <t>Corresponde al atributo que indica el nombre comercial de la franquicia</t>
  </si>
  <si>
    <t>La franquicia no debe tener duplicidad en su nombre</t>
  </si>
  <si>
    <t>b9c4e9f8-8f3b-4c2a-bb1d-7c8f8b2f1a5e</t>
  </si>
  <si>
    <t>Baike universe</t>
  </si>
  <si>
    <t>d7c1e0a3-5f6e-4a4a-bb3b-e1f8d2b9c6a1</t>
  </si>
  <si>
    <t>a3d5e7c2-1d0f-4c9f-ae6e-5b6a8c0e9d3b</t>
  </si>
  <si>
    <t>Dos Ruedas</t>
  </si>
  <si>
    <t>f8e6c1a4-3ad6-4a5f-bf0d-2b4e0c5d7a2f</t>
  </si>
  <si>
    <t>MotoLand</t>
  </si>
  <si>
    <t>Todo Motos</t>
  </si>
  <si>
    <t>Filtro/Listar/Mostrar[Orden{1}/CriterioOrdenamiento{1, ASC}/BusquedaGeneral{SI}/Ordenador{SI}/Reordenamiento{NO} ]</t>
  </si>
  <si>
    <t>nombre franquicia</t>
  </si>
  <si>
    <t>Registrar Información de la  Franquicia</t>
  </si>
  <si>
    <t>Permite crear un nuevo Franquicia en el sistema</t>
  </si>
  <si>
    <t>Contiene información requerida para llevar a cabo el registro de una nueva franquicia</t>
  </si>
  <si>
    <t>Franquicia-POL-001</t>
  </si>
  <si>
    <t>Franquicia- POL-0002</t>
  </si>
  <si>
    <t>No debe existir una franquicia previamente registrada con el mismo nombre.</t>
  </si>
  <si>
    <t>Franquicia- POL-0003</t>
  </si>
  <si>
    <t>No puede existir otra franquicia con el mismo identificador.</t>
  </si>
  <si>
    <t>Modificar Información de la  Franquicia</t>
  </si>
  <si>
    <t>Permite modificar la información del Franquicia</t>
  </si>
  <si>
    <t>Contiene información de los datos de la franquicia  a modificar</t>
  </si>
  <si>
    <t xml:space="preserve"> Franquicia POL-0001</t>
  </si>
  <si>
    <t>Contiene  el identificador de la franquicia a modificar la información</t>
  </si>
  <si>
    <t>Eliminar Información de la Franquicia</t>
  </si>
  <si>
    <t>Permite dar de baja a un Franquicia</t>
  </si>
  <si>
    <t>Contiene el identificador de la franquicia a eliminar</t>
  </si>
  <si>
    <t>Franquicia- POL-0004</t>
  </si>
  <si>
    <t>La Franquicia a eliminar no debe de tener sedes asociadas</t>
  </si>
  <si>
    <t>Generar una excepción indicando al Representante Sede que el representante sede está vinculado a una sede</t>
  </si>
  <si>
    <t>Consultar Información de la  Franquicia</t>
  </si>
  <si>
    <t>Permite ver la información del Franquicia y sus sedes</t>
  </si>
  <si>
    <t>Lista&lt;franquicia&gt;</t>
  </si>
  <si>
    <t>Contiene información del representante sede que cumple con el filtro</t>
  </si>
  <si>
    <t xml:space="preserve"> Franquicia POL - 0005</t>
  </si>
  <si>
    <t>Generar una excepción indicándole al Representante Sede que hay problemas con los datos ingresados y de ser posible indicarle cómo solucionarlos</t>
  </si>
  <si>
    <t>Corresponde al identificador único que identifica cada horario de la sede  en el sistema.</t>
  </si>
  <si>
    <t>Corresponde a la sede que le pertenece el horario.</t>
  </si>
  <si>
    <t>Corresponde al atributo que indica la fecha inicial de vigencia del horario de la sede.</t>
  </si>
  <si>
    <t>Corresponde al atributo que indica la fecha final de vigencia del horario de la sede.</t>
  </si>
  <si>
    <t>Corresponde al atributo que indica si el horario del sede está vigente.</t>
  </si>
  <si>
    <t>El horario sede no debe tener duplicidad en la combinación del nombre de la sede con su fecha de inicio y fecha fin de vigencia.</t>
  </si>
  <si>
    <t>fecahInicio</t>
  </si>
  <si>
    <t>fechaFin</t>
  </si>
  <si>
    <t>vigencia</t>
  </si>
  <si>
    <t>Sede A - Baike universe - 01/01/2024 -06/12/2028</t>
  </si>
  <si>
    <t>Sede A - Dos Ruedas - 01/01/2020 -05/16/2022</t>
  </si>
  <si>
    <t>Requerido / No modificable</t>
  </si>
  <si>
    <t>Requerido / modificable</t>
  </si>
  <si>
    <t>sede  con fecha de inicio y de fin  único</t>
  </si>
  <si>
    <t>Registrar Información del  Horario Sede</t>
  </si>
  <si>
    <t>Registrar Información  del Horario Sede</t>
  </si>
  <si>
    <t>Contiene información requerida para llevar a cabo el registro del nuevo horario de una sede</t>
  </si>
  <si>
    <t>Horario Sede POL-0004</t>
  </si>
  <si>
    <t>Horario Sede POL-0003</t>
  </si>
  <si>
    <t>Los horarios de una misma sede no se debe de solapar entre sí</t>
  </si>
  <si>
    <t>Horario Sede POL-0001</t>
  </si>
  <si>
    <t>Horario Sede POL-0002</t>
  </si>
  <si>
    <t>No debe haber horarios repetidos para una misma sede</t>
  </si>
  <si>
    <t>Horario Sede POL-0005</t>
  </si>
  <si>
    <t>No debe haber horarios  registrados con el mismo identificador</t>
  </si>
  <si>
    <t>Modificar Información del  Horario Sede</t>
  </si>
  <si>
    <t>Modificar Información del Horario Sede</t>
  </si>
  <si>
    <t>Contiene información de los datos del horario sede a modificar</t>
  </si>
  <si>
    <t>Contiene  el identificador del horario sede a modificar la información</t>
  </si>
  <si>
    <t>Los horarios no se deben de solapar</t>
  </si>
  <si>
    <t>Horario Sede POL-0006</t>
  </si>
  <si>
    <t>Debe haber un horario Sede previamente asociado</t>
  </si>
  <si>
    <t>Eliminar Información del  Horario Sede</t>
  </si>
  <si>
    <t>Eliminar Información del Horario Sede</t>
  </si>
  <si>
    <t>Contiene el identificador del horario sede a eliminar</t>
  </si>
  <si>
    <t>Horario Sede POL- 0008</t>
  </si>
  <si>
    <t>El horario Sede debe estar desactivado</t>
  </si>
  <si>
    <t>Horario Sede POL-0009</t>
  </si>
  <si>
    <t>El horario sede a eliminar no debe de estar vinculado a una sede</t>
  </si>
  <si>
    <t>Consultar Información  del Horario Sede</t>
  </si>
  <si>
    <t>Consultar Información del  Horario Sede</t>
  </si>
  <si>
    <t>Lista&lt;horarioSede&gt;</t>
  </si>
  <si>
    <t>Contiene información del horario sede que cumple con el filtro</t>
  </si>
  <si>
    <t>Horario Sede POL - 0007</t>
  </si>
  <si>
    <t>Activar el  Horario Sede</t>
  </si>
  <si>
    <t>Activar  el Horario Sede</t>
  </si>
  <si>
    <t>Contiene el identificador de la horario Sede  para activar</t>
  </si>
  <si>
    <t>Horario Sede POL- 0001</t>
  </si>
  <si>
    <t>El horario Sede debe estar previamente desactivado</t>
  </si>
  <si>
    <t>Desactivar el Horario Sede</t>
  </si>
  <si>
    <t>Desactivar  el Horario Sede</t>
  </si>
  <si>
    <t>Contiene el identificador de la horario Sede  para desactivar</t>
  </si>
  <si>
    <t>Horario Sede POL- 0011</t>
  </si>
  <si>
    <t>El horario Sede debe estar previamente activado</t>
  </si>
  <si>
    <t>Corresponde al identificador único que representa cada imagen asociada a una motocicleta en el sistema.</t>
  </si>
  <si>
    <t>Corresponde al identificador de la evidencia fotografica a la que pertenece la imagen.</t>
  </si>
  <si>
    <t>Corresponde al atributo que contiene la url de la  imagen de la motocicleta.</t>
  </si>
  <si>
    <t>El detalle de la imagen y su perspectiva no debe tener duplicidad en el registro fotográfico de una misma vista de la motocicleta.</t>
  </si>
  <si>
    <t>evidencia_Fotografica</t>
  </si>
  <si>
    <t>urlimagen</t>
  </si>
  <si>
    <t xml:space="preserve"> 9d75c46b-dadf-4374-a547-28aef3bd6abc</t>
  </si>
  <si>
    <t>urlImagen1</t>
  </si>
  <si>
    <t xml:space="preserve"> 34900b56-8183-4321-8dad-bf471c3a240a</t>
  </si>
  <si>
    <t>urlImagen2</t>
  </si>
  <si>
    <t xml:space="preserve"> 47f10a7e-ef9d-4b0f-85bf-20e65465c63c</t>
  </si>
  <si>
    <t>urlImagen3</t>
  </si>
  <si>
    <t xml:space="preserve"> f94eb825-070e-4027-a680-3a56e171c50b</t>
  </si>
  <si>
    <t>urlImagen4</t>
  </si>
  <si>
    <t xml:space="preserve"> 
</t>
  </si>
  <si>
    <t xml:space="preserve">Filtro/Listar/Mostrar[Orden{1}/BusquedaGeneral{SI}/Ordenador{SI}/Reordenamiento{NO} </t>
  </si>
  <si>
    <t>Donde  x  puede ser una cadena que incluye caracteres alfanuméricos, letras mayúsculas (A-Z), minúsculas (a-z) y tildes (á, é, í, ó, ú)</t>
  </si>
  <si>
    <t>Perspectiva de imagen única</t>
  </si>
  <si>
    <t>Agregar la imagen de la Motocicleta</t>
  </si>
  <si>
    <t>Permite añadir  una nueva imagen de una motocicleta</t>
  </si>
  <si>
    <t xml:space="preserve"> Contiene la url  de la imagen de la motocicleta a agregar</t>
  </si>
  <si>
    <t>Imagen POL - 0001</t>
  </si>
  <si>
    <t>Imagen POL - 0002</t>
  </si>
  <si>
    <t>La imagen debe cumplir con un formato permitido</t>
  </si>
  <si>
    <t>Generar una excepción indicando al usuario que la imagen no tiene el formato requerido</t>
  </si>
  <si>
    <t>Imagen POL - 0003</t>
  </si>
  <si>
    <t>La imagen no debe exceder un tamaño máximo definido</t>
  </si>
  <si>
    <t>Generar una excepción indicando al usuario que la imagen no cumple con el tamano requerido</t>
  </si>
  <si>
    <t>Imagen POL - 0004</t>
  </si>
  <si>
    <t>No puede existir otra Imagen con el mismo identificador.</t>
  </si>
  <si>
    <t>Actualizar la Imagen de la  Motocicleta</t>
  </si>
  <si>
    <t>Permite actualizar una Imagen de motocicleta</t>
  </si>
  <si>
    <t>Contiene  el identificador de la url de la imagen para actualizar</t>
  </si>
  <si>
    <t>Contiene la url de la imagen para actualizar</t>
  </si>
  <si>
    <t>Consultar la Imagen de la Motocicleta</t>
  </si>
  <si>
    <t>Permite visualizar una Imagen específica de una motocicleta</t>
  </si>
  <si>
    <t>Lista&lt;imagen&gt;</t>
  </si>
  <si>
    <t>Contiene información de la url de la imagen que cumple con el filtro</t>
  </si>
  <si>
    <t>Imagen POL - 0005</t>
  </si>
  <si>
    <t>Eliminar la  Imagen de la  Motocicleta</t>
  </si>
  <si>
    <t>Permite eliminar una Imagen existente del sistema</t>
  </si>
  <si>
    <t>Contiene el identificador de la url de la imagen a eliminar</t>
  </si>
  <si>
    <t>Corresponde al identificador único que va a permitir diferenciar cada una de las líneas de motocicletas en el sistema</t>
  </si>
  <si>
    <t>Corresponde al atributo que da a conocer las líneas que manejan las  marcas de motocicleta que la identifica dentro del catálogo del fabricante.</t>
  </si>
  <si>
    <t>Corresponde a la marca que relaciona la línea con el fabricante de la motocicleta</t>
  </si>
  <si>
    <t>El nombre de la línea no debe estar duplicado</t>
  </si>
  <si>
    <t>El nombre de la línea no se debe de repetir dentro de la marca ni fuera de la marca</t>
  </si>
  <si>
    <t>Boxer</t>
  </si>
  <si>
    <t>Bajaj</t>
  </si>
  <si>
    <t>Boxer Bajaj</t>
  </si>
  <si>
    <t>Pulsar</t>
  </si>
  <si>
    <t>Pulsar Bajaj</t>
  </si>
  <si>
    <t>XR</t>
  </si>
  <si>
    <t>Honda</t>
  </si>
  <si>
    <t>XR Honda</t>
  </si>
  <si>
    <t>XRE</t>
  </si>
  <si>
    <t>XRE Honda</t>
  </si>
  <si>
    <t>CB</t>
  </si>
  <si>
    <t>CB Honda</t>
  </si>
  <si>
    <t>FZ</t>
  </si>
  <si>
    <t>Yamaha</t>
  </si>
  <si>
    <t>FZ Yamaha</t>
  </si>
  <si>
    <t>XTZ</t>
  </si>
  <si>
    <t>XTZ Yamaha</t>
  </si>
  <si>
    <t>MT</t>
  </si>
  <si>
    <t>MT Yamaha</t>
  </si>
  <si>
    <t>Filtro/Listar/Mostrar[Orden{2}/CriterioOrdenamiento{1, ASC}/BusquedaGeneral{SI}/Ordenador{SI}/Reordenamiento{NO} /PropiedadesMostrar{ marca.nombre}]</t>
  </si>
  <si>
    <t>Nombre de línea único</t>
  </si>
  <si>
    <t>Nombre de línea y marca único</t>
  </si>
  <si>
    <t>Nota: En el backlog dejar en las últimas opciones funcionalidades que se pueden implementar a futuro(no son prioridad en el monto)</t>
  </si>
  <si>
    <t>Consultar Información de las Líneas  de una marca de motocicletas</t>
  </si>
  <si>
    <t>Permite ver la información de las líneas de una marca de motocicleta</t>
  </si>
  <si>
    <t>Contiene información de todas las líneas que se enviarán como base para llevar a cabo el filtro de consulta</t>
  </si>
  <si>
    <t>Lista&lt;Línea&gt;</t>
  </si>
  <si>
    <t>Contiene información de todas las líneas que cumplen con el filtro de consulta</t>
  </si>
  <si>
    <t>Línea POL-0001</t>
  </si>
  <si>
    <t>Crear la línea de una Marca de Motocicleta</t>
  </si>
  <si>
    <t>Permite crear  líneas dentro de una  marca de motocicleta</t>
  </si>
  <si>
    <t>Contiene información requerida para llevar a cabo el registro de una nueva línea dentro de una marca de motocicleta</t>
  </si>
  <si>
    <t>Línea POL-0002</t>
  </si>
  <si>
    <t>No puede existir otra linea con el mismo identificador.</t>
  </si>
  <si>
    <t>Línea POL-0003</t>
  </si>
  <si>
    <t>La línea a registrar no debe de estar previamente registrada en la misma línea</t>
  </si>
  <si>
    <t>Generar una excepción indicándole al usuario que la línea ye se encuentra registrada</t>
  </si>
  <si>
    <t>.</t>
  </si>
  <si>
    <t>Corresponde al identificador único que va a permitir diferenciar cada una de las líneas de motocicletas y su categoría en el sistema</t>
  </si>
  <si>
    <t>Corresponde a la línea de motocicleta que la identifica dentro del catálogo del fabricante.</t>
  </si>
  <si>
    <t>Corresponde a la categoría que determina el tipo de uso principal de la motocicleta según sus características.</t>
  </si>
  <si>
    <t>No puede haber lineas y marcas repetidas</t>
  </si>
  <si>
    <t>líneaMarca</t>
  </si>
  <si>
    <t xml:space="preserve"> a5ec9c1a-aa93-4ea4-9785-d5ab6065ab5d</t>
  </si>
  <si>
    <t xml:space="preserve"> 825169c7-b701-4aa4-a7d3-0f5de4168046</t>
  </si>
  <si>
    <t xml:space="preserve"> 7f372239-745d-4061-995e-bf0c21043184</t>
  </si>
  <si>
    <t xml:space="preserve"> b4f0225a-e513-4dd0-ad1b-0c6977973e98</t>
  </si>
  <si>
    <t>Filtro/Listar/Mostrar[Orden{1}/CriterioOrdenamiento{1, ASC}/BusquedaGeneral{SI}/Ordenador{SI}/Reordenamiento{NO} /PropiedadesMostrar{  linea.nombre}]</t>
  </si>
  <si>
    <t>Filtro/Listar/Mostrar[Orden{1}/CriterioOrdenamiento{1, ASC}/BusquedaGeneral{SI}/Ordenador{SI}/Reordenamiento{NO} /PropiedadesMostrar{ categoria.nombre}]</t>
  </si>
  <si>
    <t>línea y marca unicos</t>
  </si>
  <si>
    <t>Crear asociación de la  Línea Categoría</t>
  </si>
  <si>
    <t>Permite crear una nueva relación entre línea y categoría</t>
  </si>
  <si>
    <t>líneaCategoria</t>
  </si>
  <si>
    <t>Contiene información requerida para llevar a cabo el registro de una nueva línea categoría</t>
  </si>
  <si>
    <t>Línea Categoría  POL-0002</t>
  </si>
  <si>
    <t>Línea Categoría  POL-0003</t>
  </si>
  <si>
    <t>No puede existir otra línea categoría con el mismo identificador</t>
  </si>
  <si>
    <t>Generar un nuevo identificador hasta garantizar que no exista.</t>
  </si>
  <si>
    <t>Línea Categoría  POL-0004</t>
  </si>
  <si>
    <t>No puede existir otra línea categoría con el mismo nombre</t>
  </si>
  <si>
    <t>Generar una excepción indicándole al usuario que ya hay una marca con el nombre deseado</t>
  </si>
  <si>
    <t>Consultar  Información de la  Línea Categoría</t>
  </si>
  <si>
    <t>Permite ver la relación entre línea y categoría</t>
  </si>
  <si>
    <t>Contiene información de todas las líneas y categorías que se enviarán como base para llevar a cabo el filtro de consulta</t>
  </si>
  <si>
    <t>Lista&lt;LineaCategoria&gt;</t>
  </si>
  <si>
    <t>Contiene información de las relaciones línea categoría que cumplen con los criterios de búsqueda</t>
  </si>
  <si>
    <t>Línea Categoría  POL-0001</t>
  </si>
  <si>
    <t>Corresponde al identificador que va a permitir diferenciar cada una de las marcas de motocicletas</t>
  </si>
  <si>
    <t>Corresponde al atributo nombre que permite saber cuál es la marca de una motocicleta</t>
  </si>
  <si>
    <t xml:space="preserve">El nombre del fabricante de motocicleta no se debe de repetir </t>
  </si>
  <si>
    <t xml:space="preserve"> 58cf7d28-899c-49fa-bf79-1f3e55157387</t>
  </si>
  <si>
    <t xml:space="preserve"> 9d328e5f-918b-4597-a356-ac114739f7a0</t>
  </si>
  <si>
    <t xml:space="preserve"> 79c43a01-3762-4799-9b1a-a2479e958c0a</t>
  </si>
  <si>
    <t xml:space="preserve"> 18b45225-f544-40f2-80c2-9eea2788704d</t>
  </si>
  <si>
    <t>AKT</t>
  </si>
  <si>
    <t xml:space="preserve"> 12f5f4b4-80c9-4f67-8ce4-16f80e5b559f</t>
  </si>
  <si>
    <t>Suzuki</t>
  </si>
  <si>
    <t xml:space="preserve"> 620174e1-c90f-4c08-9d0b-bbb62bcd07dd</t>
  </si>
  <si>
    <t>Hero</t>
  </si>
  <si>
    <t xml:space="preserve"> 39aaa4dc-34c9-40a1-a3af-ddf89df645ac</t>
  </si>
  <si>
    <t>Benelli</t>
  </si>
  <si>
    <t xml:space="preserve"> a5821f07-3dff-4362-8adf-62e972d9ab75</t>
  </si>
  <si>
    <t>BMW</t>
  </si>
  <si>
    <t>Consultar Información de las Marcas de Motocicletas</t>
  </si>
  <si>
    <t>Nombre de Marca único</t>
  </si>
  <si>
    <t>No debe existir un nombre de marca duplicado</t>
  </si>
  <si>
    <t>Agregar información de la  Marca de la Motocicleta</t>
  </si>
  <si>
    <t>Permite agregar una nueva  marca de motocicleta</t>
  </si>
  <si>
    <t>Contiene información requerida para llevar a cabo el registro de un  una nueva marca</t>
  </si>
  <si>
    <t>Marca POL-0004</t>
  </si>
  <si>
    <t>Generar una excepción indicando que la marca de motocicleta ya está registrada</t>
  </si>
  <si>
    <t>Marca POL-0002</t>
  </si>
  <si>
    <t>No puede existir otra marca de motocicleta con el mismo nombre</t>
  </si>
  <si>
    <t>Marca POL-0003</t>
  </si>
  <si>
    <t>No puede existir otra marca de motocicleta con el mismo identificador</t>
  </si>
  <si>
    <t>Permite buscar  marcas de motocicleta</t>
  </si>
  <si>
    <t>Contiene Información de todas  las marcas  que cumplen con el filtro de consulta</t>
  </si>
  <si>
    <t>Marca POL-0001</t>
  </si>
  <si>
    <t>Contiene Información de todas  las marcas  que  se enviaran como base para llevar acabo el filtro de consulta</t>
  </si>
  <si>
    <t>Lista&lt;Marca&gt;</t>
  </si>
  <si>
    <t>Corresponde al identificador único que corresponde a un UUID para identificar cada registro de motocicleta en el sistema.</t>
  </si>
  <si>
    <t xml:space="preserve"> Corresponde al atributo alfanumérico único que identifica oficialmente a la motocicleta.</t>
  </si>
  <si>
    <t xml:space="preserve"> Corresponde al modelo que contiene el nombre comercial que especifica el tipo y versión específica de la motocicleta.</t>
  </si>
  <si>
    <t>Corresponde al usuario que identifica de manera única al dueño actual de la motocicleta en el sistema.</t>
  </si>
  <si>
    <t>Corresponde al atributo que indica el año de fabricación  de la motocicleta.</t>
  </si>
  <si>
    <t>la identificación de la motocicleta no debe de tener duplicidad en el registro.</t>
  </si>
  <si>
    <t>Vincula el identificador del propietario con la matrícula de la motocicleta para establecer una relación única entre ambos.</t>
  </si>
  <si>
    <t>matricula</t>
  </si>
  <si>
    <t>año</t>
  </si>
  <si>
    <t xml:space="preserve"> 33b3ba91-00f1-4e5d-87ec-db0a1a3cdc9a</t>
  </si>
  <si>
    <t>Boxer BM 100 CLASSIC</t>
  </si>
  <si>
    <t>1036956621 MRC35E</t>
  </si>
  <si>
    <t xml:space="preserve"> c4f7b96c-0227-488d-8961-dbe676efb98e</t>
  </si>
  <si>
    <t>Boxer CT 100</t>
  </si>
  <si>
    <t>1036956621 YBR67A</t>
  </si>
  <si>
    <t xml:space="preserve"> c6169888-9b5a-4b6d-be16-8204936621b2</t>
  </si>
  <si>
    <t>XFG89W</t>
  </si>
  <si>
    <t>XR  150L</t>
  </si>
  <si>
    <t>1037651168 XFG89W</t>
  </si>
  <si>
    <t xml:space="preserve"> 4d858539-fd65-4d52-854d-2f1de6c616d9</t>
  </si>
  <si>
    <t>BTH00P</t>
  </si>
  <si>
    <t>XRE 300</t>
  </si>
  <si>
    <t>1036961199 BTH00P</t>
  </si>
  <si>
    <t xml:space="preserve"> 752e8e22-d2ab-4aee-95ab-38a3f78c79c4</t>
  </si>
  <si>
    <t>MNJ45L</t>
  </si>
  <si>
    <t>CB 100</t>
  </si>
  <si>
    <t>1036958823 MNJ45L</t>
  </si>
  <si>
    <t xml:space="preserve"> 1f2a1254-7456-4491-8e14-9534a36100e4</t>
  </si>
  <si>
    <t>RTY61O</t>
  </si>
  <si>
    <t>FZ 250 v3.0</t>
  </si>
  <si>
    <t>1037651168 RTY61O</t>
  </si>
  <si>
    <t xml:space="preserve"> 81e2c28d-96e4-4b22-9240-3541f1c4fc3c</t>
  </si>
  <si>
    <t>XCV80B</t>
  </si>
  <si>
    <t>XTZ 125</t>
  </si>
  <si>
    <t>1036958823 XCV80B</t>
  </si>
  <si>
    <t xml:space="preserve"> fd642200-0c51-4d42-aa97-311c878cd64d</t>
  </si>
  <si>
    <t>MT 03'</t>
  </si>
  <si>
    <t>1036958823 AXA66N</t>
  </si>
  <si>
    <t xml:space="preserve"> 181e3e5f-bcdd-4b1a-a43c-8308e455f479</t>
  </si>
  <si>
    <t>PLM13U</t>
  </si>
  <si>
    <t>MT 15</t>
  </si>
  <si>
    <t>1036958823 PLM13U</t>
  </si>
  <si>
    <t>Donde  x  puede ser una cadena que incluye caracteres alfanuméricos, espacios ( ), letras mayúsculas (A-Z)</t>
  </si>
  <si>
    <t>Filtro/Listar/Mostrar[Orden{1}/CriterioOrdenamiento{1, ASC}/BusquedaGeneral{SI}/Ordenador{SI}/Reordenamiento{NO} /PropiedadesMostrar{ referencia.linea, referencia.nombre}]</t>
  </si>
  <si>
    <t>Filtro/Listar/Mostrar[Orden{2}/CriterioOrdenamiento{2, ASC}/BusquedaGeneral{SI}/Ordenador{SI}/Reordenamiento{NO} /PropiedadesMostrar{ usuario.cedula}]</t>
  </si>
  <si>
    <t>Filtro/Listar/Mostrar[Orden{2}/CriterioOrdenamiento{2, ASC}/BusquedaGeneral{SI}/Ordenador{SI}/Reordenamiento{NO} /PropiedadesMostrar{ usuario.nombre, usuario.email}]</t>
  </si>
  <si>
    <t>Filtro/Listar/Mostrar[Orden{3}/BusquedaGeneral{SI}/Ordenador{SI}/Reordenamiento{NO}]</t>
  </si>
  <si>
    <t>Matricula única</t>
  </si>
  <si>
    <t xml:space="preserve">Usuario y Matricula </t>
  </si>
  <si>
    <t>Registrar Información de la Motocicleta</t>
  </si>
  <si>
    <t>Permite registrar una nueva motocicleta</t>
  </si>
  <si>
    <t>Contiene información requerida para llevar a cabo el registro de una nueva motocicleta</t>
  </si>
  <si>
    <t>Motocicleta - POL-0001</t>
  </si>
  <si>
    <t>Motocicleta - POL-0002</t>
  </si>
  <si>
    <t>El propietario debe estar previamente registrado</t>
  </si>
  <si>
    <t>Generar una excepción indicándole al usuario que hay problemas con los datos ingresados y de ser posible indicarle como solucionarlos.</t>
  </si>
  <si>
    <t>Motocicleta - POL-0004</t>
  </si>
  <si>
    <t>No puede existir otra matricula con el mismo identificador.</t>
  </si>
  <si>
    <t>Motocicleta - POL-0003</t>
  </si>
  <si>
    <t>La matrícula de la motocicleta que se desea registrar no debe estar previamente registrada.</t>
  </si>
  <si>
    <t xml:space="preserve">Generar una excepción indicando que la matrícula de la motocicleta que desea registrar no está disponible  </t>
  </si>
  <si>
    <t>Modificar Información de la  Motocicleta</t>
  </si>
  <si>
    <t>Permite actualizar la información de una motocicleta</t>
  </si>
  <si>
    <t>Contiene información de los datos de la motocicleta  a modificar</t>
  </si>
  <si>
    <t xml:space="preserve"> Motocicleta POL-0001</t>
  </si>
  <si>
    <t>Contiene  el identificador de la motocicleta a modificar la información</t>
  </si>
  <si>
    <t>Eliminar Información de la Motocicleta</t>
  </si>
  <si>
    <t>Permite eliminar una motocicleta</t>
  </si>
  <si>
    <t>Contiene el identificador de la motocicleta a eliminar</t>
  </si>
  <si>
    <t>Motocicleta POL-0005</t>
  </si>
  <si>
    <t>Asegurar que la motocicleta a eliminar no tenga dependencias de usuario y referencia</t>
  </si>
  <si>
    <t>Consultar Información de la Motocicleta</t>
  </si>
  <si>
    <t>Permite consultar la información de una motocicleta</t>
  </si>
  <si>
    <t>Lista&lt;motocicleta&gt;</t>
  </si>
  <si>
    <t>Contiene información de la motocicletas que cumple con el filtro</t>
  </si>
  <si>
    <t>Motocicleta POL - 0006</t>
  </si>
  <si>
    <t>Consultar Información General de la Motocicleta</t>
  </si>
  <si>
    <t>Permite consultar la información general de una motocicleta</t>
  </si>
  <si>
    <t>Contiene información de la motocicleta que cumple con el filtro</t>
  </si>
  <si>
    <t>Corresponde al identificador único que identifica cada a la etiqueta y su valor de calificación en el sistema.</t>
  </si>
  <si>
    <t>Corresponde al atributo que indica el valor mínimo de la calificación.</t>
  </si>
  <si>
    <t>Corresponde al atributo que indica el valor máximo de la calificación.</t>
  </si>
  <si>
    <t>Corresponde al atributo que describe el nivel de la calificación según el valor máximo y mínimo.</t>
  </si>
  <si>
    <t>La calificación no debe tener duplicidad entre su etiqueta y sus valores mínimo y máximo</t>
  </si>
  <si>
    <t>valorMínimo</t>
  </si>
  <si>
    <t>valorMáximo</t>
  </si>
  <si>
    <t>etiquetaCalificacion</t>
  </si>
  <si>
    <t xml:space="preserve"> fd642200-0c51-4d42-aa97-311c878cd64h</t>
  </si>
  <si>
    <t xml:space="preserve">
Pésimo</t>
  </si>
  <si>
    <t>Malo</t>
  </si>
  <si>
    <t xml:space="preserve"> 7c4b0015-c525-4c0e-877e-eb155e4d5623</t>
  </si>
  <si>
    <t>Regular</t>
  </si>
  <si>
    <t xml:space="preserve"> cb572cac-4d09-4206-adfe-ba174dac8569</t>
  </si>
  <si>
    <t>Bueno</t>
  </si>
  <si>
    <t>Excelente</t>
  </si>
  <si>
    <t>Filtro/Listar/Mostrar[Orden{1}/CriterioOrdenamiento{1, ASC}/BusquedaGeneral{NO}/Ordenador{NO}/Reordenamiento{NO} ]</t>
  </si>
  <si>
    <t>Filtro/Listar/Mostrar[Orden{1}/CriterioOrdenamiento{1, ASC}/BusquedaGeneral{SI}/Ordenador{NO}/Reordenamiento{NO} ]</t>
  </si>
  <si>
    <t>valor mínimo y máximo por etiqueta único</t>
  </si>
  <si>
    <t>Consultar Información del Rango Calificación</t>
  </si>
  <si>
    <t>Permite ver los rangos de calificación disponibles</t>
  </si>
  <si>
    <t>Contiene información de las diferentes opciones para calificar un servicio que se enviarán como base para llevar a cabo el filtro de consulta</t>
  </si>
  <si>
    <t>Lista&lt;rangoCalificacion&gt;</t>
  </si>
  <si>
    <t>Contiene información de las opciones de calificación  que cumplen con los criterios de búsqueda</t>
  </si>
  <si>
    <t>Rango Calificación POL-0001</t>
  </si>
  <si>
    <t xml:space="preserve"> Corresponde al identificador único que va a permitir diferenciar cada uno de los rangos de cilindraje de las motocicletas en el sistema.</t>
  </si>
  <si>
    <t>Corresponde al atributo que muestra el nombre del rango que clasifica las motocicletas según su cilindraje.</t>
  </si>
  <si>
    <t>Corresponde al atributo que indica el valor mínimo de cilindraje en centímetros cúbicos (cc) para clasificar una motocicleta desde este rango.</t>
  </si>
  <si>
    <t>Corresponde al atributo que indica el valor máximo de cilindraje en centímetros cúbicos (cc) para clasificar una motocicleta dentro de este rango.</t>
  </si>
  <si>
    <t xml:space="preserve"> El nombre del rango no debe de tener duplicidad en el registro de rangos de cilindraje.</t>
  </si>
  <si>
    <t>rangoDesde</t>
  </si>
  <si>
    <t>rangoHasta</t>
  </si>
  <si>
    <t xml:space="preserve"> 75b9a782-db4b-4992-8b80-7d05d268cbed</t>
  </si>
  <si>
    <t>Bajo</t>
  </si>
  <si>
    <t xml:space="preserve"> 30b5d66c-fca5-431f-aded-06f3b7667dc6</t>
  </si>
  <si>
    <t>Medio</t>
  </si>
  <si>
    <t xml:space="preserve"> b953bf65-8005-4698-8acc-4d4561068847</t>
  </si>
  <si>
    <t>Alto</t>
  </si>
  <si>
    <t xml:space="preserve"> Cadena de caracteres donde x puede ser cualquier letra del alfabeto(A-Z) o (a-z) o ( 0-9, a-f).</t>
  </si>
  <si>
    <t>Filtro/Listar/Mostrar[BusquedaGeneral{SI}/Ordenador{NO}/Reordenamiento{NO}]</t>
  </si>
  <si>
    <t>Rango único</t>
  </si>
  <si>
    <t>Consultar Información del Rango Cilindraje</t>
  </si>
  <si>
    <t>Permite filtrar motocicletas por su rango de cilindraje</t>
  </si>
  <si>
    <t>Contiene información de todas las clasificaciones de motocicletas según su cilindraje que se enviarán como base para llevar a cabo el filtro de consulta</t>
  </si>
  <si>
    <t>Lista&lt;rangoCilindraje&gt;</t>
  </si>
  <si>
    <t>Rango Cilindraje  POL-0001</t>
  </si>
  <si>
    <t>Rango Cilindraje  POL-0002</t>
  </si>
  <si>
    <t>El cilindraje debe ser un número positivo y estar dentro de los rangos permitidos</t>
  </si>
  <si>
    <t xml:space="preserve"> Corresponde al identificador único que va a permitir diferenciar cada uno de las referencias de motocicletas.</t>
  </si>
  <si>
    <t>Corresponde al atributo nombre de la referencia de una motocicleta.</t>
  </si>
  <si>
    <t>Corresponde a la línea que se asocia a la referencia de una motocicleta.</t>
  </si>
  <si>
    <t>Corresponde al atributo cilindraje que indica la capacidad del motor de una motocicleta.</t>
  </si>
  <si>
    <t>Corresponde al rango del cilindraje que clasifica la referencia de una motocicleta.</t>
  </si>
  <si>
    <t>La referencia de la motocicleta no debe tener duplicidad en la combinación con su línea respectiva.</t>
  </si>
  <si>
    <t>línea</t>
  </si>
  <si>
    <t>cilindraje</t>
  </si>
  <si>
    <t>BM 100 CLASSIC</t>
  </si>
  <si>
    <t>CT 100</t>
  </si>
  <si>
    <t>150L</t>
  </si>
  <si>
    <t>250 v3.0</t>
  </si>
  <si>
    <t>03'</t>
  </si>
  <si>
    <t>Donde  x  puede ser una cadena que incluye caracteres alfanuméricos, espacios ( ), (A-Z), (a-z) ,(á, é, í, ó, ú) y (0-9)</t>
  </si>
  <si>
    <t>Filtro/Listar/Mostrar[Orden{1}/CriterioOrdenamiento{1, ASC}/BusquedaGeneral{SI}/Ordenador{SI}/Reordenamiento{NO} /PropiedadesMostrar{ linea.nombre}]</t>
  </si>
  <si>
    <t>rango Cilindraje</t>
  </si>
  <si>
    <t>Filtro/Listar/Mostrar[Orden{1}/CriterioOrdenamiento{1, ASC}/BusquedaGeneral{SI}/Ordenador{SI}/Reordenamiento{NO} /PropiedadesMostrar{referencia.rangoCilindraje}]</t>
  </si>
  <si>
    <t xml:space="preserve"> Referencia y línea únicos</t>
  </si>
  <si>
    <t>Consultar Información de la Referencia Motocicleta</t>
  </si>
  <si>
    <t>Permite visualizar las referencias de motocicleta disponibles.</t>
  </si>
  <si>
    <t>Contiene información de las referencias de motocicletas que se enviarán como base para llevar a cabo el filtro de consulta</t>
  </si>
  <si>
    <t>Lista&lt;referencia&gt;</t>
  </si>
  <si>
    <t>Contiene información de las referencias que cumplen con los criterios de búsqueda</t>
  </si>
  <si>
    <t>Referencia POL-0004</t>
  </si>
  <si>
    <t>Agregar Referencia de la Motocicleta</t>
  </si>
  <si>
    <t>Permite agregar referencias de motocicleta.</t>
  </si>
  <si>
    <t>Contiene información requerida para llevar a cabo el registro de una nueva referencia de motocicleta</t>
  </si>
  <si>
    <t>Referencia  POL-0001</t>
  </si>
  <si>
    <t>Referencia  POL-0002</t>
  </si>
  <si>
    <t>La referencia  a registrar no debe estar previamente registrada.</t>
  </si>
  <si>
    <t>Generar una excepción indicándole al usuario que ya existe la referencia</t>
  </si>
  <si>
    <t>Referencia POL-0003</t>
  </si>
  <si>
    <t>No debe existir otra referencia  con el mismo identificador.</t>
  </si>
  <si>
    <t>Corresponde al identificador único que identifica cada representante sede en el sistema</t>
  </si>
  <si>
    <t>Corresponde al atributo que indica el número de documento de identidad del representante sede</t>
  </si>
  <si>
    <t>Corresponde al atributo que indica el nombre del representante sede</t>
  </si>
  <si>
    <t>Corresponde al atributo que indica el primer apellido del representante sede</t>
  </si>
  <si>
    <t>Corresponde al atributo que indica el segundo apellido del representante sede</t>
  </si>
  <si>
    <t>Corresponde al atributo que indica el correo electrónico del representante sede</t>
  </si>
  <si>
    <t>Corresponde al atributo que indica el número de celular del representante sede</t>
  </si>
  <si>
    <t>Corresponde al atributo que indica si el correo electrónico del representante sede ha sido confirmado</t>
  </si>
  <si>
    <t>Corresponde al atributo que indica si el número de celular del representante sede ha sido confirmado
numeroCelularConfirmado</t>
  </si>
  <si>
    <t>Corresponde al atributo que indica la contraseña del representante sede</t>
  </si>
  <si>
    <t>El representante sede no debe tener duplicidad en su correo electrónico</t>
  </si>
  <si>
    <t>El representante sede no debe tener duplicidad en su número de celular</t>
  </si>
  <si>
    <t>El representante sede no debe tener duplicidad en su número de cédula</t>
  </si>
  <si>
    <t>cedula</t>
  </si>
  <si>
    <t>primerApellido</t>
  </si>
  <si>
    <t>segundoApellido</t>
  </si>
  <si>
    <t>email</t>
  </si>
  <si>
    <t>celular</t>
  </si>
  <si>
    <t>emailConfirmado</t>
  </si>
  <si>
    <t>numeroCelularConfirmado</t>
  </si>
  <si>
    <t>contraseña</t>
  </si>
  <si>
    <t>33b3ba91-00f1-4e5d-87ec-db0a1a3cdc9a</t>
  </si>
  <si>
    <t>FARID</t>
  </si>
  <si>
    <t>SANCHEZ</t>
  </si>
  <si>
    <t>farid@gmail.com</t>
  </si>
  <si>
    <t>LQ!9Bvx4HUhSkVT4Ux6Kg5</t>
  </si>
  <si>
    <t>c4f7b96c-0227-488d-8961-dbe676efb98e</t>
  </si>
  <si>
    <t>FELIPE</t>
  </si>
  <si>
    <t>VALENCIA</t>
  </si>
  <si>
    <t>URREA</t>
  </si>
  <si>
    <t>felipo@gmail.com</t>
  </si>
  <si>
    <t>Ptn#Q9%Mo8e!UAcm^#79GS</t>
  </si>
  <si>
    <t>c6169888-9b5a-4b6d-be16-8204936621b2</t>
  </si>
  <si>
    <t>JAHIR</t>
  </si>
  <si>
    <t>CASTILLO</t>
  </si>
  <si>
    <t>PAREDES</t>
  </si>
  <si>
    <t>negro@outlook.com</t>
  </si>
  <si>
    <t>QhmbCb39hXhEMPkmU7&amp;VUy</t>
  </si>
  <si>
    <t>4d858539-fd65-4d52-854d-2f1de6c616d9</t>
  </si>
  <si>
    <t>ANDREA</t>
  </si>
  <si>
    <t>LOPEZ</t>
  </si>
  <si>
    <t>ARVELAEZ</t>
  </si>
  <si>
    <t>susa@gmail.com</t>
  </si>
  <si>
    <t>LAawn6nK!Kjcc@ZxXCxf5&amp;q@LF#ytuvWc77TVXHGzF8AtKhF69$tRD^AF6i6cHDT8pq9ZCr!9v2ZNcq</t>
  </si>
  <si>
    <t xml:space="preserve">No Requerido / No Modificable </t>
  </si>
  <si>
    <t>Donde x puede ser una cadena de cualquier dígito que incluye solo números (0-9)</t>
  </si>
  <si>
    <t xml:space="preserve">Requerido / No Modificable </t>
  </si>
  <si>
    <t xml:space="preserve">Requerido / Modificable </t>
  </si>
  <si>
    <t>Correo electrónico valido</t>
  </si>
  <si>
    <t>Filtro/Listar/Mostrar[Orden{1}/BusquedaGeneral{SI}/Ordenador{NO}/Reordenamiento{NO}]</t>
  </si>
  <si>
    <t>xxxxxxxxxx</t>
  </si>
  <si>
    <t>Donde cada x puede ser cualquier dígito que incluye solo números (0-9)</t>
  </si>
  <si>
    <t>Correo único</t>
  </si>
  <si>
    <t>Número de celular único</t>
  </si>
  <si>
    <t>Número de cédula único</t>
  </si>
  <si>
    <t>Registrar Información del Representante Sede</t>
  </si>
  <si>
    <t>Permite registrar un nuevo representante para una sede específica</t>
  </si>
  <si>
    <t>Contiene información requerida para llevar a cabo el registro de un representante sede</t>
  </si>
  <si>
    <t>Representante Sede POL - 0005</t>
  </si>
  <si>
    <t>Correo electrónico del representante sede debe ser único</t>
  </si>
  <si>
    <t>Generar una excepción indicando al Representante Sede que el correo electrónico ya está registrado</t>
  </si>
  <si>
    <t>Representante Sede POL-0004</t>
  </si>
  <si>
    <t>Número de celular del representante sede debe ser único</t>
  </si>
  <si>
    <t>Generar una excepción indicando al Representante Sede que el número de celular ya está registrado</t>
  </si>
  <si>
    <t>Representante Sede POL - 0003</t>
  </si>
  <si>
    <t>Número de cédula del representante sede debe ser único</t>
  </si>
  <si>
    <t>Generar una excepción indicando al Representante Sede que el número de cédula ya está registrado</t>
  </si>
  <si>
    <t>Representante Sede POL-0002</t>
  </si>
  <si>
    <t>No puede existir otro representante sede con el mismo identificador.</t>
  </si>
  <si>
    <t>Representante Sede POL - 0001</t>
  </si>
  <si>
    <t>Modificar Información del Representante Sede</t>
  </si>
  <si>
    <t>Permite actualizar la información de un representante existente</t>
  </si>
  <si>
    <t>Contiene información de los datos del representante sede a modificar</t>
  </si>
  <si>
    <t>Representante Sede POL-0005</t>
  </si>
  <si>
    <t>Contiene  el identificador del representante sede a modificar la información</t>
  </si>
  <si>
    <t>Representante Sede POL-0003</t>
  </si>
  <si>
    <t>Representante Sede POL-0001</t>
  </si>
  <si>
    <t>Eliminar Información del Representante Sede</t>
  </si>
  <si>
    <t>Permite dar de baja a un representante del sistema</t>
  </si>
  <si>
    <t>Contiene el identificador del representante sede a eliminarle la  información</t>
  </si>
  <si>
    <t>Representante Sede POL-0006</t>
  </si>
  <si>
    <t>Asegurar que el representante sede no esté vinculado a una sede</t>
  </si>
  <si>
    <t>Consultar Información detallada  del Representante Sede</t>
  </si>
  <si>
    <t>Permite visualizar información detallada del representante</t>
  </si>
  <si>
    <t>Lista&lt;representanteSede&gt;</t>
  </si>
  <si>
    <t>Representante Sede POL - 0007</t>
  </si>
  <si>
    <t>Consultar Información General del Representante Sede</t>
  </si>
  <si>
    <t>Permite visualizar información general del representante</t>
  </si>
  <si>
    <t>Restablecer la  Clave Representante Sede</t>
  </si>
  <si>
    <t>Permite al Representante Sede restablecer su contraseña.</t>
  </si>
  <si>
    <t>contraseña nueva</t>
  </si>
  <si>
    <t>Contiene la clave nueva la cual será usada por representante sede para restablecer contraseña</t>
  </si>
  <si>
    <t>Representante Sede POL- 0008</t>
  </si>
  <si>
    <t>Debe de existir Representante Sede con Clave</t>
  </si>
  <si>
    <t>Generar una excepción indicándole al Representante Sede es un usuario no valido</t>
  </si>
  <si>
    <t>Contiene  el email del representante sede a restablecer la clave</t>
  </si>
  <si>
    <t>Representante Sede POL- 0001</t>
  </si>
  <si>
    <t>Modificar la Clave Representante Sede</t>
  </si>
  <si>
    <t>Permite al Representante Sede cambiar su contraseña.</t>
  </si>
  <si>
    <t>Contiene la clave nueva la cual será usada por representante sede para modificar la contraseña</t>
  </si>
  <si>
    <t>contraseña actual</t>
  </si>
  <si>
    <t>Contiene la clave actual la cual será usada por representante sede para modificar contraseña</t>
  </si>
  <si>
    <t>Contiene  el email del representante sede a modificar la clave</t>
  </si>
  <si>
    <t>Autenticar Información del Representante Sede</t>
  </si>
  <si>
    <t>Permite validar las credenciales del Representante Sede para acceder a su Información.</t>
  </si>
  <si>
    <t>Contiene  el email del representante sede que se va autenticar</t>
  </si>
  <si>
    <t>Contiene  la contraseña del representante sede que se va autenticar</t>
  </si>
  <si>
    <t>Corresponde al identificador único que identifica cada sede de una sede.</t>
  </si>
  <si>
    <t>Corresponde al atributo que indica el nombre comercial del establecimiento.</t>
  </si>
  <si>
    <t xml:space="preserve"> Corresponde al nombre que identifica la sede de la sede.</t>
  </si>
  <si>
    <t>Corresponde a la sede al cual pertenece la sede</t>
  </si>
  <si>
    <t xml:space="preserve">Corresponde al tipo de sede de acuerdo con los servicios que ofrece la sede </t>
  </si>
  <si>
    <t>Corresponde al número de identificación del representante legal de la sede</t>
  </si>
  <si>
    <t>La sede no debe tener duplicidad en la combinación del nombre de la sede y la franquicia a la que pertenece</t>
  </si>
  <si>
    <t>Sede A</t>
  </si>
  <si>
    <t>Sede B</t>
  </si>
  <si>
    <t>Sede B - Baike universe</t>
  </si>
  <si>
    <t>Sede A - MotoLand</t>
  </si>
  <si>
    <t>Sede A - Todo Motos</t>
  </si>
  <si>
    <t>Filtro/Listar/Mostrar[Orden{2}/CriterioOrdenamiento{2, ASC}/BusquedaGeneral{SI}/Ordenador{SI}/Reordenamiento{NO} /PropiedadesMostrar{ sede.nombre}]</t>
  </si>
  <si>
    <t>Filtro/Listar/Mostrar[Orden{3}/CriterioOrdenamiento{3, ASC}/BusquedaGeneral{SI}/Ordenador{SI}/Reordenamiento{NO} /PropiedadesMostrar{ tipoSede.nombre}]</t>
  </si>
  <si>
    <t>representantesede</t>
  </si>
  <si>
    <t>Filtro/Listar/Mostrar[Orden{4}/BusquedaGeneral{SI}/Ordenador{NO}/Reordenamiento{NO} /PropiedadesMostrar{ representanteSede.email}]</t>
  </si>
  <si>
    <t>Nombre  sede única</t>
  </si>
  <si>
    <t>Nombre establecimiento único</t>
  </si>
  <si>
    <t>Registrar Información de una nueva Sede</t>
  </si>
  <si>
    <t>Permite crear una nueva sede.</t>
  </si>
  <si>
    <t>Contiene información requerida para llevar a cabo el registro de una sede</t>
  </si>
  <si>
    <t>Sede POL - 0003</t>
  </si>
  <si>
    <t>No puede existir otra sede con el mismo identificador</t>
  </si>
  <si>
    <t>SedePOL-0002</t>
  </si>
  <si>
    <t>No debe existir una sede previamente registrada con el mismo nombre.</t>
  </si>
  <si>
    <t>Generar una excepción indicando al usuario que la sede ya está registrado</t>
  </si>
  <si>
    <t>SedePOL-0001</t>
  </si>
  <si>
    <t>Sede POL - 0004</t>
  </si>
  <si>
    <t>El tipo de Sede debe estar previamente registrado.</t>
  </si>
  <si>
    <t>Sede POL - 0005</t>
  </si>
  <si>
    <t>El representante sede debe estar previamente registrado.</t>
  </si>
  <si>
    <t>Modificar la  Información de la  Sede</t>
  </si>
  <si>
    <t>Permite modificar la información de la Sede</t>
  </si>
  <si>
    <t>Contiene información de los datos de la sede a modificar</t>
  </si>
  <si>
    <t>Validar que todos los campos cumplan con las especificaciones requeridas antes de procesar la información.</t>
  </si>
  <si>
    <t>Contiene  el identificador de la sede a modificar la información</t>
  </si>
  <si>
    <t>Eliminar Información de la  Sede</t>
  </si>
  <si>
    <t>Permite dar de baja una sede.</t>
  </si>
  <si>
    <t>Contiene  el identificador de la sede a eliminar la información</t>
  </si>
  <si>
    <t>SedePOL-0006</t>
  </si>
  <si>
    <t>La sede no debe de estar asociada a una franquicia</t>
  </si>
  <si>
    <t>Generar una excepción indicándole al usuario que no es posible eliminar la sede.</t>
  </si>
  <si>
    <t>Consultar Información de la  Sede</t>
  </si>
  <si>
    <t>Permite ver la información de una o múltiples sedes</t>
  </si>
  <si>
    <t>Lista&lt;sede&gt;</t>
  </si>
  <si>
    <t>Sede POL - 0007</t>
  </si>
  <si>
    <t>Corresponde al identificador único que identifica cada servicio automotriz que puede ser realizado en el establecimiento.</t>
  </si>
  <si>
    <t>Corresponde al atributo  que indica el nombre específico del servicio automotriz que se ofrece a los clientes</t>
  </si>
  <si>
    <t>Corresponde al tipoServicio que indica la clasificación o categoría técnica a la que pertenece el servicio automotriz</t>
  </si>
  <si>
    <t>El servicio automotriz no debe tener duplicidad en el nombre del servicio</t>
  </si>
  <si>
    <t xml:space="preserve"> f41c3f82-6b9d-4461-8562-2a5cac872408</t>
  </si>
  <si>
    <t>Cambio de aceite y filtros</t>
  </si>
  <si>
    <t>Mantenimiento Preventivo</t>
  </si>
  <si>
    <t xml:space="preserve"> 8124cdfc-2309-44cd-82df-978efb62032e</t>
  </si>
  <si>
    <t>Revisión/ajuste de frenos</t>
  </si>
  <si>
    <t>Sistema de Motor</t>
  </si>
  <si>
    <t xml:space="preserve"> c62c6888-3ba5-4deb-9164-27cfcf9d99b3</t>
  </si>
  <si>
    <t>Afinación de motor</t>
  </si>
  <si>
    <t>Sistema Eléctrico</t>
  </si>
  <si>
    <t xml:space="preserve"> a7409d04-f6d1-411a-a584-2b49215f5378</t>
  </si>
  <si>
    <t>Inspección de neumáticos</t>
  </si>
  <si>
    <t>Transmisión</t>
  </si>
  <si>
    <t xml:space="preserve"> f41c3f82-6b9d-4461-8562-2a5cac872409</t>
  </si>
  <si>
    <t>Limpieza/ajuste de cadena</t>
  </si>
  <si>
    <t>Suspensión y Dirección</t>
  </si>
  <si>
    <t>Reparación/reconstrucción</t>
  </si>
  <si>
    <t xml:space="preserve"> c62c6888-3ba5-4deb-9164-27cfcf9d99b4</t>
  </si>
  <si>
    <t>Diagnóstico electrónico</t>
  </si>
  <si>
    <t xml:space="preserve"> a7409d04-f6d1-411a-a584-2b49215f5379</t>
  </si>
  <si>
    <t>Ajuste de válvulas</t>
  </si>
  <si>
    <t xml:space="preserve"> f41c3f82-6b9d-4461-8562-2a5cac872410</t>
  </si>
  <si>
    <t>Sincronización de carburadores</t>
  </si>
  <si>
    <t>Mantenimiento de inyectores</t>
  </si>
  <si>
    <t xml:space="preserve"> c62c6888-3ba5-4deb-9164-27cfcf9d99b5</t>
  </si>
  <si>
    <t>Diagnóstico/reparación de batería</t>
  </si>
  <si>
    <t xml:space="preserve"> a7409d04-f6d1-411a-a584-2b49215f5380</t>
  </si>
  <si>
    <t>Mantenimiento de alternador</t>
  </si>
  <si>
    <t xml:space="preserve"> f41c3f82-6b9d-4461-8562-2a5cac872411</t>
  </si>
  <si>
    <t>Reparación de arranque</t>
  </si>
  <si>
    <t>Sistema de iluminación</t>
  </si>
  <si>
    <t xml:space="preserve"> c62c6888-3ba5-4deb-9164-27cfcf9d99b6</t>
  </si>
  <si>
    <t>Embrague</t>
  </si>
  <si>
    <t xml:space="preserve"> a7409d04-f6d1-411a-a584-2b49215f5381</t>
  </si>
  <si>
    <t>Cambio de kit de arrastre</t>
  </si>
  <si>
    <t xml:space="preserve"> 8a226a0b-1709-4986-9b94-1b01bc7e34a1</t>
  </si>
  <si>
    <t>Reparación de caja de cambios</t>
  </si>
  <si>
    <t xml:space="preserve"> 1365c0ac-7359-4b00-a3b9-40c0c59a8113</t>
  </si>
  <si>
    <t>Ajuste de transmisión final</t>
  </si>
  <si>
    <t xml:space="preserve"> 5846905d-0f68-463d-86be-eb407ea1e5eb</t>
  </si>
  <si>
    <t>Cambio de amortiguadores</t>
  </si>
  <si>
    <t xml:space="preserve"> 6a2c2853-4e06-46ba-b6c8-f17900d33d1d</t>
  </si>
  <si>
    <t>Alineación</t>
  </si>
  <si>
    <t xml:space="preserve"> ee0846a9-d931-412a-93bc-c14b760b3c97</t>
  </si>
  <si>
    <t>Cambio de rodamientos</t>
  </si>
  <si>
    <t xml:space="preserve"> 0a207672-d82c-4b96-9da9-0ef10e8dcd02</t>
  </si>
  <si>
    <t>Mantenimiento de horquilla</t>
  </si>
  <si>
    <t xml:space="preserve"> 32b8ea3d-3e20-46a7-b16a-559bdb6934e0</t>
  </si>
  <si>
    <t>Cambio de pastillas/zapatas</t>
  </si>
  <si>
    <t>Sistema de Frenos</t>
  </si>
  <si>
    <t xml:space="preserve"> 9df4b7eb-1f1b-4b4f-8d4b-729350db0734</t>
  </si>
  <si>
    <t>Purga de líquido</t>
  </si>
  <si>
    <t xml:space="preserve"> 21974f53-ed76-49c9-b760-2dc764ffb593</t>
  </si>
  <si>
    <t>Rectificación de discos</t>
  </si>
  <si>
    <t xml:space="preserve"> ed562b61-3e5c-4356-9bd6-d552121c40f5</t>
  </si>
  <si>
    <t>Mantenimiento de bombas</t>
  </si>
  <si>
    <t xml:space="preserve"> 4490968b-d8c5-4c86-acb5-0d38b666870c</t>
  </si>
  <si>
    <t>Preparación para competición</t>
  </si>
  <si>
    <t>Servicios Especializados</t>
  </si>
  <si>
    <t xml:space="preserve"> b59e8542-c728-4567-81b3-26fffe3b581e</t>
  </si>
  <si>
    <t>Personalización/modificaciones</t>
  </si>
  <si>
    <t xml:space="preserve"> 32d5bb54-49c2-47ac-937b-bf241810d971</t>
  </si>
  <si>
    <t>Restauración</t>
  </si>
  <si>
    <t xml:space="preserve"> 51015b1b-3d5e-4813-895b-5efa7cee1902</t>
  </si>
  <si>
    <t>Diagnóstico computarizado</t>
  </si>
  <si>
    <t>Requiere</t>
  </si>
  <si>
    <t xml:space="preserve">Requiere / No Modificar </t>
  </si>
  <si>
    <t xml:space="preserve">Requiere / Modificar </t>
  </si>
  <si>
    <t>Filtro/Listar/Mostrar[Orden{2}/CriterioOrdenamiento{1, ASC}/BusquedaGeneral{SI}/Ordenador{SI}/Reordenamiento{NO} /PropiedadesMostrar{ tipoServicio.nombre}]</t>
  </si>
  <si>
    <t>servicio único</t>
  </si>
  <si>
    <t>Crear Información del Servicio</t>
  </si>
  <si>
    <t>Permite registrar un nuevo servicio para motocicletas</t>
  </si>
  <si>
    <t xml:space="preserve">Contiene información requerida para llevar a cabo el registro de un nuevo servicio </t>
  </si>
  <si>
    <t>Servicio POL-0002</t>
  </si>
  <si>
    <t>No debe haber servicios previamente registrados con el mismo nombre</t>
  </si>
  <si>
    <t>Servicio POL-0001</t>
  </si>
  <si>
    <t>Servicio POL-0003</t>
  </si>
  <si>
    <t>No debe existir otro Servicio con el mismo identificador.</t>
  </si>
  <si>
    <t>Modificar Información del Servicio</t>
  </si>
  <si>
    <t>Permite actualizar la información de un servicio existente</t>
  </si>
  <si>
    <t>Contiene información de los datos del servicio a modificar</t>
  </si>
  <si>
    <t>Contiene  el identificador del servicio a modificar la información</t>
  </si>
  <si>
    <t>Consultar Información del Servicio</t>
  </si>
  <si>
    <t>Permite visualizar información sobre tipos de servicio y servicios disponibles</t>
  </si>
  <si>
    <t>Lista&lt;servicio&gt;</t>
  </si>
  <si>
    <t>Servicio POL - 0004</t>
  </si>
  <si>
    <t>Corresponde al identificador único que identifica cada servicio que se ha realizado.</t>
  </si>
  <si>
    <t>Corresponde al atributo que indica la fecha en que se inició el servicio.</t>
  </si>
  <si>
    <t>Corresponde al atributo que indica la fecha en que se finalizó o canceló el servicio.</t>
  </si>
  <si>
    <t>Corresponde a la sede que  realizó el servicio.</t>
  </si>
  <si>
    <t>Corresponde al estado en el que se encuentra servicio actual.</t>
  </si>
  <si>
    <t>Corresponde al atributo que indica la  identificación de la motocicleta.</t>
  </si>
  <si>
    <t>El servicio realizado no debe tener duplicidad en la combinación del sede que brinda el servicio, estado del servicio , fechas y la matrícula de la  motocicleta.</t>
  </si>
  <si>
    <t>fechaInicio</t>
  </si>
  <si>
    <t>fechaFinalizacion</t>
  </si>
  <si>
    <t>SedeServicio</t>
  </si>
  <si>
    <t>Baike universe - Cambio de aceite y filtros</t>
  </si>
  <si>
    <t>Dos Ruedas - Revisión/ajuste de frenos</t>
  </si>
  <si>
    <t>Filtro/Listar/Mostrar[Orden{2}/CriterioOrdenamiento{1, ASC}/BusquedaGeneral{SI}/Ordenador{SI}/Reordenamiento{NO}]</t>
  </si>
  <si>
    <t>Filtro/Listar/Mostrar[Orden{3}/CriterioOrdenamiento{1, ASC}/BusquedaGeneral{SI}/Ordenador{SI}/Reordenamiento{NO} /PropiedadesMostrar{ sedeServicio.nombre }]</t>
  </si>
  <si>
    <t>Filtro/Listar/Mostrar[Orden{4}/CriterioOrdenamiento{1, ASC}/BusquedaGeneral{SI}/Ordenador{SI}/Reordenamiento{NO} /PropiedadesMostrar{ estadoServicioRealizado.nombre }]</t>
  </si>
  <si>
    <t>Filtro/Listar/Mostrar[Orden{5}/CriterioOrdenamiento{1, ASC}/Ordenador{SI}/Reordenamiento{NO} /PropiedadesMostrar{ motocicleta.usuario.email, motocicleta.referencia }]</t>
  </si>
  <si>
    <t>Registrar Información del Servicio Realizado</t>
  </si>
  <si>
    <t>Permite registrar un nuevo servicio realizado</t>
  </si>
  <si>
    <t>Contiene información requerida para llevar a cabo el registro del servicio realizado de una sede</t>
  </si>
  <si>
    <t>Servicio Realizado POL - 0003</t>
  </si>
  <si>
    <t>Servicio Realizado POL-0002</t>
  </si>
  <si>
    <t>Generar una excepción indicándole al usuario que la sede debe registrarse primero</t>
  </si>
  <si>
    <t>Servicio Realizado POL-0001</t>
  </si>
  <si>
    <t>Servicio Realizado POL - 0004</t>
  </si>
  <si>
    <t>El estado del servicio realizado debe de seguir una secuencia ya definida</t>
  </si>
  <si>
    <t>Generar una excepción indicándole al usuario que los estados tienen un orden lógico.</t>
  </si>
  <si>
    <t>Servicio Realizado POL - 0005</t>
  </si>
  <si>
    <t>No puede existir otro servicio con el mismo identificador.</t>
  </si>
  <si>
    <t>Modificar Información del Servicio Realizado</t>
  </si>
  <si>
    <t>Permite actualizar la información de un servicio realizado</t>
  </si>
  <si>
    <t>Contiene información de los datos del servicio realizado a modificar</t>
  </si>
  <si>
    <t>Contiene  el identificador del servicio realizado a modificar la información</t>
  </si>
  <si>
    <t>Servicio Realizado POL-0006</t>
  </si>
  <si>
    <t>El servicio realizado debe estar previamente registrado</t>
  </si>
  <si>
    <t>Eliminar Información del Servicio Realizado</t>
  </si>
  <si>
    <t>Permite eliminarla información de un servicio realizado</t>
  </si>
  <si>
    <t>Contiene  el identificador del servicio realizado a eliminar la información</t>
  </si>
  <si>
    <t>Servicio Realizado POL-0009</t>
  </si>
  <si>
    <t>El servicio realizado debe estar finalizado</t>
  </si>
  <si>
    <t>Generar una excepción indicándole al usuario que para poder eliminar el servicio primero debe de estar finalizado</t>
  </si>
  <si>
    <t>Servicio Realizado POL-0007</t>
  </si>
  <si>
    <t>El servicio no debe tener dependencias</t>
  </si>
  <si>
    <t>Consultar Información del Servicio Realizado</t>
  </si>
  <si>
    <t>Permite ver los servicios realizados</t>
  </si>
  <si>
    <t>Lista&lt;servicioRealizado&gt;</t>
  </si>
  <si>
    <t>Contiene información del servicio realizado que cumple con el filtro</t>
  </si>
  <si>
    <t>Servicio Realizado POL - 0008</t>
  </si>
  <si>
    <t>Corresponde al identificador único que identifica cada servicio ofrecido por un sede.</t>
  </si>
  <si>
    <t>Corresponde a la sede que ofrece el servicio.</t>
  </si>
  <si>
    <t>Corresponde al servicio que se ofrece cada sede.</t>
  </si>
  <si>
    <t>Corresponde al atributo que indica la fecha desde la cual la sede comenzó a ofrecer el servicio.</t>
  </si>
  <si>
    <t>Corresponde al identificador único que identifica cada servicio ofrecido por una sede.</t>
  </si>
  <si>
    <t>Corresponde al atributo que indica si el servicio está actualmente vigente en la sede.</t>
  </si>
  <si>
    <t>Corresponde al atributo que indica si el servicio es prestado por un tercero.</t>
  </si>
  <si>
    <t>El servicio de la sede no debe tener duplicidad en la combinación del nombre de la sede  y el servicio.</t>
  </si>
  <si>
    <t xml:space="preserve">fechaInicio </t>
  </si>
  <si>
    <t>servicioTercero</t>
  </si>
  <si>
    <t>Sede A - Baike universe - Cambio de aceite y filtros</t>
  </si>
  <si>
    <t>Sede B - Baike universe - Revisión/ajuste de frenos</t>
  </si>
  <si>
    <t>Sede A - Dos Ruedas - Revisión/ajuste de frenos</t>
  </si>
  <si>
    <t>Sede A - MotoLand - Afinación de motor</t>
  </si>
  <si>
    <t>Sede A - Todo Motos - Inspección de neumáticos</t>
  </si>
  <si>
    <t>Filtro/Listar/Mostrar[Orden{1}/CriterioOrdenamiento{1, ASC}/BusquedaGeneral{SI}/Ordenador{SI}/Reordenamiento{NO} /PropiedadesMostrar{ sede.nombre}]</t>
  </si>
  <si>
    <t>Filtro/Listar/Mostrar[Orden{2}/CriterioOrdenamiento{2, ASC}/BusquedaGeneral{SI}/Ordenador{SI}/Reordenamiento{NO} /PropiedadesMostrar{ servicio.nombre}]</t>
  </si>
  <si>
    <t>Filtro/Listar/Mostrar[Orden{3}/CriterioOrdenamiento{3, ASC}/BusquedaGeneral{SI}/Ordenador{SI}/Reordenamiento{NO} ]</t>
  </si>
  <si>
    <t>Filtro/Listar/Mostrar[Orden{4}/BusquedaGeneral{SI}/Ordenador{SI}/Reordenamiento{NO}]</t>
  </si>
  <si>
    <t>Filtro/Listar/Mostrar[Orden{5}/BusquedaGeneral{SI}/Ordenador{SI}/Reordenamiento{NO}]</t>
  </si>
  <si>
    <t>Filtro/Listar/Mostrar[Orden{6}/BusquedaGeneral{SI}/Ordenador{SI}/Reordenamiento{NO}]</t>
  </si>
  <si>
    <t>Establecimiento y servicio únicos</t>
  </si>
  <si>
    <t xml:space="preserve">Crear Información del Servicio Sede </t>
  </si>
  <si>
    <t>Permite registrar los servicios que ofrece una sede</t>
  </si>
  <si>
    <t>servicioSede</t>
  </si>
  <si>
    <t>Contiene información requerida para llevar a cabo el registro entre un servicio de una sede</t>
  </si>
  <si>
    <t>Servicio Sede POL - 0003</t>
  </si>
  <si>
    <t>Generar una excepción indicando que la sede no se encuentra registrada</t>
  </si>
  <si>
    <t>Servicio Sede POL-0002</t>
  </si>
  <si>
    <t>El servicio debe estar previamente registrado</t>
  </si>
  <si>
    <t xml:space="preserve">Generar una excepción indicando que el servicio debe de estar previamente registrado </t>
  </si>
  <si>
    <t>Servicio Sede POL-0001</t>
  </si>
  <si>
    <t>Servicio Sede POL - 0004</t>
  </si>
  <si>
    <t>El servicio y la sede no deben tener una relación previa existente</t>
  </si>
  <si>
    <t xml:space="preserve">Generar una excepción indicando que el servicio y la sede ya se encuentran asociados. </t>
  </si>
  <si>
    <t>Servicio Sede POL - 0005</t>
  </si>
  <si>
    <t>No puede existir otro servicio sede con el mismo identificador</t>
  </si>
  <si>
    <t xml:space="preserve">Modificar Información del Servicio Sede </t>
  </si>
  <si>
    <t>Permite actualizar la información de los servicios ofrecidos</t>
  </si>
  <si>
    <t>ServicioSede</t>
  </si>
  <si>
    <t>Contiene información de los datos de la servicio sede a modificar</t>
  </si>
  <si>
    <t>Contiene  el identificador del servicio sede a modificar la información</t>
  </si>
  <si>
    <t>Servicio Sede POL-0006</t>
  </si>
  <si>
    <t>El servicio sede no deben tener una relación previa existente con la misma sede</t>
  </si>
  <si>
    <t>Generar una excepción indicando que el servicio  sede ya se encuentra registrado.</t>
  </si>
  <si>
    <t>Eliminar Información del Servicio Sede</t>
  </si>
  <si>
    <t>Permite dar de baja un servicio de la sede</t>
  </si>
  <si>
    <t>Servicio Sede POL-0007</t>
  </si>
  <si>
    <t>El servicio sede no debe tener dependencias</t>
  </si>
  <si>
    <t>Consultar Información Servicio Sede</t>
  </si>
  <si>
    <t>Permite ver detalles de servicios ofrecidos</t>
  </si>
  <si>
    <t>Lista&lt;servicioSede&gt;</t>
  </si>
  <si>
    <t>Servicio Sede POL - 0008</t>
  </si>
  <si>
    <t>Desactivar Servicio sede</t>
  </si>
  <si>
    <t>Permite marcar un servicio sede como inactivo</t>
  </si>
  <si>
    <t>Contiene el identificador del servicio sede realizado  para activar</t>
  </si>
  <si>
    <t>Servicio Sede POL-0010</t>
  </si>
  <si>
    <t>El servicio Sede debe estar previamente activado</t>
  </si>
  <si>
    <t>Generar una excepción indicándole al usuario que el servicio ya se encentra desactivado</t>
  </si>
  <si>
    <t>Vigencia</t>
  </si>
  <si>
    <t>lógico</t>
  </si>
  <si>
    <t>Contiene el valor lógico para desactivar un servicio</t>
  </si>
  <si>
    <t>Servicio Sede POL - 0001</t>
  </si>
  <si>
    <t>Activar Servicio Sede</t>
  </si>
  <si>
    <t>Permite marcar un servicio sede como activo</t>
  </si>
  <si>
    <t>Generar una excepción indicándole al usuario que el servicio ya se encentra activado</t>
  </si>
  <si>
    <t>Contiene el valor lógico para activar un servicio</t>
  </si>
  <si>
    <t>Servicio Sede POL - 0009</t>
  </si>
  <si>
    <t>El servicio Sede debe estar previamente desactivado</t>
  </si>
  <si>
    <t>Corresponde al identificador único que representa cada transición del estado de un  servicio realizado</t>
  </si>
  <si>
    <t>Corresponde al estado actual que pueden tener los diferentes servicios prestados por una sede</t>
  </si>
  <si>
    <t>Corresponde al estado anterior que pueden tener los diferentes servicios prestados por una sede</t>
  </si>
  <si>
    <t>Corresponde al nuevo estado que pueden tener los diferentes servicios prestados por una sede</t>
  </si>
  <si>
    <t>El estado actual debe de seguir una secuencia ya definida</t>
  </si>
  <si>
    <t>estadoActual</t>
  </si>
  <si>
    <t>estadoAnterior</t>
  </si>
  <si>
    <t>nuevoEstado</t>
  </si>
  <si>
    <t>Pendiente - En Proceso</t>
  </si>
  <si>
    <t>Pendiente - Cancelado</t>
  </si>
  <si>
    <t>Pendiente - En Proceso - Finalizado</t>
  </si>
  <si>
    <t xml:space="preserve">En Proceso - Finalizado  </t>
  </si>
  <si>
    <t xml:space="preserve">Pendiente - Cancelado </t>
  </si>
  <si>
    <t>Transición Estado actual servicio realizado</t>
  </si>
  <si>
    <t>Consultar Información de la Transición Estado Servicio Realizado</t>
  </si>
  <si>
    <t>Permite consultar las transiciones permitidas para un estado</t>
  </si>
  <si>
    <t>Contiene información de las diferentes transiciones de estados de un  servicio que se enviarán como base para llevar a cabo el filtro de consulta</t>
  </si>
  <si>
    <t>Contiene información de los diferentes transiciones de estados de un servicio  que cumplen con los criterios de búsqueda</t>
  </si>
  <si>
    <t>Transición Estado Servicio Realizado POL-0002</t>
  </si>
  <si>
    <t>Transición Estado Servicio Realizado debe de cumplir el orden secuencial configurado</t>
  </si>
  <si>
    <t>Generar una excepción indicando que el usuario no tiene los permisos necesarios para realizar la consulta</t>
  </si>
  <si>
    <t>Transición Estado Servicio Realizado POL-0001</t>
  </si>
  <si>
    <t>Actualizar la Información de la Transición Estado Servicio Realizado</t>
  </si>
  <si>
    <t>Permite actualizar las transiciones permitidas para un estado</t>
  </si>
  <si>
    <t>Contiene  el identificador del estado servicio realizado a modificar la información</t>
  </si>
  <si>
    <t>Corresponde al identificador único que representa cada tipo  de servicio en el sistema.</t>
  </si>
  <si>
    <t>Corresponde al atributo nombre que contiene los diferentes tipos de servicio.</t>
  </si>
  <si>
    <t>El nombre del tipo de servicio no debe tener   duplicidad.</t>
  </si>
  <si>
    <t>Nombre del tipo de servicio único</t>
  </si>
  <si>
    <t>Consultar Información Tipo Servicio</t>
  </si>
  <si>
    <t>Permite buscar y visualizar la información de un tipo de servicio.</t>
  </si>
  <si>
    <t>Contiene información de los diferentes tipos de servicio que se enviarán como base para llevar a cabo el filtro de la consulta</t>
  </si>
  <si>
    <t>Lista&lt;tipoServicio&gt;</t>
  </si>
  <si>
    <t>Contiene información de los diferentes  tipos de servicio  que cumplen con los criterios de búsqueda</t>
  </si>
  <si>
    <t>Tipo Servicio Realizado POL-0001</t>
  </si>
  <si>
    <t>Actualizar Información del Tipo Servicio</t>
  </si>
  <si>
    <t>Permite cambiar y visualizar la información de un tipo de servicio.</t>
  </si>
  <si>
    <t>Contiene información de los datos del tipo de servicio a modificar</t>
  </si>
  <si>
    <t>Tipo Servicio Realizado POL-0002</t>
  </si>
  <si>
    <t>Contiene  el identificador del tipo de servicio a modificar la información</t>
  </si>
  <si>
    <t>Corresponde al identificador único que identifica cada tipo de establecimiento en el sistema.</t>
  </si>
  <si>
    <t>Corresponde al atributo que indica el nombre del tipo de establecimiento.</t>
  </si>
  <si>
    <t>El tipo de establecimiento no debe tener duplicidad en el nombre.</t>
  </si>
  <si>
    <t>Taller mecánico</t>
  </si>
  <si>
    <t>Almacén de repuestos</t>
  </si>
  <si>
    <t>Taller mecánico - Almacén de repuestos</t>
  </si>
  <si>
    <t>Filtro/Listar/Mostrar[Orden{1}/BusquedaGeneral{SI}/Ordenador{NO}]</t>
  </si>
  <si>
    <t>nombre del tipoEstebaleciemeinto único</t>
  </si>
  <si>
    <t>Editar Información del Tipo Sede</t>
  </si>
  <si>
    <t>Permite modificar la información de un tipo de sede existente.</t>
  </si>
  <si>
    <t>Contiene información requerida para llevar a cabo el registro de un nuevo tipo de sede</t>
  </si>
  <si>
    <t>Tipo Sede POL- 0001</t>
  </si>
  <si>
    <t>Generar una excepción indicándole al usuario que hay problemas con los datos ingresados y de ser posible indicarle cómo solucionarlos.</t>
  </si>
  <si>
    <t>Consultar Información del Tipo Sede</t>
  </si>
  <si>
    <t>Permite buscar y visualizar la información de un tipo de sede.</t>
  </si>
  <si>
    <t>Contiene información de los filtros que se enviaran como base  para llevar a cabo la consulta de la información</t>
  </si>
  <si>
    <t>Lista&lt;tipoSede&gt;</t>
  </si>
  <si>
    <t>Contiene información de todos los tipos de sedes que cumplen con el filtro de la consulta</t>
  </si>
  <si>
    <t>Tipo Sede POL-0002</t>
  </si>
  <si>
    <t>b</t>
  </si>
  <si>
    <t>Corresponde al identificador único que identifica cada ubicación en el sistema.</t>
  </si>
  <si>
    <t>Corresponde al atributo que indica la latitud geográfica de la ubicación.</t>
  </si>
  <si>
    <t>Corresponde al atributo que indica la longitud geográfica de la ubicación.</t>
  </si>
  <si>
    <t>Corresponde al atributo que indica la dirección física de la ubicación.</t>
  </si>
  <si>
    <t>Corresponde a la ciudad donde se encuentra la ubicación.</t>
  </si>
  <si>
    <t>Corresponde al atributo que indica la sede asociado a la ubicación.</t>
  </si>
  <si>
    <t>La ubicación no debe tener duplicidad en la combinación de coordenadas y ciudad.</t>
  </si>
  <si>
    <t>La ubicación no debe tener duplicidad en la combinación de sede y coordenadas.</t>
  </si>
  <si>
    <t>latitud</t>
  </si>
  <si>
    <t>longitud</t>
  </si>
  <si>
    <t>dirección</t>
  </si>
  <si>
    <t>6.152.091</t>
  </si>
  <si>
    <t>-75.374.989</t>
  </si>
  <si>
    <t>CARRERA 38 # 46-134 ESQUINA</t>
  </si>
  <si>
    <t xml:space="preserve">
6.25184</t>
  </si>
  <si>
    <t>-7.556.359</t>
  </si>
  <si>
    <t>Calle 6 Sur #15 43a</t>
  </si>
  <si>
    <t>6.217.475</t>
  </si>
  <si>
    <t>-75.576.275</t>
  </si>
  <si>
    <t>CALLE 44 # 80-15</t>
  </si>
  <si>
    <t>876.175.876</t>
  </si>
  <si>
    <t>-75.583.739</t>
  </si>
  <si>
    <t>CARRERA 48 # 25-70</t>
  </si>
  <si>
    <t xml:space="preserve"> 8p8771a3-cab6-4f85-b668-300b9ed7f4ap</t>
  </si>
  <si>
    <t>Avenida Calle 85 # 8-81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</si>
  <si>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</si>
  <si>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Dirección valida</t>
  </si>
  <si>
    <t>Donde  x  puede ser una cadena que incluye caracteres alfanuméricos, espacios( ), letras mayúsculas (A-Z), minúsculas (a-z) y símbolos (#, -, etc.)</t>
  </si>
  <si>
    <t>Filtro/Listar/Mostrar[Orden{3}/BusquedaGeneral{SI}/Ordenador{NO}/Reordenamiento{NO}]</t>
  </si>
  <si>
    <t>Filtro/Listar/Mostrar[Orden{4}/CriterioOrdenamiento{1, ASC}/BusquedaGeneral{SI}/Ordenador{SI}/Reordenamiento{NO} /PropiedadesMostrar{ ciudad.nombre}]</t>
  </si>
  <si>
    <t>Filtro/Listar/Mostrar[Orden{1}/BusquedaGeneral{SI}/Ordenador{SI}/Reordenamiento{NO} /PropiedadesMostrar{ sede.nombre}]</t>
  </si>
  <si>
    <t>coordenadas  y ciudad únicas</t>
  </si>
  <si>
    <t>ciudad y dirección únicas</t>
  </si>
  <si>
    <t>Crear Información de la Ubicación</t>
  </si>
  <si>
    <t>Permite registrar una nueva ubicación geográfica para una sede</t>
  </si>
  <si>
    <t>ubicación</t>
  </si>
  <si>
    <t>Contiene información requerida para llevar a cabo el registro de la ubicación de una sede</t>
  </si>
  <si>
    <t>Ubicación POL - 0005</t>
  </si>
  <si>
    <t>Las coordenadas deben ser validadas</t>
  </si>
  <si>
    <t>Generar una excepción indicando al Ubicación que el correo electrónico ya está registrado</t>
  </si>
  <si>
    <t>Detener  Operación</t>
  </si>
  <si>
    <t>Ubicación POL-0004</t>
  </si>
  <si>
    <t>Generar una excepción indicando al Ubicación que el número de celular ya está registrado</t>
  </si>
  <si>
    <t>Ubicación POL - 0003</t>
  </si>
  <si>
    <t>La ubicación de la sede no debe de estar previamente registrada</t>
  </si>
  <si>
    <t>Generar una excepción indicando al Ubicación que el número de cédula ya está registrado</t>
  </si>
  <si>
    <t>Ubicación POL-0002</t>
  </si>
  <si>
    <t>No debe existir otra ubicación de sede  con el mismo identificador.</t>
  </si>
  <si>
    <t>Ubicación POL - 0001</t>
  </si>
  <si>
    <t>Modificar Información de la Ubicación</t>
  </si>
  <si>
    <t>Permite actualizar la información de ubicación de una sede</t>
  </si>
  <si>
    <t>Contiene información de los datos de la ubicación a modificar</t>
  </si>
  <si>
    <t>Ubicación POL-0001</t>
  </si>
  <si>
    <t>Contiene  el identificador de la Ubicación a modificar la información</t>
  </si>
  <si>
    <t>Eliminar Información Ubicación</t>
  </si>
  <si>
    <t>Permite eliminar la ubicación de una sede</t>
  </si>
  <si>
    <t>Contiene el identificador de la Ubicación a eliminar</t>
  </si>
  <si>
    <t>Ubicación POL-0006</t>
  </si>
  <si>
    <t>Asegurar que la Ubicación no esté vinculada a una sede</t>
  </si>
  <si>
    <t>Generar una excepción indicando al Ubicación que el Ubicación está vinculado a una sede</t>
  </si>
  <si>
    <t>Consultar Información Ubicación</t>
  </si>
  <si>
    <t>Permite consultar la ubicación geográfica de una sede</t>
  </si>
  <si>
    <t>Lista&lt;ubicación&gt;</t>
  </si>
  <si>
    <t>Contiene información del Ubicación que cumple con el filtro</t>
  </si>
  <si>
    <t>Ubicación POL - 0007</t>
  </si>
  <si>
    <t xml:space="preserve"> Corresponde al identificador único que va a permitir diferenciar cada uno de los usuarios dentro del sistema.</t>
  </si>
  <si>
    <t>Corresponde al atributo cedula es el número de documento de identidad de la persona.</t>
  </si>
  <si>
    <t>Corresponde al atributo nombre de la persona.</t>
  </si>
  <si>
    <t>Corresponde al atributo que indica el segundo apellido de la persona.</t>
  </si>
  <si>
    <t>Corresponde al rango del cilindraje que clasifica el modelo de una motocicleta.</t>
  </si>
  <si>
    <t>Corresponde al atributo que indica el correo electrónico de la persona.</t>
  </si>
  <si>
    <t>Corresponde al atributo que indica el número de teléfono celular de la persona.</t>
  </si>
  <si>
    <t>Corresponde al atributo de Indica si el correo electrónico del usuario ha sido verificado mediante el proceso de confirmación.</t>
  </si>
  <si>
    <t xml:space="preserve">Corresponde al atributo Indica si el número de teléfono celular del usuario ha sido verificado mediante el proceso de confirmación. </t>
  </si>
  <si>
    <t>Corresponde al atributo que almacena la contraseña del usuario de forma segura y encriptada.</t>
  </si>
  <si>
    <t>La persona no debe tener duplicidad en el email.</t>
  </si>
  <si>
    <t>La persona no debe tener duplicidad en el número de celular.</t>
  </si>
  <si>
    <t>La persona no debe tener duplicidad en el número de cedula.</t>
  </si>
  <si>
    <t>contrasena</t>
  </si>
  <si>
    <t xml:space="preserve">ESTEBAN </t>
  </si>
  <si>
    <t>AGUDELO</t>
  </si>
  <si>
    <t>FLOREZ</t>
  </si>
  <si>
    <t>estebanpoly.e.a@gmail.com</t>
  </si>
  <si>
    <t>Si</t>
  </si>
  <si>
    <t>JOAHANNA</t>
  </si>
  <si>
    <t>MORENO</t>
  </si>
  <si>
    <t>joha321@gmail.com</t>
  </si>
  <si>
    <t>MATEO</t>
  </si>
  <si>
    <t>GOMEZ</t>
  </si>
  <si>
    <t>LOPERA</t>
  </si>
  <si>
    <t>mateo@outlook.com</t>
  </si>
  <si>
    <t>SUSANA</t>
  </si>
  <si>
    <t>ATEORTHUA</t>
  </si>
  <si>
    <t>GIRALDO</t>
  </si>
  <si>
    <t>w^LAawn6nK!Kjcc@ZxXCxf5&amp;q@LF#ytuvWc77TVXHGzF8AtKhF69$tRD^AF6i6cHDT8pq9ZCr!9v2ZNcq</t>
  </si>
  <si>
    <t xml:space="preserve">Requerido / No Requerido </t>
  </si>
  <si>
    <t>Filtro/Listar/Mostrar[Orden{1}/BusquedaGeneral{NO}/Ordenador{NO}/Reordenamiento{NO} ]</t>
  </si>
  <si>
    <t>Filtro/Listar/Mostrar[Orden{1}/BusquedaGeneral{SI}/Ordenador{SI}/Reordenamiento{NO} ]</t>
  </si>
  <si>
    <t>Filtro/Listar/Mostrar[Orden{2}/BusquedaGeneral{SI}/Ordenador{SI}/Reordenamiento{NO} ]</t>
  </si>
  <si>
    <t>Filtro/Listar/Mostrar[Orden{3}/BusquedaGeneral{SI}/Ordenador{SI}/Reordenamiento{NO} ]</t>
  </si>
  <si>
    <t>Debe cumplir con un formato booleano</t>
  </si>
  <si>
    <t>Registrar Información del  Usuario</t>
  </si>
  <si>
    <t>Permite registrar información de usuario.</t>
  </si>
  <si>
    <t>Contiene información requerida para llevar a cabo el registro de un Usuario</t>
  </si>
  <si>
    <t>Usuario POL- 0005</t>
  </si>
  <si>
    <t>Correo electrónico del usuario debe ser único</t>
  </si>
  <si>
    <t>Generar una excepción indicando al usuario que el correo electrónico ya está registrado.</t>
  </si>
  <si>
    <t>Usuario POL- 0004</t>
  </si>
  <si>
    <t>Número de celular del usuario debe ser único</t>
  </si>
  <si>
    <t>Generar una excepción indicando al usuario que el número de celular ya está registrado</t>
  </si>
  <si>
    <t>Usuario POL- 0003</t>
  </si>
  <si>
    <t>Número de cédula del usuario debe ser único</t>
  </si>
  <si>
    <t>Generar una excepción indicando al usuario que el número de cédula deseada ya está registrada</t>
  </si>
  <si>
    <t>Usuario POL- 0002</t>
  </si>
  <si>
    <t>No debe existir otro usuario  con el mismo identificador.</t>
  </si>
  <si>
    <t>Usuario POL- 0001</t>
  </si>
  <si>
    <t>Modificar Información del Usuario</t>
  </si>
  <si>
    <t>Permite actualizar la información de un Usuario existente.</t>
  </si>
  <si>
    <t>Contiene información de los datos del Usuario a modificar</t>
  </si>
  <si>
    <t>Usuario POL-0005</t>
  </si>
  <si>
    <t>Correo electrónico del Usuario debe ser único</t>
  </si>
  <si>
    <t>Generar una excepción indicando al usuario que el correo electrónico ya está registrado</t>
  </si>
  <si>
    <t>Contiene  el identificador del Usuario a modificar la información</t>
  </si>
  <si>
    <t>Usuario POL-0004</t>
  </si>
  <si>
    <t>Número de celular del Usuario debe ser único</t>
  </si>
  <si>
    <t>Usuario POL-0003</t>
  </si>
  <si>
    <t>Número de cédula del Usuario debe ser único</t>
  </si>
  <si>
    <t>Generar una excepción indicando al usuario que el número de cédula ya está registrado</t>
  </si>
  <si>
    <t>Usuario POL-0001</t>
  </si>
  <si>
    <t>Eliminar Información del Usuario</t>
  </si>
  <si>
    <t>Permite eliminar información un Usuario.</t>
  </si>
  <si>
    <t>Contiene el identificador del Usuario a eliminarle la  información</t>
  </si>
  <si>
    <t>Usuario POL-0006</t>
  </si>
  <si>
    <t>Asegurar que el Usuario no tenga dependencias</t>
  </si>
  <si>
    <t>Generar una excepción indicando al usuario que el Usuario está vinculado a una sede</t>
  </si>
  <si>
    <t>Consultar Información Detallada  del Usuario</t>
  </si>
  <si>
    <t>Permite consultar toda la información de un usuario.</t>
  </si>
  <si>
    <t>Lista&lt;usuario&gt;</t>
  </si>
  <si>
    <t>Contiene información del usuario que cumple con el filtro</t>
  </si>
  <si>
    <t>Usuario POL - 0009</t>
  </si>
  <si>
    <t>Consultar Información  general de un usuario</t>
  </si>
  <si>
    <t>Permite consultar información general de un usuario.</t>
  </si>
  <si>
    <t>Restablecer la Clave del Usuario</t>
  </si>
  <si>
    <t>Permite al usuario restablecer su contraseña.</t>
  </si>
  <si>
    <t xml:space="preserve">contraseña nueva </t>
  </si>
  <si>
    <t>Usuario POL- 0008</t>
  </si>
  <si>
    <t>Debe de existir Usuario con Clave</t>
  </si>
  <si>
    <t>Contiene  el email del usuario a restablecer clave</t>
  </si>
  <si>
    <t>Modificar la Clave del Usuario</t>
  </si>
  <si>
    <t>Permite al usuario cambiar su contraseña.</t>
  </si>
  <si>
    <t>Contiene la clave nueva la cual será usada por el usuario para modificar la contraseña</t>
  </si>
  <si>
    <t>Contiene la clave actual la cual será usada por el usuario para modificar la contraseña</t>
  </si>
  <si>
    <t>Contiene  el email del usuario a modificar clave</t>
  </si>
  <si>
    <t>Autenticar el Usuario</t>
  </si>
  <si>
    <t>Permite validar las credenciales del usuario para acceder a su Información .</t>
  </si>
  <si>
    <t>Contiene  el email del usuario que se va autenticar</t>
  </si>
  <si>
    <t>Usuario POL - 0001</t>
  </si>
  <si>
    <t>Contiene  la contraseña del usuario que se va autenticar</t>
  </si>
  <si>
    <t>Reponsabilidad 1</t>
  </si>
  <si>
    <t>Reponsabilidad 2</t>
  </si>
  <si>
    <t>Reponsabilidad 3</t>
  </si>
  <si>
    <t>Reponsabilidad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</si>
</sst>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rgb="FF000000"/>
      <name val="Calibri"/>
      <family val="2"/>
    </font>
    <font>
      <u/>
      <sz val="10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rgb="FF000000"/>
      <name val="Calibri"/>
      <family val="2"/>
      <scheme val="minor"/>
    </font>
    <font>
      <u/>
      <sz val="11"/>
      <color rgb="FF000000"/>
      <name val="Aptos Narrow"/>
      <family val="2"/>
    </font>
    <font>
      <sz val="8"/>
      <color theme="1"/>
      <name val="Calibri"/>
      <family val="2"/>
      <scheme val="minor"/>
    </font>
    <font>
      <u/>
      <sz val="11"/>
      <color rgb="FF467886"/>
      <name val="Aptos Narrow"/>
      <family val="2"/>
    </font>
    <font>
      <b/>
      <sz val="10"/>
      <color rgb="FF000000"/>
      <name val="Calibri"/>
      <charset val="1"/>
    </font>
    <font>
      <b/>
      <sz val="10"/>
      <color rgb="FF000000"/>
      <name val="Calibri"/>
    </font>
    <font>
      <sz val="11"/>
      <color rgb="FF000000"/>
      <name val="Aptos Narrow"/>
    </font>
    <font>
      <sz val="11"/>
      <color rgb="FF000000"/>
      <name val="Consolas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0"/>
      <color rgb="FF000000"/>
      <name val="Aptos Narrow"/>
      <charset val="1"/>
    </font>
    <font>
      <sz val="10"/>
      <color rgb="FF242424"/>
      <name val="Aptos Narrow"/>
      <charset val="1"/>
    </font>
    <font>
      <sz val="11"/>
      <color rgb="FF000000"/>
      <name val="Calibri"/>
    </font>
    <font>
      <u/>
      <sz val="11"/>
      <color rgb="FF467886"/>
      <name val="Aptos Narrow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Helvetica"/>
      <charset val="1"/>
    </font>
    <font>
      <sz val="8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5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1E1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45D65A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F1C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87331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D1D1D1"/>
        <bgColor rgb="FF000000"/>
      </patternFill>
    </fill>
    <fill>
      <patternFill patternType="solid">
        <fgColor rgb="FFFCE1E1"/>
        <bgColor rgb="FF000000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5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91">
    <xf numFmtId="0" fontId="0" fillId="0" borderId="0" xfId="0"/>
    <xf numFmtId="0" fontId="0" fillId="0" borderId="0" xfId="0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quotePrefix="1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quotePrefix="1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2" fillId="8" borderId="9" xfId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2" fillId="10" borderId="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9" xfId="0" applyFill="1" applyBorder="1"/>
    <xf numFmtId="0" fontId="6" fillId="0" borderId="12" xfId="0" applyFont="1" applyBorder="1"/>
    <xf numFmtId="0" fontId="6" fillId="11" borderId="12" xfId="0" applyFont="1" applyFill="1" applyBorder="1"/>
    <xf numFmtId="0" fontId="0" fillId="0" borderId="12" xfId="0" applyBorder="1"/>
    <xf numFmtId="0" fontId="6" fillId="0" borderId="0" xfId="0" applyFont="1"/>
    <xf numFmtId="0" fontId="7" fillId="12" borderId="3" xfId="0" applyFont="1" applyFill="1" applyBorder="1"/>
    <xf numFmtId="0" fontId="7" fillId="12" borderId="13" xfId="0" applyFont="1" applyFill="1" applyBorder="1"/>
    <xf numFmtId="0" fontId="8" fillId="7" borderId="0" xfId="0" applyFont="1" applyFill="1" applyAlignment="1">
      <alignment vertical="center"/>
    </xf>
    <xf numFmtId="0" fontId="2" fillId="0" borderId="12" xfId="1" applyBorder="1" applyAlignment="1"/>
    <xf numFmtId="0" fontId="6" fillId="13" borderId="12" xfId="0" applyFont="1" applyFill="1" applyBorder="1"/>
    <xf numFmtId="0" fontId="6" fillId="14" borderId="12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1" fontId="0" fillId="0" borderId="0" xfId="0" applyNumberFormat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2" borderId="0" xfId="0" applyFill="1"/>
    <xf numFmtId="0" fontId="0" fillId="9" borderId="0" xfId="0" applyFill="1"/>
    <xf numFmtId="0" fontId="0" fillId="18" borderId="0" xfId="0" applyFill="1"/>
    <xf numFmtId="0" fontId="0" fillId="19" borderId="0" xfId="0" applyFill="1"/>
    <xf numFmtId="11" fontId="0" fillId="19" borderId="0" xfId="0" applyNumberFormat="1" applyFill="1"/>
    <xf numFmtId="0" fontId="6" fillId="0" borderId="17" xfId="0" applyFont="1" applyBorder="1"/>
    <xf numFmtId="0" fontId="6" fillId="20" borderId="12" xfId="0" applyFont="1" applyFill="1" applyBorder="1"/>
    <xf numFmtId="0" fontId="6" fillId="0" borderId="18" xfId="0" applyFont="1" applyBorder="1"/>
    <xf numFmtId="0" fontId="6" fillId="0" borderId="19" xfId="0" applyFont="1" applyBorder="1"/>
    <xf numFmtId="0" fontId="9" fillId="21" borderId="0" xfId="0" applyFont="1" applyFill="1"/>
    <xf numFmtId="0" fontId="0" fillId="6" borderId="12" xfId="0" applyFill="1" applyBorder="1" applyAlignment="1">
      <alignment vertical="center"/>
    </xf>
    <xf numFmtId="0" fontId="6" fillId="22" borderId="12" xfId="0" applyFont="1" applyFill="1" applyBorder="1"/>
    <xf numFmtId="0" fontId="8" fillId="0" borderId="0" xfId="0" applyFont="1" applyAlignment="1">
      <alignment vertical="center"/>
    </xf>
    <xf numFmtId="0" fontId="6" fillId="24" borderId="12" xfId="0" applyFont="1" applyFill="1" applyBorder="1"/>
    <xf numFmtId="0" fontId="6" fillId="23" borderId="0" xfId="0" applyFont="1" applyFill="1"/>
    <xf numFmtId="0" fontId="11" fillId="0" borderId="12" xfId="1" applyFont="1" applyBorder="1" applyAlignment="1"/>
    <xf numFmtId="0" fontId="12" fillId="0" borderId="12" xfId="0" applyFont="1" applyBorder="1"/>
    <xf numFmtId="0" fontId="6" fillId="0" borderId="20" xfId="0" applyFont="1" applyBorder="1"/>
    <xf numFmtId="0" fontId="6" fillId="11" borderId="20" xfId="0" applyFont="1" applyFill="1" applyBorder="1"/>
    <xf numFmtId="0" fontId="10" fillId="22" borderId="20" xfId="0" applyFont="1" applyFill="1" applyBorder="1"/>
    <xf numFmtId="0" fontId="6" fillId="0" borderId="21" xfId="0" applyFont="1" applyBorder="1"/>
    <xf numFmtId="0" fontId="6" fillId="20" borderId="20" xfId="0" applyFont="1" applyFill="1" applyBorder="1"/>
    <xf numFmtId="0" fontId="13" fillId="25" borderId="12" xfId="0" applyFont="1" applyFill="1" applyBorder="1" applyAlignment="1">
      <alignment wrapText="1"/>
    </xf>
    <xf numFmtId="0" fontId="2" fillId="0" borderId="20" xfId="1" applyBorder="1" applyAlignment="1"/>
    <xf numFmtId="0" fontId="6" fillId="13" borderId="20" xfId="0" applyFont="1" applyFill="1" applyBorder="1"/>
    <xf numFmtId="0" fontId="6" fillId="14" borderId="20" xfId="0" applyFont="1" applyFill="1" applyBorder="1"/>
    <xf numFmtId="0" fontId="4" fillId="8" borderId="12" xfId="0" applyFont="1" applyFill="1" applyBorder="1" applyAlignment="1">
      <alignment vertical="center" wrapText="1"/>
    </xf>
    <xf numFmtId="0" fontId="2" fillId="8" borderId="12" xfId="1" applyFill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6" fillId="26" borderId="12" xfId="0" applyFont="1" applyFill="1" applyBorder="1"/>
    <xf numFmtId="0" fontId="14" fillId="0" borderId="12" xfId="0" applyFont="1" applyBorder="1"/>
    <xf numFmtId="0" fontId="6" fillId="0" borderId="12" xfId="0" applyFont="1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15" fillId="27" borderId="24" xfId="0" applyFont="1" applyFill="1" applyBorder="1"/>
    <xf numFmtId="0" fontId="6" fillId="29" borderId="12" xfId="0" applyFont="1" applyFill="1" applyBorder="1"/>
    <xf numFmtId="0" fontId="6" fillId="0" borderId="0" xfId="0" applyFont="1" applyAlignment="1">
      <alignment horizontal="left"/>
    </xf>
    <xf numFmtId="0" fontId="2" fillId="0" borderId="0" xfId="1" applyFill="1" applyBorder="1" applyAlignment="1"/>
    <xf numFmtId="0" fontId="14" fillId="0" borderId="0" xfId="0" applyFont="1"/>
    <xf numFmtId="0" fontId="0" fillId="16" borderId="12" xfId="0" applyFill="1" applyBorder="1"/>
    <xf numFmtId="0" fontId="10" fillId="30" borderId="12" xfId="0" applyFont="1" applyFill="1" applyBorder="1"/>
    <xf numFmtId="0" fontId="6" fillId="30" borderId="12" xfId="0" applyFont="1" applyFill="1" applyBorder="1"/>
    <xf numFmtId="0" fontId="13" fillId="0" borderId="0" xfId="0" applyFont="1" applyAlignment="1">
      <alignment wrapText="1"/>
    </xf>
    <xf numFmtId="0" fontId="10" fillId="24" borderId="20" xfId="0" applyFont="1" applyFill="1" applyBorder="1"/>
    <xf numFmtId="0" fontId="10" fillId="23" borderId="20" xfId="0" applyFont="1" applyFill="1" applyBorder="1"/>
    <xf numFmtId="0" fontId="13" fillId="25" borderId="25" xfId="0" applyFont="1" applyFill="1" applyBorder="1" applyAlignment="1">
      <alignment wrapText="1"/>
    </xf>
    <xf numFmtId="0" fontId="5" fillId="0" borderId="20" xfId="0" applyFont="1" applyBorder="1" applyAlignment="1">
      <alignment horizontal="center" vertical="center"/>
    </xf>
    <xf numFmtId="0" fontId="16" fillId="12" borderId="3" xfId="0" applyFont="1" applyFill="1" applyBorder="1"/>
    <xf numFmtId="0" fontId="16" fillId="12" borderId="13" xfId="0" applyFont="1" applyFill="1" applyBorder="1"/>
    <xf numFmtId="0" fontId="17" fillId="0" borderId="12" xfId="0" applyFont="1" applyBorder="1"/>
    <xf numFmtId="0" fontId="17" fillId="0" borderId="0" xfId="0" applyFont="1"/>
    <xf numFmtId="0" fontId="2" fillId="0" borderId="0" xfId="1"/>
    <xf numFmtId="0" fontId="17" fillId="0" borderId="0" xfId="0" applyFont="1" applyAlignment="1">
      <alignment horizontal="left"/>
    </xf>
    <xf numFmtId="0" fontId="17" fillId="33" borderId="12" xfId="0" applyFont="1" applyFill="1" applyBorder="1"/>
    <xf numFmtId="0" fontId="6" fillId="34" borderId="12" xfId="0" applyFont="1" applyFill="1" applyBorder="1"/>
    <xf numFmtId="0" fontId="0" fillId="17" borderId="12" xfId="0" applyFill="1" applyBorder="1"/>
    <xf numFmtId="0" fontId="0" fillId="0" borderId="12" xfId="0" applyBorder="1" applyAlignment="1">
      <alignment vertical="center"/>
    </xf>
    <xf numFmtId="0" fontId="0" fillId="21" borderId="27" xfId="0" applyFill="1" applyBorder="1" applyAlignment="1">
      <alignment vertical="center"/>
    </xf>
    <xf numFmtId="9" fontId="0" fillId="21" borderId="28" xfId="0" applyNumberFormat="1" applyFill="1" applyBorder="1" applyAlignment="1">
      <alignment vertical="center"/>
    </xf>
    <xf numFmtId="9" fontId="0" fillId="21" borderId="29" xfId="0" applyNumberFormat="1" applyFill="1" applyBorder="1" applyAlignment="1">
      <alignment vertical="center"/>
    </xf>
    <xf numFmtId="0" fontId="0" fillId="21" borderId="30" xfId="0" applyFill="1" applyBorder="1" applyAlignment="1">
      <alignment vertical="center"/>
    </xf>
    <xf numFmtId="0" fontId="0" fillId="21" borderId="31" xfId="0" applyFill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4" xfId="0" applyBorder="1"/>
    <xf numFmtId="0" fontId="2" fillId="7" borderId="1" xfId="1" applyFill="1" applyBorder="1" applyAlignment="1">
      <alignment vertical="center"/>
    </xf>
    <xf numFmtId="0" fontId="6" fillId="35" borderId="12" xfId="0" applyFont="1" applyFill="1" applyBorder="1"/>
    <xf numFmtId="0" fontId="2" fillId="35" borderId="12" xfId="1" applyFill="1" applyBorder="1" applyAlignment="1"/>
    <xf numFmtId="0" fontId="0" fillId="35" borderId="12" xfId="0" applyFill="1" applyBorder="1"/>
    <xf numFmtId="0" fontId="13" fillId="25" borderId="33" xfId="0" applyFont="1" applyFill="1" applyBorder="1" applyAlignment="1">
      <alignment wrapText="1"/>
    </xf>
    <xf numFmtId="0" fontId="6" fillId="0" borderId="33" xfId="0" applyFont="1" applyBorder="1"/>
    <xf numFmtId="0" fontId="13" fillId="25" borderId="17" xfId="0" applyFont="1" applyFill="1" applyBorder="1" applyAlignment="1">
      <alignment wrapText="1"/>
    </xf>
    <xf numFmtId="0" fontId="6" fillId="28" borderId="17" xfId="0" applyFont="1" applyFill="1" applyBorder="1"/>
    <xf numFmtId="0" fontId="0" fillId="0" borderId="12" xfId="0" applyBorder="1" applyAlignment="1">
      <alignment wrapText="1"/>
    </xf>
    <xf numFmtId="0" fontId="6" fillId="0" borderId="15" xfId="0" applyFont="1" applyBorder="1"/>
    <xf numFmtId="0" fontId="0" fillId="0" borderId="20" xfId="0" applyBorder="1"/>
    <xf numFmtId="0" fontId="0" fillId="0" borderId="15" xfId="0" applyBorder="1"/>
    <xf numFmtId="0" fontId="0" fillId="0" borderId="33" xfId="0" applyBorder="1"/>
    <xf numFmtId="0" fontId="13" fillId="25" borderId="18" xfId="0" applyFont="1" applyFill="1" applyBorder="1" applyAlignment="1">
      <alignment wrapText="1"/>
    </xf>
    <xf numFmtId="0" fontId="0" fillId="21" borderId="30" xfId="0" applyFill="1" applyBorder="1" applyAlignment="1">
      <alignment vertical="center" wrapText="1"/>
    </xf>
    <xf numFmtId="0" fontId="5" fillId="9" borderId="12" xfId="0" applyFont="1" applyFill="1" applyBorder="1" applyAlignment="1">
      <alignment horizontal="center" vertical="center"/>
    </xf>
    <xf numFmtId="0" fontId="17" fillId="0" borderId="0" xfId="0" applyFont="1" applyAlignment="1">
      <alignment wrapText="1"/>
    </xf>
    <xf numFmtId="0" fontId="6" fillId="36" borderId="12" xfId="0" applyFont="1" applyFill="1" applyBorder="1"/>
    <xf numFmtId="0" fontId="6" fillId="37" borderId="12" xfId="0" applyFont="1" applyFill="1" applyBorder="1"/>
    <xf numFmtId="14" fontId="6" fillId="0" borderId="12" xfId="0" applyNumberFormat="1" applyFont="1" applyBorder="1"/>
    <xf numFmtId="21" fontId="6" fillId="0" borderId="12" xfId="0" applyNumberFormat="1" applyFont="1" applyBorder="1"/>
    <xf numFmtId="0" fontId="18" fillId="37" borderId="12" xfId="0" applyFont="1" applyFill="1" applyBorder="1"/>
    <xf numFmtId="0" fontId="6" fillId="23" borderId="12" xfId="0" applyFont="1" applyFill="1" applyBorder="1"/>
    <xf numFmtId="0" fontId="0" fillId="2" borderId="12" xfId="0" applyFill="1" applyBorder="1"/>
    <xf numFmtId="0" fontId="19" fillId="0" borderId="12" xfId="0" applyFont="1" applyBorder="1"/>
    <xf numFmtId="0" fontId="19" fillId="38" borderId="12" xfId="0" applyFont="1" applyFill="1" applyBorder="1"/>
    <xf numFmtId="0" fontId="6" fillId="38" borderId="12" xfId="0" applyFont="1" applyFill="1" applyBorder="1"/>
    <xf numFmtId="0" fontId="13" fillId="25" borderId="35" xfId="0" applyFont="1" applyFill="1" applyBorder="1" applyAlignment="1">
      <alignment wrapText="1"/>
    </xf>
    <xf numFmtId="0" fontId="19" fillId="24" borderId="33" xfId="0" applyFont="1" applyFill="1" applyBorder="1"/>
    <xf numFmtId="0" fontId="6" fillId="24" borderId="33" xfId="0" applyFont="1" applyFill="1" applyBorder="1"/>
    <xf numFmtId="21" fontId="6" fillId="0" borderId="0" xfId="0" applyNumberFormat="1" applyFont="1"/>
    <xf numFmtId="0" fontId="18" fillId="0" borderId="0" xfId="0" applyFont="1"/>
    <xf numFmtId="11" fontId="0" fillId="0" borderId="12" xfId="0" applyNumberFormat="1" applyBorder="1"/>
    <xf numFmtId="0" fontId="19" fillId="0" borderId="25" xfId="0" applyFont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16" fillId="12" borderId="12" xfId="0" applyFont="1" applyFill="1" applyBorder="1"/>
    <xf numFmtId="0" fontId="15" fillId="27" borderId="12" xfId="0" applyFont="1" applyFill="1" applyBorder="1"/>
    <xf numFmtId="0" fontId="5" fillId="2" borderId="12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vertical="center"/>
    </xf>
    <xf numFmtId="0" fontId="4" fillId="7" borderId="12" xfId="0" applyFont="1" applyFill="1" applyBorder="1" applyAlignment="1">
      <alignment vertical="center" wrapText="1"/>
    </xf>
    <xf numFmtId="0" fontId="4" fillId="7" borderId="12" xfId="0" quotePrefix="1" applyFont="1" applyFill="1" applyBorder="1" applyAlignment="1">
      <alignment vertical="center" wrapText="1"/>
    </xf>
    <xf numFmtId="0" fontId="3" fillId="6" borderId="13" xfId="1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vertical="center"/>
    </xf>
    <xf numFmtId="0" fontId="5" fillId="5" borderId="16" xfId="0" applyFont="1" applyFill="1" applyBorder="1" applyAlignment="1">
      <alignment vertical="center"/>
    </xf>
    <xf numFmtId="0" fontId="6" fillId="0" borderId="12" xfId="0" applyFont="1" applyBorder="1" applyAlignment="1">
      <alignment horizontal="right"/>
    </xf>
    <xf numFmtId="0" fontId="20" fillId="0" borderId="12" xfId="0" applyFont="1" applyBorder="1" applyAlignment="1">
      <alignment horizontal="right"/>
    </xf>
    <xf numFmtId="3" fontId="6" fillId="0" borderId="12" xfId="0" applyNumberFormat="1" applyFont="1" applyBorder="1" applyAlignment="1">
      <alignment horizontal="right"/>
    </xf>
    <xf numFmtId="0" fontId="5" fillId="0" borderId="26" xfId="0" applyFont="1" applyBorder="1" applyAlignment="1">
      <alignment horizontal="center" vertical="center"/>
    </xf>
    <xf numFmtId="0" fontId="6" fillId="0" borderId="12" xfId="0" applyFont="1" applyBorder="1" applyAlignment="1">
      <alignment wrapText="1"/>
    </xf>
    <xf numFmtId="0" fontId="20" fillId="0" borderId="0" xfId="0" applyFont="1" applyAlignment="1">
      <alignment horizontal="right"/>
    </xf>
    <xf numFmtId="0" fontId="20" fillId="0" borderId="0" xfId="0" quotePrefix="1" applyFont="1" applyAlignment="1">
      <alignment horizontal="right"/>
    </xf>
    <xf numFmtId="0" fontId="20" fillId="0" borderId="0" xfId="0" applyFont="1"/>
    <xf numFmtId="3" fontId="6" fillId="0" borderId="0" xfId="0" applyNumberFormat="1" applyFont="1" applyAlignment="1">
      <alignment horizontal="right"/>
    </xf>
    <xf numFmtId="0" fontId="6" fillId="0" borderId="25" xfId="0" applyFont="1" applyBorder="1"/>
    <xf numFmtId="0" fontId="0" fillId="18" borderId="12" xfId="0" applyFill="1" applyBorder="1"/>
    <xf numFmtId="0" fontId="2" fillId="8" borderId="25" xfId="1" applyFill="1" applyBorder="1" applyAlignment="1">
      <alignment horizontal="center" vertical="center"/>
    </xf>
    <xf numFmtId="0" fontId="2" fillId="8" borderId="20" xfId="1" applyFill="1" applyBorder="1" applyAlignment="1">
      <alignment horizontal="center" vertical="center"/>
    </xf>
    <xf numFmtId="0" fontId="2" fillId="8" borderId="25" xfId="1" applyFill="1" applyBorder="1" applyAlignment="1">
      <alignment vertical="center"/>
    </xf>
    <xf numFmtId="0" fontId="6" fillId="39" borderId="12" xfId="0" applyFont="1" applyFill="1" applyBorder="1"/>
    <xf numFmtId="0" fontId="0" fillId="15" borderId="12" xfId="0" applyFill="1" applyBorder="1"/>
    <xf numFmtId="0" fontId="0" fillId="16" borderId="33" xfId="0" applyFill="1" applyBorder="1"/>
    <xf numFmtId="0" fontId="6" fillId="31" borderId="17" xfId="0" applyFont="1" applyFill="1" applyBorder="1"/>
    <xf numFmtId="0" fontId="6" fillId="31" borderId="17" xfId="0" applyFont="1" applyFill="1" applyBorder="1" applyAlignment="1">
      <alignment wrapText="1"/>
    </xf>
    <xf numFmtId="0" fontId="10" fillId="0" borderId="0" xfId="0" applyFont="1"/>
    <xf numFmtId="0" fontId="10" fillId="28" borderId="33" xfId="0" applyFont="1" applyFill="1" applyBorder="1"/>
    <xf numFmtId="0" fontId="6" fillId="28" borderId="33" xfId="0" applyFont="1" applyFill="1" applyBorder="1"/>
    <xf numFmtId="0" fontId="10" fillId="37" borderId="12" xfId="0" applyFont="1" applyFill="1" applyBorder="1"/>
    <xf numFmtId="14" fontId="6" fillId="0" borderId="12" xfId="0" applyNumberFormat="1" applyFont="1" applyBorder="1" applyAlignment="1">
      <alignment horizontal="right"/>
    </xf>
    <xf numFmtId="14" fontId="6" fillId="0" borderId="17" xfId="0" applyNumberFormat="1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4" fillId="7" borderId="25" xfId="0" applyFont="1" applyFill="1" applyBorder="1" applyAlignment="1">
      <alignment vertical="center"/>
    </xf>
    <xf numFmtId="0" fontId="4" fillId="7" borderId="25" xfId="0" applyFont="1" applyFill="1" applyBorder="1" applyAlignment="1">
      <alignment vertical="center" wrapText="1"/>
    </xf>
    <xf numFmtId="0" fontId="4" fillId="7" borderId="25" xfId="0" quotePrefix="1" applyFont="1" applyFill="1" applyBorder="1" applyAlignment="1">
      <alignment vertical="center" wrapText="1"/>
    </xf>
    <xf numFmtId="0" fontId="0" fillId="10" borderId="16" xfId="0" applyFill="1" applyBorder="1" applyAlignment="1">
      <alignment vertical="center"/>
    </xf>
    <xf numFmtId="0" fontId="2" fillId="8" borderId="12" xfId="1" applyFill="1" applyBorder="1" applyAlignment="1">
      <alignment horizontal="center"/>
    </xf>
    <xf numFmtId="0" fontId="17" fillId="34" borderId="12" xfId="0" applyFont="1" applyFill="1" applyBorder="1"/>
    <xf numFmtId="0" fontId="23" fillId="0" borderId="12" xfId="0" applyFont="1" applyBorder="1"/>
    <xf numFmtId="0" fontId="4" fillId="8" borderId="25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2" fillId="0" borderId="12" xfId="1" applyBorder="1"/>
    <xf numFmtId="0" fontId="24" fillId="0" borderId="0" xfId="0" applyFont="1"/>
    <xf numFmtId="0" fontId="2" fillId="8" borderId="18" xfId="1" applyFill="1" applyBorder="1" applyAlignment="1">
      <alignment horizontal="center" vertical="center"/>
    </xf>
    <xf numFmtId="0" fontId="17" fillId="0" borderId="12" xfId="0" applyFont="1" applyBorder="1" applyAlignment="1">
      <alignment wrapText="1"/>
    </xf>
    <xf numFmtId="0" fontId="2" fillId="0" borderId="12" xfId="1" applyBorder="1" applyAlignment="1">
      <alignment wrapText="1"/>
    </xf>
    <xf numFmtId="0" fontId="2" fillId="0" borderId="0" xfId="1" applyFill="1" applyBorder="1"/>
    <xf numFmtId="0" fontId="2" fillId="8" borderId="12" xfId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6" fillId="28" borderId="12" xfId="0" applyFont="1" applyFill="1" applyBorder="1"/>
    <xf numFmtId="0" fontId="2" fillId="0" borderId="20" xfId="1" applyFill="1" applyBorder="1" applyAlignment="1"/>
    <xf numFmtId="0" fontId="1" fillId="5" borderId="33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0" fontId="1" fillId="0" borderId="0" xfId="0" applyFont="1"/>
    <xf numFmtId="0" fontId="1" fillId="0" borderId="12" xfId="0" applyFont="1" applyBorder="1"/>
    <xf numFmtId="0" fontId="4" fillId="8" borderId="25" xfId="0" applyFont="1" applyFill="1" applyBorder="1" applyAlignment="1">
      <alignment vertical="center" wrapText="1"/>
    </xf>
    <xf numFmtId="0" fontId="2" fillId="8" borderId="25" xfId="1" applyFill="1" applyBorder="1" applyAlignment="1"/>
    <xf numFmtId="0" fontId="4" fillId="7" borderId="16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0" fillId="0" borderId="25" xfId="0" applyBorder="1"/>
    <xf numFmtId="0" fontId="2" fillId="0" borderId="25" xfId="1" applyBorder="1" applyAlignment="1">
      <alignment horizontal="center" vertical="center"/>
    </xf>
    <xf numFmtId="0" fontId="26" fillId="0" borderId="12" xfId="0" applyFont="1" applyBorder="1"/>
    <xf numFmtId="0" fontId="26" fillId="0" borderId="12" xfId="0" applyFont="1" applyBorder="1" applyAlignment="1">
      <alignment wrapText="1"/>
    </xf>
    <xf numFmtId="0" fontId="6" fillId="29" borderId="17" xfId="0" applyFont="1" applyFill="1" applyBorder="1"/>
    <xf numFmtId="0" fontId="26" fillId="32" borderId="12" xfId="0" applyFont="1" applyFill="1" applyBorder="1" applyAlignment="1">
      <alignment wrapText="1"/>
    </xf>
    <xf numFmtId="0" fontId="14" fillId="0" borderId="19" xfId="0" applyFont="1" applyBorder="1"/>
    <xf numFmtId="0" fontId="6" fillId="34" borderId="17" xfId="0" applyFont="1" applyFill="1" applyBorder="1"/>
    <xf numFmtId="0" fontId="6" fillId="32" borderId="17" xfId="0" applyFont="1" applyFill="1" applyBorder="1"/>
    <xf numFmtId="0" fontId="2" fillId="0" borderId="33" xfId="1" applyBorder="1" applyAlignment="1"/>
    <xf numFmtId="0" fontId="20" fillId="0" borderId="12" xfId="0" applyFont="1" applyBorder="1"/>
    <xf numFmtId="0" fontId="14" fillId="0" borderId="33" xfId="0" applyFont="1" applyBorder="1"/>
    <xf numFmtId="0" fontId="6" fillId="0" borderId="12" xfId="0" quotePrefix="1" applyFont="1" applyBorder="1" applyAlignment="1">
      <alignment horizontal="right"/>
    </xf>
    <xf numFmtId="0" fontId="20" fillId="0" borderId="12" xfId="0" applyFont="1" applyBorder="1" applyAlignment="1">
      <alignment horizontal="right" wrapText="1"/>
    </xf>
    <xf numFmtId="0" fontId="20" fillId="0" borderId="12" xfId="0" quotePrefix="1" applyFont="1" applyBorder="1" applyAlignment="1">
      <alignment horizontal="right"/>
    </xf>
    <xf numFmtId="14" fontId="17" fillId="0" borderId="12" xfId="0" applyNumberFormat="1" applyFont="1" applyBorder="1"/>
    <xf numFmtId="0" fontId="17" fillId="0" borderId="12" xfId="0" applyFont="1" applyBorder="1" applyAlignment="1">
      <alignment horizontal="right"/>
    </xf>
    <xf numFmtId="14" fontId="17" fillId="0" borderId="12" xfId="0" applyNumberFormat="1" applyFont="1" applyBorder="1" applyAlignment="1">
      <alignment horizontal="right"/>
    </xf>
    <xf numFmtId="0" fontId="17" fillId="24" borderId="12" xfId="0" applyFont="1" applyFill="1" applyBorder="1"/>
    <xf numFmtId="0" fontId="17" fillId="24" borderId="12" xfId="0" applyFont="1" applyFill="1" applyBorder="1" applyAlignment="1">
      <alignment wrapText="1"/>
    </xf>
    <xf numFmtId="0" fontId="17" fillId="0" borderId="33" xfId="0" applyFont="1" applyBorder="1"/>
    <xf numFmtId="0" fontId="17" fillId="28" borderId="12" xfId="0" applyFont="1" applyFill="1" applyBorder="1"/>
    <xf numFmtId="0" fontId="17" fillId="0" borderId="15" xfId="0" applyFont="1" applyBorder="1"/>
    <xf numFmtId="0" fontId="17" fillId="28" borderId="20" xfId="0" applyFont="1" applyFill="1" applyBorder="1"/>
    <xf numFmtId="0" fontId="2" fillId="0" borderId="19" xfId="1" applyBorder="1" applyAlignment="1"/>
    <xf numFmtId="0" fontId="0" fillId="6" borderId="33" xfId="0" applyFill="1" applyBorder="1" applyAlignment="1">
      <alignment vertical="center"/>
    </xf>
    <xf numFmtId="0" fontId="0" fillId="6" borderId="35" xfId="0" applyFill="1" applyBorder="1" applyAlignment="1">
      <alignment vertical="center"/>
    </xf>
    <xf numFmtId="0" fontId="0" fillId="0" borderId="25" xfId="0" applyBorder="1" applyAlignment="1">
      <alignment vertical="center"/>
    </xf>
    <xf numFmtId="0" fontId="27" fillId="0" borderId="12" xfId="0" applyFont="1" applyBorder="1"/>
    <xf numFmtId="0" fontId="0" fillId="6" borderId="17" xfId="0" applyFill="1" applyBorder="1" applyAlignment="1">
      <alignment vertical="center"/>
    </xf>
    <xf numFmtId="0" fontId="27" fillId="0" borderId="25" xfId="0" applyFont="1" applyBorder="1" applyAlignment="1">
      <alignment wrapText="1"/>
    </xf>
    <xf numFmtId="0" fontId="2" fillId="0" borderId="12" xfId="2" applyBorder="1" applyAlignment="1"/>
    <xf numFmtId="0" fontId="10" fillId="37" borderId="17" xfId="0" applyFont="1" applyFill="1" applyBorder="1"/>
    <xf numFmtId="0" fontId="22" fillId="37" borderId="17" xfId="0" applyFont="1" applyFill="1" applyBorder="1"/>
    <xf numFmtId="0" fontId="2" fillId="0" borderId="20" xfId="2" applyBorder="1" applyAlignment="1"/>
    <xf numFmtId="0" fontId="25" fillId="0" borderId="0" xfId="0" applyFont="1"/>
    <xf numFmtId="0" fontId="28" fillId="41" borderId="12" xfId="0" applyFont="1" applyFill="1" applyBorder="1" applyAlignment="1">
      <alignment wrapText="1"/>
    </xf>
    <xf numFmtId="0" fontId="0" fillId="0" borderId="0" xfId="0" applyAlignment="1">
      <alignment horizontal="right" vertical="center"/>
    </xf>
    <xf numFmtId="0" fontId="0" fillId="5" borderId="37" xfId="1" applyFont="1" applyFill="1" applyBorder="1" applyAlignment="1">
      <alignment horizontal="left" vertical="center"/>
    </xf>
    <xf numFmtId="0" fontId="2" fillId="6" borderId="40" xfId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0" fillId="5" borderId="21" xfId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37" xfId="1" applyFont="1" applyFill="1" applyBorder="1" applyAlignment="1">
      <alignment vertical="center" wrapText="1"/>
    </xf>
    <xf numFmtId="0" fontId="0" fillId="5" borderId="21" xfId="1" applyFont="1" applyFill="1" applyBorder="1" applyAlignment="1">
      <alignment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4" borderId="25" xfId="0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18" xfId="0" applyFill="1" applyBorder="1" applyAlignment="1">
      <alignment wrapText="1"/>
    </xf>
    <xf numFmtId="0" fontId="1" fillId="2" borderId="2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0" fillId="5" borderId="26" xfId="0" applyFont="1" applyFill="1" applyBorder="1" applyAlignment="1">
      <alignment horizontal="center" vertical="center" wrapText="1"/>
    </xf>
    <xf numFmtId="0" fontId="30" fillId="5" borderId="35" xfId="0" applyFont="1" applyFill="1" applyBorder="1" applyAlignment="1">
      <alignment horizontal="center" vertical="center" wrapText="1"/>
    </xf>
    <xf numFmtId="0" fontId="30" fillId="5" borderId="15" xfId="0" applyFont="1" applyFill="1" applyBorder="1" applyAlignment="1">
      <alignment horizontal="center" vertical="center" wrapText="1"/>
    </xf>
    <xf numFmtId="0" fontId="30" fillId="5" borderId="35" xfId="1" applyFont="1" applyFill="1" applyBorder="1" applyAlignment="1">
      <alignment horizontal="center" vertical="center"/>
    </xf>
    <xf numFmtId="0" fontId="30" fillId="5" borderId="15" xfId="1" applyFont="1" applyFill="1" applyBorder="1" applyAlignment="1">
      <alignment horizontal="center" vertical="center"/>
    </xf>
    <xf numFmtId="0" fontId="30" fillId="5" borderId="12" xfId="0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6" borderId="19" xfId="0" applyFill="1" applyBorder="1" applyAlignment="1">
      <alignment vertical="center"/>
    </xf>
    <xf numFmtId="0" fontId="30" fillId="5" borderId="17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69" xfId="0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0" fillId="0" borderId="0" xfId="0" applyAlignment="1">
      <alignment vertical="center" wrapText="1" justifyLastLine="1"/>
    </xf>
    <xf numFmtId="0" fontId="1" fillId="2" borderId="1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30" fillId="5" borderId="0" xfId="0" applyFont="1" applyFill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/>
    </xf>
    <xf numFmtId="0" fontId="30" fillId="5" borderId="35" xfId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2" fillId="5" borderId="35" xfId="1" applyFill="1" applyBorder="1" applyAlignment="1">
      <alignment horizontal="center" vertical="center" wrapText="1"/>
    </xf>
    <xf numFmtId="0" fontId="2" fillId="5" borderId="14" xfId="1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5" borderId="15" xfId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vertical="center"/>
    </xf>
    <xf numFmtId="0" fontId="0" fillId="10" borderId="0" xfId="0" applyFill="1" applyAlignment="1">
      <alignment horizontal="left" vertical="center" wrapText="1"/>
    </xf>
    <xf numFmtId="0" fontId="0" fillId="6" borderId="34" xfId="0" applyFill="1" applyBorder="1" applyAlignment="1">
      <alignment horizontal="left" vertical="center" wrapText="1"/>
    </xf>
    <xf numFmtId="0" fontId="2" fillId="6" borderId="18" xfId="1" applyFill="1" applyBorder="1" applyAlignment="1">
      <alignment vertical="center"/>
    </xf>
    <xf numFmtId="0" fontId="0" fillId="10" borderId="14" xfId="0" applyFill="1" applyBorder="1" applyAlignment="1">
      <alignment horizontal="left" vertical="center" wrapText="1"/>
    </xf>
    <xf numFmtId="0" fontId="2" fillId="3" borderId="21" xfId="1" applyFill="1" applyBorder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6" borderId="34" xfId="0" applyFill="1" applyBorder="1" applyAlignment="1">
      <alignment vertical="center" wrapText="1"/>
    </xf>
    <xf numFmtId="0" fontId="0" fillId="10" borderId="14" xfId="0" applyFill="1" applyBorder="1" applyAlignment="1">
      <alignment vertical="center" wrapText="1"/>
    </xf>
    <xf numFmtId="0" fontId="2" fillId="6" borderId="35" xfId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/>
    </xf>
    <xf numFmtId="0" fontId="0" fillId="5" borderId="34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center" vertical="center"/>
    </xf>
    <xf numFmtId="0" fontId="0" fillId="42" borderId="21" xfId="0" applyFill="1" applyBorder="1" applyAlignment="1">
      <alignment vertical="center"/>
    </xf>
    <xf numFmtId="0" fontId="0" fillId="42" borderId="39" xfId="0" applyFill="1" applyBorder="1" applyAlignment="1">
      <alignment vertical="center"/>
    </xf>
    <xf numFmtId="0" fontId="0" fillId="3" borderId="15" xfId="0" applyFill="1" applyBorder="1" applyAlignment="1">
      <alignment horizontal="left" vertical="center"/>
    </xf>
    <xf numFmtId="0" fontId="0" fillId="43" borderId="34" xfId="0" applyFill="1" applyBorder="1" applyAlignment="1">
      <alignment horizontal="center" vertical="center" wrapText="1"/>
    </xf>
    <xf numFmtId="0" fontId="0" fillId="42" borderId="0" xfId="0" applyFill="1" applyAlignment="1">
      <alignment vertical="center"/>
    </xf>
    <xf numFmtId="0" fontId="0" fillId="42" borderId="37" xfId="0" applyFill="1" applyBorder="1" applyAlignment="1">
      <alignment vertical="center"/>
    </xf>
    <xf numFmtId="0" fontId="0" fillId="5" borderId="33" xfId="0" applyFill="1" applyBorder="1" applyAlignment="1">
      <alignment horizontal="center" vertical="center" wrapText="1"/>
    </xf>
    <xf numFmtId="0" fontId="0" fillId="42" borderId="26" xfId="0" applyFill="1" applyBorder="1" applyAlignment="1">
      <alignment horizontal="center" vertical="center"/>
    </xf>
    <xf numFmtId="0" fontId="0" fillId="42" borderId="20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0" fillId="42" borderId="14" xfId="0" applyFill="1" applyBorder="1" applyAlignment="1">
      <alignment horizontal="center" vertical="center"/>
    </xf>
    <xf numFmtId="0" fontId="0" fillId="42" borderId="12" xfId="0" applyFill="1" applyBorder="1" applyAlignment="1">
      <alignment horizontal="center" vertical="center" wrapText="1"/>
    </xf>
    <xf numFmtId="0" fontId="0" fillId="42" borderId="37" xfId="0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2" fillId="6" borderId="37" xfId="1" applyFill="1" applyBorder="1" applyAlignment="1">
      <alignment vertical="center"/>
    </xf>
    <xf numFmtId="0" fontId="0" fillId="6" borderId="0" xfId="0" applyFill="1" applyAlignment="1">
      <alignment horizontal="left" vertical="center" wrapText="1"/>
    </xf>
    <xf numFmtId="0" fontId="2" fillId="6" borderId="14" xfId="1" applyFill="1" applyBorder="1" applyAlignment="1">
      <alignment horizontal="left" vertical="center"/>
    </xf>
    <xf numFmtId="0" fontId="2" fillId="5" borderId="35" xfId="1" applyFill="1" applyBorder="1" applyAlignment="1">
      <alignment horizontal="left" vertical="center" wrapText="1"/>
    </xf>
    <xf numFmtId="0" fontId="2" fillId="5" borderId="35" xfId="1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0" fontId="0" fillId="10" borderId="0" xfId="0" applyFill="1" applyAlignment="1">
      <alignment horizontal="center" vertical="center" wrapText="1"/>
    </xf>
    <xf numFmtId="0" fontId="0" fillId="10" borderId="35" xfId="0" applyFill="1" applyBorder="1" applyAlignment="1">
      <alignment horizontal="left" vertical="center"/>
    </xf>
    <xf numFmtId="0" fontId="2" fillId="10" borderId="18" xfId="1" applyFill="1" applyBorder="1" applyAlignment="1">
      <alignment horizontal="left" vertical="center"/>
    </xf>
    <xf numFmtId="0" fontId="0" fillId="10" borderId="14" xfId="0" applyFill="1" applyBorder="1" applyAlignment="1">
      <alignment horizontal="left" vertical="center"/>
    </xf>
    <xf numFmtId="0" fontId="2" fillId="10" borderId="37" xfId="1" applyFill="1" applyBorder="1" applyAlignment="1">
      <alignment horizontal="left" vertical="center"/>
    </xf>
    <xf numFmtId="0" fontId="0" fillId="10" borderId="35" xfId="0" applyFill="1" applyBorder="1" applyAlignment="1">
      <alignment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left" vertical="center"/>
    </xf>
    <xf numFmtId="0" fontId="0" fillId="3" borderId="34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34" xfId="0" applyFill="1" applyBorder="1" applyAlignment="1">
      <alignment horizontal="left" vertical="center"/>
    </xf>
    <xf numFmtId="0" fontId="0" fillId="3" borderId="21" xfId="0" applyFill="1" applyBorder="1" applyAlignment="1">
      <alignment horizontal="center" vertical="center"/>
    </xf>
    <xf numFmtId="0" fontId="2" fillId="3" borderId="35" xfId="1" applyFill="1" applyBorder="1" applyAlignment="1">
      <alignment horizontal="left" vertical="center" wrapText="1"/>
    </xf>
    <xf numFmtId="0" fontId="2" fillId="3" borderId="18" xfId="1" applyFill="1" applyBorder="1" applyAlignment="1">
      <alignment horizontal="left" vertical="center"/>
    </xf>
    <xf numFmtId="0" fontId="0" fillId="6" borderId="14" xfId="0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0" fillId="43" borderId="12" xfId="0" applyFill="1" applyBorder="1" applyAlignment="1">
      <alignment horizontal="center"/>
    </xf>
    <xf numFmtId="0" fontId="0" fillId="10" borderId="20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10" borderId="34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2" fillId="6" borderId="14" xfId="1" applyFill="1" applyBorder="1" applyAlignment="1">
      <alignment horizontal="left" vertical="center" wrapText="1"/>
    </xf>
    <xf numFmtId="0" fontId="0" fillId="42" borderId="14" xfId="0" applyFill="1" applyBorder="1" applyAlignment="1">
      <alignment vertical="center"/>
    </xf>
    <xf numFmtId="0" fontId="2" fillId="10" borderId="14" xfId="1" applyFill="1" applyBorder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0" fontId="0" fillId="7" borderId="39" xfId="0" applyFill="1" applyBorder="1" applyAlignment="1">
      <alignment horizontal="left" vertical="center" wrapText="1"/>
    </xf>
    <xf numFmtId="0" fontId="0" fillId="7" borderId="35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center" vertical="center" wrapText="1"/>
    </xf>
    <xf numFmtId="0" fontId="30" fillId="7" borderId="34" xfId="1" applyFont="1" applyFill="1" applyBorder="1" applyAlignment="1">
      <alignment horizontal="left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2" fillId="7" borderId="18" xfId="1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2" fillId="3" borderId="37" xfId="1" applyFill="1" applyBorder="1" applyAlignment="1">
      <alignment horizontal="left" vertical="center"/>
    </xf>
    <xf numFmtId="0" fontId="0" fillId="7" borderId="18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/>
    </xf>
    <xf numFmtId="0" fontId="2" fillId="7" borderId="34" xfId="1" applyFill="1" applyBorder="1" applyAlignment="1">
      <alignment horizontal="left" vertical="center" wrapText="1"/>
    </xf>
    <xf numFmtId="0" fontId="2" fillId="7" borderId="39" xfId="1" applyFill="1" applyBorder="1" applyAlignment="1">
      <alignment horizontal="left" vertical="center" wrapText="1"/>
    </xf>
    <xf numFmtId="0" fontId="0" fillId="7" borderId="34" xfId="0" applyFill="1" applyBorder="1" applyAlignment="1">
      <alignment horizontal="left" vertical="center"/>
    </xf>
    <xf numFmtId="0" fontId="2" fillId="44" borderId="0" xfId="1" applyFill="1" applyBorder="1" applyAlignment="1">
      <alignment horizontal="left" vertical="center" wrapText="1"/>
    </xf>
    <xf numFmtId="0" fontId="0" fillId="44" borderId="0" xfId="0" applyFill="1" applyAlignment="1">
      <alignment horizontal="left" vertical="center" wrapText="1"/>
    </xf>
    <xf numFmtId="0" fontId="0" fillId="44" borderId="33" xfId="0" applyFill="1" applyBorder="1" applyAlignment="1">
      <alignment horizontal="center" vertical="center"/>
    </xf>
    <xf numFmtId="0" fontId="0" fillId="6" borderId="35" xfId="0" applyFill="1" applyBorder="1" applyAlignment="1">
      <alignment horizontal="left" vertical="center"/>
    </xf>
    <xf numFmtId="0" fontId="2" fillId="6" borderId="18" xfId="1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2" fillId="6" borderId="37" xfId="1" applyFill="1" applyBorder="1" applyAlignment="1">
      <alignment horizontal="left" vertical="center"/>
    </xf>
    <xf numFmtId="0" fontId="0" fillId="42" borderId="0" xfId="0" applyFill="1" applyAlignment="1">
      <alignment horizontal="left" vertical="center"/>
    </xf>
    <xf numFmtId="0" fontId="0" fillId="42" borderId="37" xfId="0" applyFill="1" applyBorder="1" applyAlignment="1">
      <alignment horizontal="left" vertical="center"/>
    </xf>
    <xf numFmtId="0" fontId="0" fillId="44" borderId="25" xfId="0" applyFill="1" applyBorder="1" applyAlignment="1">
      <alignment horizontal="center" vertical="center"/>
    </xf>
    <xf numFmtId="0" fontId="0" fillId="44" borderId="35" xfId="0" applyFill="1" applyBorder="1" applyAlignment="1">
      <alignment horizontal="center" vertical="center" wrapText="1"/>
    </xf>
    <xf numFmtId="0" fontId="0" fillId="44" borderId="34" xfId="0" applyFill="1" applyBorder="1" applyAlignment="1">
      <alignment horizontal="center" vertical="center" wrapText="1"/>
    </xf>
    <xf numFmtId="0" fontId="0" fillId="44" borderId="3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45" borderId="33" xfId="0" applyFill="1" applyBorder="1" applyAlignment="1">
      <alignment horizontal="center" vertical="center"/>
    </xf>
    <xf numFmtId="0" fontId="0" fillId="45" borderId="17" xfId="0" applyFill="1" applyBorder="1" applyAlignment="1">
      <alignment horizontal="center" vertical="center"/>
    </xf>
    <xf numFmtId="0" fontId="0" fillId="44" borderId="14" xfId="0" applyFill="1" applyBorder="1" applyAlignment="1">
      <alignment horizontal="center" vertical="center"/>
    </xf>
    <xf numFmtId="0" fontId="0" fillId="44" borderId="14" xfId="0" applyFill="1" applyBorder="1" applyAlignment="1">
      <alignment horizontal="center" vertical="center" wrapText="1"/>
    </xf>
    <xf numFmtId="0" fontId="0" fillId="44" borderId="37" xfId="0" applyFill="1" applyBorder="1" applyAlignment="1">
      <alignment horizontal="center" vertical="center"/>
    </xf>
    <xf numFmtId="0" fontId="0" fillId="45" borderId="12" xfId="0" applyFill="1" applyBorder="1" applyAlignment="1">
      <alignment horizontal="center" vertical="center"/>
    </xf>
    <xf numFmtId="0" fontId="0" fillId="45" borderId="0" xfId="0" applyFill="1" applyAlignment="1">
      <alignment horizontal="center" vertical="center" wrapText="1"/>
    </xf>
    <xf numFmtId="0" fontId="0" fillId="45" borderId="35" xfId="0" applyFill="1" applyBorder="1" applyAlignment="1">
      <alignment vertical="center"/>
    </xf>
    <xf numFmtId="0" fontId="0" fillId="45" borderId="33" xfId="0" applyFill="1" applyBorder="1" applyAlignment="1">
      <alignment vertical="center"/>
    </xf>
    <xf numFmtId="0" fontId="0" fillId="45" borderId="34" xfId="0" applyFill="1" applyBorder="1" applyAlignment="1">
      <alignment vertical="center"/>
    </xf>
    <xf numFmtId="0" fontId="0" fillId="45" borderId="19" xfId="0" applyFill="1" applyBorder="1" applyAlignment="1">
      <alignment vertical="center"/>
    </xf>
    <xf numFmtId="0" fontId="0" fillId="45" borderId="25" xfId="0" applyFill="1" applyBorder="1" applyAlignment="1">
      <alignment horizontal="center" vertical="center"/>
    </xf>
    <xf numFmtId="0" fontId="0" fillId="45" borderId="20" xfId="0" applyFill="1" applyBorder="1" applyAlignment="1">
      <alignment horizontal="center" vertical="center"/>
    </xf>
    <xf numFmtId="0" fontId="0" fillId="45" borderId="21" xfId="0" applyFill="1" applyBorder="1" applyAlignment="1">
      <alignment horizontal="center" vertical="center"/>
    </xf>
    <xf numFmtId="0" fontId="30" fillId="7" borderId="39" xfId="1" applyFont="1" applyFill="1" applyBorder="1" applyAlignment="1">
      <alignment horizontal="center" vertical="center" wrapText="1"/>
    </xf>
    <xf numFmtId="0" fontId="2" fillId="44" borderId="12" xfId="1" applyFill="1" applyBorder="1" applyAlignment="1">
      <alignment horizontal="center" vertical="center" wrapText="1"/>
    </xf>
    <xf numFmtId="0" fontId="2" fillId="45" borderId="20" xfId="1" applyFill="1" applyBorder="1" applyAlignment="1">
      <alignment horizontal="center" vertical="center" wrapText="1"/>
    </xf>
    <xf numFmtId="0" fontId="2" fillId="7" borderId="39" xfId="1" applyFill="1" applyBorder="1" applyAlignment="1">
      <alignment horizontal="center" vertical="center" wrapText="1"/>
    </xf>
    <xf numFmtId="0" fontId="0" fillId="44" borderId="12" xfId="1" applyFont="1" applyFill="1" applyBorder="1" applyAlignment="1">
      <alignment horizontal="center" vertical="center" wrapText="1"/>
    </xf>
    <xf numFmtId="0" fontId="0" fillId="45" borderId="20" xfId="1" applyFont="1" applyFill="1" applyBorder="1" applyAlignment="1">
      <alignment horizontal="center" vertical="center" wrapText="1"/>
    </xf>
    <xf numFmtId="0" fontId="30" fillId="42" borderId="12" xfId="0" applyFont="1" applyFill="1" applyBorder="1" applyAlignment="1">
      <alignment horizontal="center" vertical="center" wrapText="1"/>
    </xf>
    <xf numFmtId="0" fontId="3" fillId="42" borderId="3" xfId="1" applyFont="1" applyFill="1" applyBorder="1" applyAlignment="1">
      <alignment horizontal="center" vertical="center"/>
    </xf>
    <xf numFmtId="0" fontId="0" fillId="44" borderId="37" xfId="0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2" fillId="7" borderId="0" xfId="1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44" borderId="34" xfId="0" applyFill="1" applyBorder="1" applyAlignment="1">
      <alignment horizontal="left" vertical="center"/>
    </xf>
    <xf numFmtId="0" fontId="0" fillId="44" borderId="39" xfId="0" applyFill="1" applyBorder="1" applyAlignment="1">
      <alignment horizontal="center" vertical="center" wrapText="1"/>
    </xf>
    <xf numFmtId="0" fontId="0" fillId="44" borderId="21" xfId="0" applyFill="1" applyBorder="1" applyAlignment="1">
      <alignment horizontal="center" vertical="center" wrapText="1"/>
    </xf>
    <xf numFmtId="0" fontId="0" fillId="44" borderId="34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2" fillId="44" borderId="39" xfId="1" applyFill="1" applyBorder="1" applyAlignment="1">
      <alignment horizontal="left" vertical="center" wrapText="1"/>
    </xf>
    <xf numFmtId="0" fontId="0" fillId="44" borderId="39" xfId="0" applyFill="1" applyBorder="1" applyAlignment="1">
      <alignment horizontal="left" vertical="center" wrapText="1"/>
    </xf>
    <xf numFmtId="0" fontId="0" fillId="44" borderId="21" xfId="0" applyFill="1" applyBorder="1" applyAlignment="1">
      <alignment horizontal="left" vertical="center" wrapText="1"/>
    </xf>
    <xf numFmtId="0" fontId="0" fillId="44" borderId="25" xfId="0" applyFill="1" applyBorder="1" applyAlignment="1">
      <alignment vertical="center"/>
    </xf>
    <xf numFmtId="0" fontId="0" fillId="44" borderId="35" xfId="0" applyFill="1" applyBorder="1" applyAlignment="1">
      <alignment vertical="center"/>
    </xf>
    <xf numFmtId="0" fontId="0" fillId="44" borderId="20" xfId="0" applyFill="1" applyBorder="1" applyAlignment="1">
      <alignment vertical="center"/>
    </xf>
    <xf numFmtId="0" fontId="0" fillId="44" borderId="15" xfId="0" applyFill="1" applyBorder="1" applyAlignment="1">
      <alignment vertical="center"/>
    </xf>
    <xf numFmtId="0" fontId="0" fillId="7" borderId="34" xfId="0" applyFill="1" applyBorder="1" applyAlignment="1">
      <alignment horizontal="center" vertical="center"/>
    </xf>
    <xf numFmtId="0" fontId="0" fillId="44" borderId="20" xfId="0" applyFill="1" applyBorder="1" applyAlignment="1">
      <alignment horizontal="center" vertical="center"/>
    </xf>
    <xf numFmtId="0" fontId="0" fillId="44" borderId="0" xfId="0" applyFill="1" applyAlignment="1">
      <alignment horizontal="center" vertical="center" wrapText="1"/>
    </xf>
    <xf numFmtId="0" fontId="0" fillId="44" borderId="18" xfId="0" applyFill="1" applyBorder="1" applyAlignment="1">
      <alignment horizontal="center" vertical="center" wrapText="1"/>
    </xf>
    <xf numFmtId="0" fontId="0" fillId="44" borderId="15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10" borderId="37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10" borderId="0" xfId="0" applyFill="1" applyAlignment="1">
      <alignment horizontal="left" vertical="center"/>
    </xf>
    <xf numFmtId="0" fontId="0" fillId="42" borderId="35" xfId="0" applyFill="1" applyBorder="1" applyAlignment="1">
      <alignment horizontal="center" vertical="center"/>
    </xf>
    <xf numFmtId="0" fontId="0" fillId="42" borderId="25" xfId="0" applyFill="1" applyBorder="1" applyAlignment="1">
      <alignment horizontal="center" vertical="center"/>
    </xf>
    <xf numFmtId="0" fontId="0" fillId="42" borderId="15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2" fillId="10" borderId="21" xfId="1" applyFill="1" applyBorder="1" applyAlignment="1">
      <alignment horizontal="left" vertical="center"/>
    </xf>
    <xf numFmtId="0" fontId="0" fillId="47" borderId="35" xfId="0" applyFill="1" applyBorder="1" applyAlignment="1">
      <alignment horizontal="left" vertical="center"/>
    </xf>
    <xf numFmtId="0" fontId="0" fillId="47" borderId="12" xfId="0" applyFill="1" applyBorder="1" applyAlignment="1">
      <alignment horizontal="center" vertical="center"/>
    </xf>
    <xf numFmtId="0" fontId="0" fillId="47" borderId="34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0" fillId="44" borderId="39" xfId="0" applyFill="1" applyBorder="1" applyAlignment="1">
      <alignment horizontal="center" vertical="center"/>
    </xf>
    <xf numFmtId="0" fontId="0" fillId="6" borderId="15" xfId="0" applyFill="1" applyBorder="1" applyAlignment="1">
      <alignment horizontal="left" vertical="center"/>
    </xf>
    <xf numFmtId="0" fontId="2" fillId="6" borderId="21" xfId="1" applyFill="1" applyBorder="1" applyAlignment="1">
      <alignment horizontal="left" vertical="center"/>
    </xf>
    <xf numFmtId="0" fontId="0" fillId="5" borderId="39" xfId="0" applyFill="1" applyBorder="1" applyAlignment="1">
      <alignment horizontal="left" vertical="center"/>
    </xf>
    <xf numFmtId="0" fontId="2" fillId="10" borderId="25" xfId="1" applyFill="1" applyBorder="1" applyAlignment="1">
      <alignment horizontal="left" vertical="center" wrapText="1"/>
    </xf>
    <xf numFmtId="0" fontId="2" fillId="10" borderId="26" xfId="1" applyFill="1" applyBorder="1" applyAlignment="1">
      <alignment horizontal="left" vertical="center" wrapText="1"/>
    </xf>
    <xf numFmtId="0" fontId="2" fillId="10" borderId="0" xfId="1" applyFill="1" applyBorder="1" applyAlignment="1">
      <alignment horizontal="left" vertical="center"/>
    </xf>
    <xf numFmtId="0" fontId="30" fillId="5" borderId="25" xfId="0" applyFont="1" applyFill="1" applyBorder="1" applyAlignment="1">
      <alignment horizontal="center" vertical="center" wrapText="1"/>
    </xf>
    <xf numFmtId="0" fontId="30" fillId="42" borderId="34" xfId="0" applyFont="1" applyFill="1" applyBorder="1" applyAlignment="1">
      <alignment horizontal="center" vertical="center" wrapText="1"/>
    </xf>
    <xf numFmtId="0" fontId="6" fillId="33" borderId="12" xfId="0" applyFont="1" applyFill="1" applyBorder="1"/>
    <xf numFmtId="0" fontId="4" fillId="7" borderId="22" xfId="0" applyFont="1" applyFill="1" applyBorder="1" applyAlignment="1">
      <alignment vertical="center"/>
    </xf>
    <xf numFmtId="0" fontId="4" fillId="7" borderId="16" xfId="0" applyFont="1" applyFill="1" applyBorder="1" applyAlignment="1">
      <alignment vertical="center" wrapText="1"/>
    </xf>
    <xf numFmtId="0" fontId="4" fillId="7" borderId="16" xfId="0" quotePrefix="1" applyFont="1" applyFill="1" applyBorder="1" applyAlignment="1">
      <alignment vertical="center" wrapText="1"/>
    </xf>
    <xf numFmtId="0" fontId="30" fillId="5" borderId="20" xfId="0" applyFont="1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42" borderId="25" xfId="0" applyFill="1" applyBorder="1" applyAlignment="1">
      <alignment horizontal="center" vertical="center" wrapText="1"/>
    </xf>
    <xf numFmtId="0" fontId="0" fillId="43" borderId="33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42" borderId="18" xfId="0" applyFill="1" applyBorder="1" applyAlignment="1">
      <alignment horizontal="center" vertical="center"/>
    </xf>
    <xf numFmtId="0" fontId="0" fillId="10" borderId="34" xfId="0" applyFill="1" applyBorder="1" applyAlignment="1">
      <alignment horizontal="left" vertical="center"/>
    </xf>
    <xf numFmtId="0" fontId="2" fillId="6" borderId="34" xfId="1" applyFill="1" applyBorder="1" applyAlignment="1">
      <alignment vertical="center"/>
    </xf>
    <xf numFmtId="0" fontId="2" fillId="6" borderId="0" xfId="1" applyFill="1" applyBorder="1" applyAlignment="1">
      <alignment vertical="center"/>
    </xf>
    <xf numFmtId="0" fontId="0" fillId="43" borderId="37" xfId="0" applyFill="1" applyBorder="1" applyAlignment="1">
      <alignment horizontal="center"/>
    </xf>
    <xf numFmtId="0" fontId="0" fillId="43" borderId="26" xfId="0" applyFill="1" applyBorder="1" applyAlignment="1">
      <alignment horizontal="center" vertical="center"/>
    </xf>
    <xf numFmtId="0" fontId="0" fillId="43" borderId="17" xfId="0" applyFill="1" applyBorder="1" applyAlignment="1">
      <alignment horizontal="center" vertical="center"/>
    </xf>
    <xf numFmtId="0" fontId="0" fillId="42" borderId="2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1" applyFill="1" applyBorder="1" applyAlignment="1">
      <alignment horizontal="left" vertical="center" wrapText="1"/>
    </xf>
    <xf numFmtId="0" fontId="30" fillId="0" borderId="0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15" xfId="1" applyFill="1" applyBorder="1" applyAlignment="1">
      <alignment horizontal="left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34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7" borderId="34" xfId="0" applyFill="1" applyBorder="1" applyAlignment="1">
      <alignment horizontal="left" vertical="center" wrapText="1"/>
    </xf>
    <xf numFmtId="0" fontId="0" fillId="46" borderId="21" xfId="0" applyFill="1" applyBorder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6" borderId="15" xfId="0" applyFill="1" applyBorder="1" applyAlignment="1">
      <alignment horizontal="left" vertical="center"/>
    </xf>
    <xf numFmtId="0" fontId="0" fillId="7" borderId="21" xfId="0" applyFill="1" applyBorder="1" applyAlignment="1">
      <alignment horizontal="left" vertical="center"/>
    </xf>
    <xf numFmtId="0" fontId="0" fillId="7" borderId="39" xfId="0" applyFill="1" applyBorder="1" applyAlignment="1">
      <alignment horizontal="left" vertical="center"/>
    </xf>
    <xf numFmtId="0" fontId="0" fillId="10" borderId="39" xfId="0" applyFill="1" applyBorder="1" applyAlignment="1">
      <alignment horizontal="left" vertical="center"/>
    </xf>
    <xf numFmtId="0" fontId="0" fillId="5" borderId="34" xfId="0" applyFill="1" applyBorder="1" applyAlignment="1">
      <alignment horizontal="left" vertical="center"/>
    </xf>
    <xf numFmtId="0" fontId="2" fillId="5" borderId="18" xfId="1" applyFill="1" applyBorder="1" applyAlignment="1">
      <alignment horizontal="left" vertical="center"/>
    </xf>
    <xf numFmtId="0" fontId="0" fillId="43" borderId="12" xfId="0" applyFill="1" applyBorder="1" applyAlignment="1">
      <alignment horizontal="center" vertical="center"/>
    </xf>
    <xf numFmtId="0" fontId="0" fillId="43" borderId="25" xfId="0" applyFill="1" applyBorder="1" applyAlignment="1">
      <alignment horizontal="center" vertical="center"/>
    </xf>
    <xf numFmtId="0" fontId="30" fillId="5" borderId="19" xfId="0" applyFont="1" applyFill="1" applyBorder="1" applyAlignment="1">
      <alignment horizontal="center" vertical="center" wrapText="1"/>
    </xf>
    <xf numFmtId="0" fontId="30" fillId="5" borderId="39" xfId="0" applyFont="1" applyFill="1" applyBorder="1" applyAlignment="1">
      <alignment horizontal="center" vertical="center" wrapText="1"/>
    </xf>
    <xf numFmtId="0" fontId="30" fillId="5" borderId="39" xfId="0" applyFont="1" applyFill="1" applyBorder="1" applyAlignment="1">
      <alignment horizontal="center" vertical="center"/>
    </xf>
    <xf numFmtId="0" fontId="30" fillId="5" borderId="37" xfId="0" applyFont="1" applyFill="1" applyBorder="1" applyAlignment="1">
      <alignment horizontal="center" vertical="center"/>
    </xf>
    <xf numFmtId="0" fontId="30" fillId="5" borderId="21" xfId="0" applyFont="1" applyFill="1" applyBorder="1" applyAlignment="1">
      <alignment horizontal="center" vertical="center"/>
    </xf>
    <xf numFmtId="0" fontId="2" fillId="5" borderId="21" xfId="1" applyFill="1" applyBorder="1" applyAlignment="1">
      <alignment horizontal="center" vertical="center" wrapText="1"/>
    </xf>
    <xf numFmtId="0" fontId="0" fillId="45" borderId="0" xfId="0" applyFill="1" applyAlignment="1">
      <alignment vertical="center" wrapText="1"/>
    </xf>
    <xf numFmtId="0" fontId="30" fillId="5" borderId="33" xfId="1" applyFont="1" applyFill="1" applyBorder="1" applyAlignment="1">
      <alignment horizontal="center" vertical="center"/>
    </xf>
    <xf numFmtId="0" fontId="2" fillId="6" borderId="25" xfId="1" applyFill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 wrapText="1"/>
    </xf>
    <xf numFmtId="0" fontId="30" fillId="6" borderId="35" xfId="1" applyFont="1" applyFill="1" applyBorder="1" applyAlignment="1">
      <alignment horizontal="center" vertical="center"/>
    </xf>
    <xf numFmtId="0" fontId="30" fillId="6" borderId="26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center" vertical="center"/>
    </xf>
    <xf numFmtId="0" fontId="30" fillId="5" borderId="39" xfId="1" applyFont="1" applyFill="1" applyBorder="1" applyAlignment="1">
      <alignment horizontal="center" vertical="center"/>
    </xf>
    <xf numFmtId="0" fontId="3" fillId="42" borderId="3" xfId="1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30" fillId="5" borderId="0" xfId="1" applyFont="1" applyFill="1" applyBorder="1" applyAlignment="1">
      <alignment horizontal="center" vertical="center"/>
    </xf>
    <xf numFmtId="0" fontId="30" fillId="42" borderId="25" xfId="0" applyFont="1" applyFill="1" applyBorder="1" applyAlignment="1">
      <alignment horizontal="center" vertical="center" wrapText="1"/>
    </xf>
    <xf numFmtId="0" fontId="0" fillId="42" borderId="19" xfId="0" applyFill="1" applyBorder="1" applyAlignment="1">
      <alignment horizontal="center" vertical="center" wrapText="1"/>
    </xf>
    <xf numFmtId="0" fontId="30" fillId="5" borderId="25" xfId="1" applyFont="1" applyFill="1" applyBorder="1" applyAlignment="1">
      <alignment horizontal="center" vertical="center"/>
    </xf>
    <xf numFmtId="0" fontId="30" fillId="5" borderId="26" xfId="1" applyFont="1" applyFill="1" applyBorder="1" applyAlignment="1">
      <alignment horizontal="center" vertical="center"/>
    </xf>
    <xf numFmtId="0" fontId="30" fillId="5" borderId="20" xfId="1" applyFont="1" applyFill="1" applyBorder="1" applyAlignment="1">
      <alignment horizontal="center" vertical="center"/>
    </xf>
    <xf numFmtId="0" fontId="30" fillId="5" borderId="34" xfId="1" applyFont="1" applyFill="1" applyBorder="1" applyAlignment="1">
      <alignment horizontal="center" vertical="center"/>
    </xf>
    <xf numFmtId="0" fontId="2" fillId="5" borderId="37" xfId="1" applyFill="1" applyBorder="1" applyAlignment="1">
      <alignment horizontal="center" vertical="center" wrapText="1"/>
    </xf>
    <xf numFmtId="0" fontId="0" fillId="42" borderId="0" xfId="0" applyFill="1" applyAlignment="1">
      <alignment horizontal="center" vertical="center" wrapText="1"/>
    </xf>
    <xf numFmtId="0" fontId="30" fillId="42" borderId="19" xfId="0" applyFont="1" applyFill="1" applyBorder="1" applyAlignment="1">
      <alignment vertical="center" wrapText="1"/>
    </xf>
    <xf numFmtId="0" fontId="0" fillId="5" borderId="34" xfId="0" applyFill="1" applyBorder="1" applyAlignment="1">
      <alignment horizontal="center" vertical="center" wrapText="1"/>
    </xf>
    <xf numFmtId="0" fontId="2" fillId="6" borderId="0" xfId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10" borderId="34" xfId="0" applyFill="1" applyBorder="1" applyAlignment="1">
      <alignment horizontal="center" vertical="center" wrapText="1"/>
    </xf>
    <xf numFmtId="0" fontId="0" fillId="45" borderId="39" xfId="0" applyFill="1" applyBorder="1" applyAlignment="1">
      <alignment horizontal="center" vertical="center" wrapText="1"/>
    </xf>
    <xf numFmtId="0" fontId="0" fillId="45" borderId="21" xfId="0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</xf>
    <xf numFmtId="0" fontId="30" fillId="6" borderId="33" xfId="0" applyFont="1" applyFill="1" applyBorder="1" applyAlignment="1">
      <alignment horizontal="center" vertical="center" wrapText="1"/>
    </xf>
    <xf numFmtId="0" fontId="30" fillId="6" borderId="17" xfId="0" applyFont="1" applyFill="1" applyBorder="1" applyAlignment="1">
      <alignment horizontal="center" vertical="center" wrapText="1"/>
    </xf>
    <xf numFmtId="0" fontId="30" fillId="6" borderId="39" xfId="0" applyFont="1" applyFill="1" applyBorder="1" applyAlignment="1">
      <alignment horizontal="center" vertical="center" wrapText="1"/>
    </xf>
    <xf numFmtId="0" fontId="2" fillId="6" borderId="73" xfId="1" applyFill="1" applyBorder="1" applyAlignment="1">
      <alignment horizontal="center" vertical="center" wrapText="1"/>
    </xf>
    <xf numFmtId="0" fontId="2" fillId="6" borderId="35" xfId="1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 wrapText="1"/>
    </xf>
    <xf numFmtId="0" fontId="2" fillId="6" borderId="18" xfId="1" applyFill="1" applyBorder="1" applyAlignment="1">
      <alignment horizontal="center" vertical="center"/>
    </xf>
    <xf numFmtId="0" fontId="2" fillId="6" borderId="14" xfId="1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2" fillId="6" borderId="37" xfId="1" applyFill="1" applyBorder="1" applyAlignment="1">
      <alignment horizontal="center" vertical="center"/>
    </xf>
    <xf numFmtId="0" fontId="2" fillId="5" borderId="35" xfId="1" applyFill="1" applyBorder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2" borderId="37" xfId="0" applyFill="1" applyBorder="1" applyAlignment="1">
      <alignment horizontal="center" vertical="center"/>
    </xf>
    <xf numFmtId="0" fontId="0" fillId="42" borderId="39" xfId="0" applyFill="1" applyBorder="1" applyAlignment="1">
      <alignment horizontal="center" vertical="center"/>
    </xf>
    <xf numFmtId="0" fontId="0" fillId="42" borderId="21" xfId="0" applyFill="1" applyBorder="1" applyAlignment="1">
      <alignment horizontal="center" vertical="center"/>
    </xf>
    <xf numFmtId="0" fontId="2" fillId="10" borderId="73" xfId="1" applyFill="1" applyBorder="1" applyAlignment="1">
      <alignment horizontal="center" vertical="center" wrapText="1"/>
    </xf>
    <xf numFmtId="0" fontId="2" fillId="10" borderId="14" xfId="1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2" fillId="10" borderId="0" xfId="1" applyFill="1" applyBorder="1" applyAlignment="1">
      <alignment horizontal="center" vertical="center" wrapText="1"/>
    </xf>
    <xf numFmtId="0" fontId="2" fillId="3" borderId="35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7" borderId="25" xfId="1" applyFill="1" applyBorder="1" applyAlignment="1">
      <alignment horizontal="center" vertical="center" wrapText="1"/>
    </xf>
    <xf numFmtId="0" fontId="2" fillId="7" borderId="34" xfId="1" applyFill="1" applyBorder="1" applyAlignment="1">
      <alignment horizontal="center" vertical="center" wrapText="1"/>
    </xf>
    <xf numFmtId="0" fontId="30" fillId="7" borderId="34" xfId="1" applyFont="1" applyFill="1" applyBorder="1" applyAlignment="1">
      <alignment horizontal="center" vertical="center" wrapText="1"/>
    </xf>
    <xf numFmtId="0" fontId="2" fillId="7" borderId="26" xfId="1" applyFill="1" applyBorder="1" applyAlignment="1">
      <alignment horizontal="center" vertical="center" wrapText="1"/>
    </xf>
    <xf numFmtId="0" fontId="2" fillId="7" borderId="0" xfId="1" applyFill="1" applyBorder="1" applyAlignment="1">
      <alignment horizontal="center" vertical="center" wrapText="1"/>
    </xf>
    <xf numFmtId="0" fontId="2" fillId="7" borderId="20" xfId="1" applyFill="1" applyBorder="1" applyAlignment="1">
      <alignment horizontal="center" vertical="center" wrapText="1"/>
    </xf>
    <xf numFmtId="0" fontId="2" fillId="44" borderId="0" xfId="1" applyFill="1" applyBorder="1" applyAlignment="1">
      <alignment horizontal="center" vertical="center" wrapText="1"/>
    </xf>
    <xf numFmtId="0" fontId="2" fillId="45" borderId="25" xfId="1" applyFill="1" applyBorder="1" applyAlignment="1">
      <alignment horizontal="center" vertical="center" wrapText="1"/>
    </xf>
    <xf numFmtId="0" fontId="2" fillId="45" borderId="34" xfId="1" applyFill="1" applyBorder="1" applyAlignment="1">
      <alignment horizontal="center" vertical="center" wrapText="1"/>
    </xf>
    <xf numFmtId="0" fontId="0" fillId="45" borderId="34" xfId="0" applyFill="1" applyBorder="1" applyAlignment="1">
      <alignment horizontal="center" vertical="center" wrapText="1"/>
    </xf>
    <xf numFmtId="0" fontId="0" fillId="45" borderId="18" xfId="0" applyFill="1" applyBorder="1" applyAlignment="1">
      <alignment horizontal="center" vertical="center" wrapText="1"/>
    </xf>
    <xf numFmtId="0" fontId="2" fillId="45" borderId="39" xfId="1" applyFill="1" applyBorder="1" applyAlignment="1">
      <alignment horizontal="center" vertical="center" wrapText="1"/>
    </xf>
    <xf numFmtId="0" fontId="0" fillId="42" borderId="34" xfId="0" applyFill="1" applyBorder="1" applyAlignment="1">
      <alignment horizontal="left" vertical="center"/>
    </xf>
    <xf numFmtId="0" fontId="0" fillId="42" borderId="18" xfId="0" applyFill="1" applyBorder="1" applyAlignment="1">
      <alignment horizontal="left" vertical="center"/>
    </xf>
    <xf numFmtId="0" fontId="0" fillId="42" borderId="39" xfId="0" applyFill="1" applyBorder="1" applyAlignment="1">
      <alignment horizontal="left" vertical="center"/>
    </xf>
    <xf numFmtId="0" fontId="0" fillId="42" borderId="21" xfId="0" applyFill="1" applyBorder="1" applyAlignment="1">
      <alignment horizontal="left" vertical="center"/>
    </xf>
    <xf numFmtId="0" fontId="0" fillId="45" borderId="35" xfId="0" applyFill="1" applyBorder="1" applyAlignment="1">
      <alignment horizontal="left" vertical="center"/>
    </xf>
    <xf numFmtId="0" fontId="0" fillId="45" borderId="34" xfId="0" applyFill="1" applyBorder="1" applyAlignment="1">
      <alignment horizontal="left" vertical="center"/>
    </xf>
    <xf numFmtId="0" fontId="0" fillId="45" borderId="33" xfId="0" applyFill="1" applyBorder="1" applyAlignment="1">
      <alignment horizontal="left" vertical="center"/>
    </xf>
    <xf numFmtId="0" fontId="0" fillId="45" borderId="19" xfId="0" applyFill="1" applyBorder="1" applyAlignment="1">
      <alignment horizontal="left" vertical="center"/>
    </xf>
    <xf numFmtId="0" fontId="2" fillId="6" borderId="0" xfId="1" applyFill="1" applyBorder="1" applyAlignment="1">
      <alignment horizontal="center" vertical="center"/>
    </xf>
    <xf numFmtId="0" fontId="0" fillId="6" borderId="0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5" borderId="37" xfId="0" applyFill="1" applyBorder="1" applyAlignment="1">
      <alignment horizontal="left" vertical="center" wrapText="1"/>
    </xf>
    <xf numFmtId="0" fontId="0" fillId="6" borderId="34" xfId="1" applyFont="1" applyFill="1" applyBorder="1" applyAlignment="1">
      <alignment horizontal="center" vertical="center"/>
    </xf>
    <xf numFmtId="0" fontId="0" fillId="6" borderId="37" xfId="1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0" fontId="0" fillId="6" borderId="39" xfId="1" applyFont="1" applyFill="1" applyBorder="1" applyAlignment="1">
      <alignment horizontal="center" vertical="center"/>
    </xf>
    <xf numFmtId="0" fontId="0" fillId="6" borderId="21" xfId="1" applyFont="1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5" xfId="1" applyFont="1" applyFill="1" applyBorder="1" applyAlignment="1">
      <alignment vertical="center"/>
    </xf>
    <xf numFmtId="0" fontId="0" fillId="6" borderId="26" xfId="1" applyFont="1" applyFill="1" applyBorder="1" applyAlignment="1">
      <alignment vertical="center"/>
    </xf>
    <xf numFmtId="0" fontId="0" fillId="6" borderId="20" xfId="1" applyFont="1" applyFill="1" applyBorder="1" applyAlignment="1">
      <alignment vertical="center"/>
    </xf>
    <xf numFmtId="0" fontId="0" fillId="6" borderId="35" xfId="1" applyFont="1" applyFill="1" applyBorder="1" applyAlignment="1">
      <alignment vertical="center"/>
    </xf>
    <xf numFmtId="0" fontId="0" fillId="6" borderId="14" xfId="1" applyFont="1" applyFill="1" applyBorder="1" applyAlignment="1">
      <alignment vertical="center"/>
    </xf>
    <xf numFmtId="0" fontId="0" fillId="6" borderId="15" xfId="1" applyFont="1" applyFill="1" applyBorder="1" applyAlignment="1">
      <alignment vertical="center"/>
    </xf>
    <xf numFmtId="0" fontId="4" fillId="42" borderId="1" xfId="0" applyFont="1" applyFill="1" applyBorder="1" applyAlignment="1">
      <alignment vertical="center" wrapText="1"/>
    </xf>
    <xf numFmtId="0" fontId="2" fillId="42" borderId="35" xfId="1" applyFill="1" applyBorder="1" applyAlignment="1">
      <alignment horizontal="center" vertical="center" wrapText="1"/>
    </xf>
    <xf numFmtId="0" fontId="30" fillId="42" borderId="34" xfId="1" applyFont="1" applyFill="1" applyBorder="1" applyAlignment="1">
      <alignment horizontal="center" vertical="center"/>
    </xf>
    <xf numFmtId="0" fontId="30" fillId="42" borderId="25" xfId="1" applyFont="1" applyFill="1" applyBorder="1" applyAlignment="1">
      <alignment horizontal="center" vertical="center"/>
    </xf>
    <xf numFmtId="0" fontId="0" fillId="42" borderId="26" xfId="0" applyFill="1" applyBorder="1" applyAlignment="1">
      <alignment vertical="center"/>
    </xf>
    <xf numFmtId="0" fontId="2" fillId="6" borderId="12" xfId="1" applyFill="1" applyBorder="1" applyAlignment="1">
      <alignment horizontal="center" vertical="center" wrapText="1"/>
    </xf>
    <xf numFmtId="0" fontId="30" fillId="6" borderId="33" xfId="1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horizontal="center" vertical="center" wrapText="1"/>
    </xf>
    <xf numFmtId="0" fontId="2" fillId="6" borderId="35" xfId="1" applyFill="1" applyBorder="1" applyAlignment="1">
      <alignment horizontal="center" vertical="center" wrapText="1"/>
    </xf>
    <xf numFmtId="0" fontId="30" fillId="6" borderId="25" xfId="1" applyFont="1" applyFill="1" applyBorder="1" applyAlignment="1">
      <alignment horizontal="center" vertical="center"/>
    </xf>
    <xf numFmtId="0" fontId="30" fillId="6" borderId="34" xfId="1" applyFont="1" applyFill="1" applyBorder="1" applyAlignment="1">
      <alignment horizontal="center" vertical="center"/>
    </xf>
    <xf numFmtId="0" fontId="30" fillId="6" borderId="25" xfId="0" applyFont="1" applyFill="1" applyBorder="1" applyAlignment="1">
      <alignment horizontal="center" vertical="center" wrapText="1"/>
    </xf>
    <xf numFmtId="0" fontId="30" fillId="6" borderId="18" xfId="0" applyFont="1" applyFill="1" applyBorder="1" applyAlignment="1">
      <alignment horizontal="center" vertical="center" wrapText="1"/>
    </xf>
    <xf numFmtId="0" fontId="2" fillId="6" borderId="14" xfId="1" applyFill="1" applyBorder="1" applyAlignment="1">
      <alignment horizontal="center" vertical="center" wrapText="1"/>
    </xf>
    <xf numFmtId="0" fontId="2" fillId="6" borderId="37" xfId="1" applyFill="1" applyBorder="1" applyAlignment="1">
      <alignment horizontal="center" vertical="center" wrapText="1"/>
    </xf>
    <xf numFmtId="0" fontId="30" fillId="6" borderId="26" xfId="1" applyFont="1" applyFill="1" applyBorder="1" applyAlignment="1">
      <alignment horizontal="center" vertical="center"/>
    </xf>
    <xf numFmtId="0" fontId="30" fillId="6" borderId="0" xfId="1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2" fillId="6" borderId="15" xfId="1" applyFill="1" applyBorder="1" applyAlignment="1">
      <alignment horizontal="center" vertical="center" wrapText="1"/>
    </xf>
    <xf numFmtId="0" fontId="2" fillId="6" borderId="21" xfId="1" applyFill="1" applyBorder="1" applyAlignment="1">
      <alignment horizontal="center" vertical="center" wrapText="1"/>
    </xf>
    <xf numFmtId="0" fontId="30" fillId="6" borderId="20" xfId="1" applyFont="1" applyFill="1" applyBorder="1" applyAlignment="1">
      <alignment horizontal="center" vertical="center"/>
    </xf>
    <xf numFmtId="0" fontId="30" fillId="6" borderId="39" xfId="1" applyFont="1" applyFill="1" applyBorder="1" applyAlignment="1">
      <alignment horizontal="center" vertical="center"/>
    </xf>
    <xf numFmtId="0" fontId="30" fillId="6" borderId="20" xfId="0" applyFont="1" applyFill="1" applyBorder="1" applyAlignment="1">
      <alignment horizontal="center" vertical="center" wrapText="1"/>
    </xf>
    <xf numFmtId="0" fontId="30" fillId="6" borderId="39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34" xfId="0" applyFill="1" applyBorder="1" applyAlignment="1">
      <alignment horizontal="left" vertical="center"/>
    </xf>
    <xf numFmtId="0" fontId="0" fillId="7" borderId="26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 wrapText="1"/>
    </xf>
    <xf numFmtId="0" fontId="30" fillId="6" borderId="34" xfId="0" applyFont="1" applyFill="1" applyBorder="1" applyAlignment="1">
      <alignment horizontal="center" vertical="center" wrapText="1"/>
    </xf>
    <xf numFmtId="0" fontId="0" fillId="42" borderId="20" xfId="0" applyFill="1" applyBorder="1" applyAlignment="1">
      <alignment vertical="center"/>
    </xf>
    <xf numFmtId="0" fontId="0" fillId="42" borderId="15" xfId="0" applyFill="1" applyBorder="1" applyAlignment="1">
      <alignment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30" fillId="42" borderId="19" xfId="0" applyFont="1" applyFill="1" applyBorder="1" applyAlignment="1">
      <alignment horizontal="center" vertical="center" wrapText="1"/>
    </xf>
    <xf numFmtId="0" fontId="0" fillId="42" borderId="18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44" borderId="15" xfId="0" applyFill="1" applyBorder="1" applyAlignment="1">
      <alignment horizontal="left" vertical="center"/>
    </xf>
    <xf numFmtId="0" fontId="0" fillId="5" borderId="12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43" borderId="25" xfId="0" applyFill="1" applyBorder="1" applyAlignment="1">
      <alignment horizontal="center" wrapText="1"/>
    </xf>
    <xf numFmtId="0" fontId="0" fillId="43" borderId="12" xfId="0" applyFill="1" applyBorder="1" applyAlignment="1">
      <alignment horizontal="center" wrapText="1"/>
    </xf>
    <xf numFmtId="0" fontId="0" fillId="5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4" fillId="7" borderId="33" xfId="0" applyFont="1" applyFill="1" applyBorder="1" applyAlignment="1">
      <alignment vertical="center"/>
    </xf>
    <xf numFmtId="0" fontId="4" fillId="7" borderId="17" xfId="0" applyFont="1" applyFill="1" applyBorder="1" applyAlignment="1">
      <alignment vertical="center"/>
    </xf>
    <xf numFmtId="0" fontId="2" fillId="5" borderId="39" xfId="1" applyFill="1" applyBorder="1" applyAlignment="1">
      <alignment horizontal="left" vertical="center"/>
    </xf>
    <xf numFmtId="0" fontId="0" fillId="5" borderId="35" xfId="0" applyFill="1" applyBorder="1" applyAlignment="1">
      <alignment horizontal="left" vertical="center" wrapText="1"/>
    </xf>
    <xf numFmtId="0" fontId="0" fillId="5" borderId="35" xfId="0" applyFill="1" applyBorder="1" applyAlignment="1">
      <alignment horizontal="center" vertical="center"/>
    </xf>
    <xf numFmtId="0" fontId="0" fillId="42" borderId="1" xfId="0" applyFill="1" applyBorder="1" applyAlignment="1">
      <alignment vertical="center" wrapText="1"/>
    </xf>
    <xf numFmtId="0" fontId="30" fillId="6" borderId="34" xfId="0" applyFont="1" applyFill="1" applyBorder="1" applyAlignment="1">
      <alignment vertical="center" wrapText="1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2" fillId="5" borderId="33" xfId="1" applyFill="1" applyBorder="1" applyAlignment="1">
      <alignment horizontal="center" vertical="center" wrapText="1"/>
    </xf>
    <xf numFmtId="0" fontId="30" fillId="5" borderId="33" xfId="1" applyFont="1" applyFill="1" applyBorder="1" applyAlignment="1">
      <alignment horizontal="center" vertical="center" wrapText="1"/>
    </xf>
    <xf numFmtId="0" fontId="3" fillId="42" borderId="80" xfId="1" applyFont="1" applyFill="1" applyBorder="1" applyAlignment="1">
      <alignment horizontal="center" vertical="center"/>
    </xf>
    <xf numFmtId="0" fontId="0" fillId="42" borderId="81" xfId="0" applyFill="1" applyBorder="1" applyAlignment="1">
      <alignment vertical="center" wrapText="1"/>
    </xf>
    <xf numFmtId="0" fontId="0" fillId="42" borderId="82" xfId="0" applyFill="1" applyBorder="1" applyAlignment="1">
      <alignment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vertical="center"/>
    </xf>
    <xf numFmtId="0" fontId="4" fillId="7" borderId="41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6" borderId="35" xfId="1" applyFill="1" applyBorder="1" applyAlignment="1">
      <alignment horizontal="left" vertical="center" wrapText="1"/>
    </xf>
    <xf numFmtId="0" fontId="2" fillId="6" borderId="18" xfId="1" applyFill="1" applyBorder="1" applyAlignment="1">
      <alignment horizontal="left" vertical="center" wrapText="1"/>
    </xf>
    <xf numFmtId="0" fontId="2" fillId="6" borderId="18" xfId="1" applyFill="1" applyBorder="1" applyAlignment="1">
      <alignment vertical="center" wrapText="1"/>
    </xf>
    <xf numFmtId="0" fontId="2" fillId="6" borderId="37" xfId="1" applyFill="1" applyBorder="1" applyAlignment="1">
      <alignment horizontal="left" vertical="center" wrapText="1"/>
    </xf>
    <xf numFmtId="0" fontId="2" fillId="6" borderId="37" xfId="1" applyFill="1" applyBorder="1" applyAlignment="1">
      <alignment vertical="center" wrapText="1"/>
    </xf>
    <xf numFmtId="0" fontId="2" fillId="5" borderId="17" xfId="1" applyFill="1" applyBorder="1" applyAlignment="1">
      <alignment horizontal="left" vertical="center" wrapText="1"/>
    </xf>
    <xf numFmtId="0" fontId="0" fillId="42" borderId="14" xfId="0" applyFill="1" applyBorder="1" applyAlignment="1">
      <alignment vertical="center" wrapText="1"/>
    </xf>
    <xf numFmtId="0" fontId="0" fillId="42" borderId="0" xfId="0" applyFill="1" applyAlignment="1">
      <alignment vertical="center" wrapText="1"/>
    </xf>
    <xf numFmtId="0" fontId="0" fillId="42" borderId="37" xfId="0" applyFill="1" applyBorder="1" applyAlignment="1">
      <alignment horizontal="left" vertical="center" wrapText="1"/>
    </xf>
    <xf numFmtId="0" fontId="0" fillId="42" borderId="37" xfId="0" applyFill="1" applyBorder="1" applyAlignment="1">
      <alignment vertical="center" wrapText="1"/>
    </xf>
    <xf numFmtId="0" fontId="2" fillId="10" borderId="18" xfId="1" applyFill="1" applyBorder="1" applyAlignment="1">
      <alignment horizontal="left" vertical="center" wrapText="1"/>
    </xf>
    <xf numFmtId="0" fontId="2" fillId="10" borderId="37" xfId="1" applyFill="1" applyBorder="1" applyAlignment="1">
      <alignment horizontal="left" vertical="center" wrapText="1"/>
    </xf>
    <xf numFmtId="0" fontId="2" fillId="3" borderId="18" xfId="1" applyFill="1" applyBorder="1" applyAlignment="1">
      <alignment horizontal="left" vertical="center" wrapText="1"/>
    </xf>
    <xf numFmtId="0" fontId="2" fillId="7" borderId="18" xfId="1" applyFill="1" applyBorder="1" applyAlignment="1">
      <alignment horizontal="left" vertical="center" wrapText="1"/>
    </xf>
    <xf numFmtId="0" fontId="0" fillId="44" borderId="26" xfId="0" applyFill="1" applyBorder="1" applyAlignment="1">
      <alignment horizontal="center" vertical="center" wrapText="1"/>
    </xf>
    <xf numFmtId="0" fontId="0" fillId="44" borderId="25" xfId="0" applyFill="1" applyBorder="1" applyAlignment="1">
      <alignment horizontal="center" vertical="center" wrapText="1"/>
    </xf>
    <xf numFmtId="0" fontId="0" fillId="44" borderId="20" xfId="0" applyFill="1" applyBorder="1" applyAlignment="1">
      <alignment horizontal="center" vertical="center" wrapText="1"/>
    </xf>
    <xf numFmtId="0" fontId="2" fillId="6" borderId="34" xfId="1" applyFill="1" applyBorder="1" applyAlignment="1">
      <alignment vertical="center" wrapText="1"/>
    </xf>
    <xf numFmtId="0" fontId="2" fillId="6" borderId="0" xfId="1" applyFill="1" applyBorder="1" applyAlignment="1">
      <alignment vertical="center" wrapText="1"/>
    </xf>
    <xf numFmtId="0" fontId="0" fillId="43" borderId="20" xfId="0" applyFill="1" applyBorder="1" applyAlignment="1">
      <alignment horizontal="center" wrapText="1"/>
    </xf>
    <xf numFmtId="0" fontId="3" fillId="3" borderId="54" xfId="1" applyFont="1" applyFill="1" applyBorder="1" applyAlignment="1">
      <alignment horizontal="center" vertical="center"/>
    </xf>
    <xf numFmtId="0" fontId="0" fillId="43" borderId="26" xfId="0" applyFill="1" applyBorder="1" applyAlignment="1">
      <alignment horizontal="center" wrapText="1"/>
    </xf>
    <xf numFmtId="0" fontId="0" fillId="42" borderId="21" xfId="0" applyFill="1" applyBorder="1" applyAlignment="1">
      <alignment horizontal="center" vertical="center" wrapText="1"/>
    </xf>
    <xf numFmtId="0" fontId="0" fillId="42" borderId="17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/>
    </xf>
    <xf numFmtId="0" fontId="0" fillId="7" borderId="37" xfId="0" applyFill="1" applyBorder="1" applyAlignment="1">
      <alignment horizontal="left" vertical="center" wrapText="1"/>
    </xf>
    <xf numFmtId="0" fontId="0" fillId="47" borderId="15" xfId="0" applyFill="1" applyBorder="1" applyAlignment="1">
      <alignment horizontal="center" vertical="center" wrapText="1"/>
    </xf>
    <xf numFmtId="0" fontId="0" fillId="44" borderId="18" xfId="0" applyFill="1" applyBorder="1" applyAlignment="1">
      <alignment vertical="center" wrapText="1"/>
    </xf>
    <xf numFmtId="0" fontId="0" fillId="44" borderId="14" xfId="0" applyFill="1" applyBorder="1" applyAlignment="1">
      <alignment vertical="center"/>
    </xf>
    <xf numFmtId="0" fontId="0" fillId="44" borderId="37" xfId="0" applyFill="1" applyBorder="1" applyAlignment="1">
      <alignment vertical="center" wrapText="1"/>
    </xf>
    <xf numFmtId="0" fontId="3" fillId="42" borderId="13" xfId="1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10" borderId="39" xfId="0" applyFill="1" applyBorder="1" applyAlignment="1">
      <alignment horizontal="center" vertical="center" wrapText="1"/>
    </xf>
    <xf numFmtId="0" fontId="2" fillId="10" borderId="14" xfId="1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/>
    </xf>
    <xf numFmtId="0" fontId="0" fillId="42" borderId="26" xfId="0" applyFill="1" applyBorder="1" applyAlignment="1">
      <alignment horizontal="center" vertical="center" wrapText="1"/>
    </xf>
    <xf numFmtId="0" fontId="2" fillId="3" borderId="15" xfId="1" applyFill="1" applyBorder="1" applyAlignment="1">
      <alignment horizontal="center" vertical="center" wrapText="1"/>
    </xf>
    <xf numFmtId="0" fontId="0" fillId="10" borderId="3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43" borderId="3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" fillId="6" borderId="0" xfId="1" applyFill="1" applyAlignment="1">
      <alignment vertical="center"/>
    </xf>
    <xf numFmtId="0" fontId="0" fillId="42" borderId="14" xfId="0" applyFill="1" applyBorder="1" applyAlignment="1">
      <alignment horizontal="center" vertical="center" wrapText="1"/>
    </xf>
    <xf numFmtId="0" fontId="0" fillId="43" borderId="18" xfId="0" applyFill="1" applyBorder="1" applyAlignment="1">
      <alignment horizontal="center" vertical="center"/>
    </xf>
    <xf numFmtId="0" fontId="0" fillId="43" borderId="15" xfId="0" applyFill="1" applyBorder="1" applyAlignment="1">
      <alignment horizontal="center" vertical="center" wrapText="1"/>
    </xf>
    <xf numFmtId="0" fontId="0" fillId="43" borderId="2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42" borderId="35" xfId="0" applyFill="1" applyBorder="1" applyAlignment="1">
      <alignment horizontal="center" vertical="center" wrapText="1"/>
    </xf>
    <xf numFmtId="0" fontId="0" fillId="42" borderId="39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/>
    </xf>
    <xf numFmtId="0" fontId="0" fillId="43" borderId="25" xfId="0" applyFill="1" applyBorder="1" applyAlignment="1">
      <alignment horizontal="center" vertical="center" wrapText="1"/>
    </xf>
    <xf numFmtId="0" fontId="4" fillId="7" borderId="35" xfId="0" applyFont="1" applyFill="1" applyBorder="1" applyAlignment="1">
      <alignment vertical="center" wrapText="1"/>
    </xf>
    <xf numFmtId="0" fontId="5" fillId="5" borderId="61" xfId="0" applyFont="1" applyFill="1" applyBorder="1" applyAlignment="1">
      <alignment vertical="center"/>
    </xf>
    <xf numFmtId="0" fontId="5" fillId="5" borderId="85" xfId="0" applyFont="1" applyFill="1" applyBorder="1" applyAlignment="1">
      <alignment vertical="center"/>
    </xf>
    <xf numFmtId="0" fontId="4" fillId="7" borderId="87" xfId="0" applyFont="1" applyFill="1" applyBorder="1" applyAlignment="1">
      <alignment vertical="center"/>
    </xf>
    <xf numFmtId="0" fontId="4" fillId="6" borderId="36" xfId="0" applyFont="1" applyFill="1" applyBorder="1" applyAlignment="1">
      <alignment horizontal="center" vertical="center"/>
    </xf>
    <xf numFmtId="0" fontId="0" fillId="43" borderId="33" xfId="0" applyFill="1" applyBorder="1" applyAlignment="1">
      <alignment horizontal="center" vertical="center"/>
    </xf>
    <xf numFmtId="0" fontId="0" fillId="43" borderId="35" xfId="0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4" fillId="6" borderId="89" xfId="0" applyFont="1" applyFill="1" applyBorder="1" applyAlignment="1">
      <alignment horizontal="center" vertical="center"/>
    </xf>
    <xf numFmtId="0" fontId="0" fillId="5" borderId="90" xfId="0" applyFill="1" applyBorder="1" applyAlignment="1">
      <alignment horizontal="center" vertical="center"/>
    </xf>
    <xf numFmtId="0" fontId="0" fillId="10" borderId="90" xfId="0" applyFill="1" applyBorder="1" applyAlignment="1">
      <alignment horizontal="center" vertical="center"/>
    </xf>
    <xf numFmtId="0" fontId="0" fillId="3" borderId="91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2" fillId="5" borderId="18" xfId="1" applyFill="1" applyBorder="1" applyAlignment="1">
      <alignment horizontal="center" vertical="center"/>
    </xf>
    <xf numFmtId="0" fontId="2" fillId="3" borderId="21" xfId="1" applyFill="1" applyBorder="1" applyAlignment="1">
      <alignment horizontal="center" vertical="center"/>
    </xf>
    <xf numFmtId="0" fontId="13" fillId="25" borderId="25" xfId="0" applyFont="1" applyFill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22" fillId="40" borderId="12" xfId="0" applyFon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0" fontId="21" fillId="40" borderId="12" xfId="0" applyFont="1" applyFill="1" applyBorder="1" applyAlignment="1">
      <alignment horizontal="center"/>
    </xf>
    <xf numFmtId="0" fontId="2" fillId="6" borderId="34" xfId="1" applyFill="1" applyBorder="1" applyAlignment="1">
      <alignment horizontal="center" vertical="center"/>
    </xf>
    <xf numFmtId="0" fontId="2" fillId="6" borderId="15" xfId="1" applyFill="1" applyBorder="1" applyAlignment="1">
      <alignment horizontal="center" vertical="center"/>
    </xf>
    <xf numFmtId="0" fontId="2" fillId="6" borderId="21" xfId="1" applyFill="1" applyBorder="1" applyAlignment="1">
      <alignment horizontal="center" vertical="center"/>
    </xf>
    <xf numFmtId="0" fontId="2" fillId="6" borderId="39" xfId="1" applyFill="1" applyBorder="1" applyAlignment="1">
      <alignment horizontal="center" vertical="center"/>
    </xf>
    <xf numFmtId="0" fontId="3" fillId="6" borderId="80" xfId="1" applyFont="1" applyFill="1" applyBorder="1" applyAlignment="1">
      <alignment horizontal="center" vertical="center"/>
    </xf>
    <xf numFmtId="0" fontId="4" fillId="6" borderId="81" xfId="0" applyFont="1" applyFill="1" applyBorder="1" applyAlignment="1">
      <alignment horizontal="center" vertical="center"/>
    </xf>
    <xf numFmtId="0" fontId="4" fillId="6" borderId="8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 wrapText="1"/>
    </xf>
    <xf numFmtId="0" fontId="2" fillId="10" borderId="35" xfId="1" applyFill="1" applyBorder="1" applyAlignment="1">
      <alignment horizontal="center" vertical="center"/>
    </xf>
    <xf numFmtId="0" fontId="2" fillId="10" borderId="15" xfId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0" fillId="10" borderId="33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3" fillId="46" borderId="54" xfId="1" applyFont="1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3" borderId="16" xfId="0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0" fillId="10" borderId="41" xfId="0" applyFill="1" applyBorder="1" applyAlignment="1">
      <alignment horizontal="center" vertical="center"/>
    </xf>
    <xf numFmtId="0" fontId="0" fillId="46" borderId="36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30" fillId="7" borderId="33" xfId="1" applyFont="1" applyFill="1" applyBorder="1" applyAlignment="1">
      <alignment horizontal="center" vertical="center" wrapText="1"/>
    </xf>
    <xf numFmtId="0" fontId="2" fillId="7" borderId="33" xfId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2" fillId="3" borderId="21" xfId="1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 vertical="center" wrapText="1"/>
    </xf>
    <xf numFmtId="0" fontId="26" fillId="48" borderId="6" xfId="0" applyFont="1" applyFill="1" applyBorder="1" applyAlignment="1">
      <alignment wrapText="1"/>
    </xf>
    <xf numFmtId="0" fontId="1" fillId="2" borderId="25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6" borderId="14" xfId="1" applyFill="1" applyBorder="1" applyAlignment="1">
      <alignment vertical="center" wrapText="1"/>
    </xf>
    <xf numFmtId="0" fontId="2" fillId="5" borderId="35" xfId="1" applyFill="1" applyBorder="1" applyAlignment="1">
      <alignment vertical="center" wrapText="1"/>
    </xf>
    <xf numFmtId="0" fontId="2" fillId="10" borderId="35" xfId="1" applyFill="1" applyBorder="1" applyAlignment="1">
      <alignment vertical="center" wrapText="1"/>
    </xf>
    <xf numFmtId="0" fontId="2" fillId="10" borderId="14" xfId="1" applyFill="1" applyBorder="1" applyAlignment="1">
      <alignment vertical="center" wrapText="1"/>
    </xf>
    <xf numFmtId="0" fontId="2" fillId="10" borderId="15" xfId="1" applyFill="1" applyBorder="1" applyAlignment="1">
      <alignment vertical="center" wrapText="1"/>
    </xf>
    <xf numFmtId="0" fontId="2" fillId="3" borderId="14" xfId="1" applyFill="1" applyBorder="1" applyAlignment="1">
      <alignment vertical="center" wrapText="1"/>
    </xf>
    <xf numFmtId="0" fontId="2" fillId="3" borderId="15" xfId="1" applyFill="1" applyBorder="1" applyAlignment="1">
      <alignment vertical="center" wrapText="1"/>
    </xf>
    <xf numFmtId="0" fontId="2" fillId="7" borderId="35" xfId="1" applyFill="1" applyBorder="1" applyAlignment="1">
      <alignment vertical="center" wrapText="1"/>
    </xf>
    <xf numFmtId="0" fontId="2" fillId="7" borderId="14" xfId="1" applyFill="1" applyBorder="1" applyAlignment="1">
      <alignment vertical="center" wrapText="1"/>
    </xf>
    <xf numFmtId="0" fontId="2" fillId="7" borderId="15" xfId="1" applyFill="1" applyBorder="1" applyAlignment="1">
      <alignment vertical="center" wrapText="1"/>
    </xf>
    <xf numFmtId="0" fontId="2" fillId="47" borderId="14" xfId="1" applyFill="1" applyBorder="1" applyAlignment="1">
      <alignment vertical="center" wrapText="1"/>
    </xf>
    <xf numFmtId="0" fontId="2" fillId="44" borderId="14" xfId="1" applyFill="1" applyBorder="1" applyAlignment="1">
      <alignment vertical="center" wrapText="1"/>
    </xf>
    <xf numFmtId="0" fontId="2" fillId="44" borderId="15" xfId="1" applyFill="1" applyBorder="1" applyAlignment="1">
      <alignment vertical="center" wrapText="1"/>
    </xf>
    <xf numFmtId="0" fontId="0" fillId="6" borderId="26" xfId="0" applyFill="1" applyBorder="1" applyAlignment="1">
      <alignment horizontal="center" vertical="center"/>
    </xf>
    <xf numFmtId="0" fontId="0" fillId="6" borderId="39" xfId="0" applyFill="1" applyBorder="1" applyAlignment="1">
      <alignment horizontal="left" vertical="center"/>
    </xf>
    <xf numFmtId="0" fontId="2" fillId="2" borderId="35" xfId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left" vertical="center"/>
    </xf>
    <xf numFmtId="0" fontId="0" fillId="2" borderId="3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2" fillId="2" borderId="15" xfId="1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2" fillId="49" borderId="35" xfId="1" applyFill="1" applyBorder="1" applyAlignment="1">
      <alignment horizontal="center" vertical="center" wrapText="1"/>
    </xf>
    <xf numFmtId="0" fontId="0" fillId="49" borderId="34" xfId="0" applyFill="1" applyBorder="1" applyAlignment="1">
      <alignment horizontal="center" vertical="center" wrapText="1"/>
    </xf>
    <xf numFmtId="0" fontId="0" fillId="49" borderId="35" xfId="0" applyFill="1" applyBorder="1" applyAlignment="1">
      <alignment horizontal="center" vertical="center" wrapText="1"/>
    </xf>
    <xf numFmtId="0" fontId="0" fillId="49" borderId="18" xfId="0" applyFill="1" applyBorder="1" applyAlignment="1">
      <alignment horizontal="center" vertical="center"/>
    </xf>
    <xf numFmtId="0" fontId="0" fillId="49" borderId="34" xfId="0" applyFill="1" applyBorder="1" applyAlignment="1">
      <alignment horizontal="left" vertical="center"/>
    </xf>
    <xf numFmtId="0" fontId="0" fillId="49" borderId="34" xfId="0" applyFill="1" applyBorder="1" applyAlignment="1">
      <alignment horizontal="center" vertical="center"/>
    </xf>
    <xf numFmtId="0" fontId="0" fillId="49" borderId="26" xfId="0" applyFill="1" applyBorder="1" applyAlignment="1">
      <alignment horizontal="center" vertical="center"/>
    </xf>
    <xf numFmtId="0" fontId="2" fillId="49" borderId="15" xfId="1" applyFill="1" applyBorder="1" applyAlignment="1">
      <alignment horizontal="center" vertical="center" wrapText="1"/>
    </xf>
    <xf numFmtId="0" fontId="0" fillId="49" borderId="39" xfId="0" applyFill="1" applyBorder="1" applyAlignment="1">
      <alignment horizontal="center" vertical="center" wrapText="1"/>
    </xf>
    <xf numFmtId="0" fontId="0" fillId="49" borderId="15" xfId="0" applyFill="1" applyBorder="1" applyAlignment="1">
      <alignment horizontal="center" vertical="center" wrapText="1"/>
    </xf>
    <xf numFmtId="0" fontId="0" fillId="49" borderId="2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2" fillId="5" borderId="14" xfId="1" applyFill="1" applyBorder="1" applyAlignment="1">
      <alignment horizontal="left" vertical="center" wrapText="1"/>
    </xf>
    <xf numFmtId="0" fontId="2" fillId="5" borderId="0" xfId="1" applyFill="1" applyBorder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43" borderId="0" xfId="0" applyFill="1" applyAlignment="1">
      <alignment horizontal="center" vertical="center" wrapText="1"/>
    </xf>
    <xf numFmtId="0" fontId="2" fillId="2" borderId="18" xfId="1" applyFill="1" applyBorder="1" applyAlignment="1">
      <alignment horizontal="center" vertical="center" wrapText="1"/>
    </xf>
    <xf numFmtId="0" fontId="0" fillId="43" borderId="20" xfId="0" applyFill="1" applyBorder="1" applyAlignment="1">
      <alignment horizontal="center" vertical="center" wrapText="1"/>
    </xf>
    <xf numFmtId="0" fontId="0" fillId="43" borderId="20" xfId="0" applyFill="1" applyBorder="1" applyAlignment="1">
      <alignment horizontal="center" vertical="center"/>
    </xf>
    <xf numFmtId="0" fontId="0" fillId="43" borderId="12" xfId="0" applyFill="1" applyBorder="1" applyAlignment="1">
      <alignment horizontal="center" vertical="center" wrapText="1"/>
    </xf>
    <xf numFmtId="0" fontId="0" fillId="49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3" borderId="37" xfId="1" applyFill="1" applyBorder="1" applyAlignment="1">
      <alignment horizontal="center" vertical="center"/>
    </xf>
    <xf numFmtId="0" fontId="0" fillId="2" borderId="35" xfId="0" applyFill="1" applyBorder="1" applyAlignment="1">
      <alignment horizontal="left" vertical="center"/>
    </xf>
    <xf numFmtId="0" fontId="0" fillId="2" borderId="25" xfId="1" applyFont="1" applyFill="1" applyBorder="1" applyAlignment="1">
      <alignment horizontal="left" vertical="center"/>
    </xf>
    <xf numFmtId="0" fontId="2" fillId="10" borderId="35" xfId="1" applyFill="1" applyBorder="1" applyAlignment="1">
      <alignment horizontal="center" vertical="center" wrapText="1"/>
    </xf>
    <xf numFmtId="0" fontId="2" fillId="10" borderId="18" xfId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5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2" fillId="5" borderId="17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6" fillId="0" borderId="26" xfId="0" applyFont="1" applyBorder="1"/>
    <xf numFmtId="0" fontId="2" fillId="50" borderId="25" xfId="1" applyFill="1" applyBorder="1" applyAlignment="1">
      <alignment horizontal="left" vertical="center" wrapText="1"/>
    </xf>
    <xf numFmtId="0" fontId="2" fillId="50" borderId="34" xfId="1" applyFill="1" applyBorder="1" applyAlignment="1">
      <alignment horizontal="left" vertical="center"/>
    </xf>
    <xf numFmtId="0" fontId="0" fillId="50" borderId="34" xfId="0" applyFill="1" applyBorder="1" applyAlignment="1">
      <alignment horizontal="left" vertical="center" wrapText="1"/>
    </xf>
    <xf numFmtId="0" fontId="0" fillId="50" borderId="25" xfId="0" applyFill="1" applyBorder="1" applyAlignment="1">
      <alignment horizontal="center" vertical="center" wrapText="1"/>
    </xf>
    <xf numFmtId="0" fontId="0" fillId="50" borderId="34" xfId="0" applyFill="1" applyBorder="1" applyAlignment="1">
      <alignment horizontal="center" vertical="center"/>
    </xf>
    <xf numFmtId="0" fontId="0" fillId="50" borderId="35" xfId="0" applyFill="1" applyBorder="1" applyAlignment="1">
      <alignment horizontal="left" vertical="center" wrapText="1"/>
    </xf>
    <xf numFmtId="0" fontId="0" fillId="50" borderId="35" xfId="0" applyFill="1" applyBorder="1" applyAlignment="1">
      <alignment vertical="center" wrapText="1"/>
    </xf>
    <xf numFmtId="0" fontId="0" fillId="50" borderId="34" xfId="0" applyFill="1" applyBorder="1" applyAlignment="1">
      <alignment vertical="center" wrapText="1"/>
    </xf>
    <xf numFmtId="0" fontId="0" fillId="50" borderId="25" xfId="0" applyFill="1" applyBorder="1" applyAlignment="1">
      <alignment horizontal="center" vertical="center"/>
    </xf>
    <xf numFmtId="0" fontId="2" fillId="50" borderId="26" xfId="1" applyFill="1" applyBorder="1" applyAlignment="1">
      <alignment horizontal="left" vertical="center" wrapText="1"/>
    </xf>
    <xf numFmtId="0" fontId="2" fillId="50" borderId="0" xfId="1" applyFill="1" applyBorder="1" applyAlignment="1">
      <alignment horizontal="left" vertical="center"/>
    </xf>
    <xf numFmtId="0" fontId="0" fillId="50" borderId="0" xfId="0" applyFill="1" applyAlignment="1">
      <alignment horizontal="left" vertical="center" wrapText="1"/>
    </xf>
    <xf numFmtId="0" fontId="0" fillId="50" borderId="14" xfId="0" applyFill="1" applyBorder="1" applyAlignment="1">
      <alignment horizontal="center" vertical="center" wrapText="1"/>
    </xf>
    <xf numFmtId="0" fontId="0" fillId="50" borderId="26" xfId="0" applyFill="1" applyBorder="1" applyAlignment="1">
      <alignment horizontal="center" vertical="center" wrapText="1"/>
    </xf>
    <xf numFmtId="0" fontId="0" fillId="50" borderId="0" xfId="0" applyFill="1" applyAlignment="1">
      <alignment horizontal="center" vertical="center"/>
    </xf>
    <xf numFmtId="0" fontId="0" fillId="50" borderId="14" xfId="0" applyFill="1" applyBorder="1" applyAlignment="1">
      <alignment horizontal="left" vertical="center"/>
    </xf>
    <xf numFmtId="0" fontId="0" fillId="50" borderId="26" xfId="0" applyFill="1" applyBorder="1" applyAlignment="1">
      <alignment horizontal="center" vertical="center"/>
    </xf>
    <xf numFmtId="0" fontId="2" fillId="50" borderId="20" xfId="1" applyFill="1" applyBorder="1" applyAlignment="1">
      <alignment horizontal="left" vertical="center" wrapText="1"/>
    </xf>
    <xf numFmtId="0" fontId="2" fillId="50" borderId="39" xfId="1" applyFill="1" applyBorder="1" applyAlignment="1">
      <alignment horizontal="left" vertical="center"/>
    </xf>
    <xf numFmtId="0" fontId="0" fillId="50" borderId="39" xfId="0" applyFill="1" applyBorder="1" applyAlignment="1">
      <alignment horizontal="left" vertical="center" wrapText="1"/>
    </xf>
    <xf numFmtId="0" fontId="0" fillId="50" borderId="15" xfId="0" applyFill="1" applyBorder="1" applyAlignment="1">
      <alignment horizontal="center" vertical="center" wrapText="1"/>
    </xf>
    <xf numFmtId="0" fontId="0" fillId="50" borderId="20" xfId="0" applyFill="1" applyBorder="1" applyAlignment="1">
      <alignment horizontal="center" vertical="center" wrapText="1"/>
    </xf>
    <xf numFmtId="0" fontId="0" fillId="50" borderId="39" xfId="0" applyFill="1" applyBorder="1" applyAlignment="1">
      <alignment horizontal="left" vertical="center"/>
    </xf>
    <xf numFmtId="0" fontId="2" fillId="50" borderId="21" xfId="1" applyFill="1" applyBorder="1" applyAlignment="1">
      <alignment horizontal="left" vertical="center"/>
    </xf>
    <xf numFmtId="0" fontId="0" fillId="50" borderId="39" xfId="0" applyFill="1" applyBorder="1" applyAlignment="1">
      <alignment horizontal="center" vertical="center"/>
    </xf>
    <xf numFmtId="0" fontId="0" fillId="50" borderId="15" xfId="0" applyFill="1" applyBorder="1" applyAlignment="1">
      <alignment horizontal="left" vertical="center" wrapText="1"/>
    </xf>
    <xf numFmtId="0" fontId="0" fillId="50" borderId="15" xfId="0" applyFill="1" applyBorder="1" applyAlignment="1">
      <alignment vertical="center" wrapText="1"/>
    </xf>
    <xf numFmtId="0" fontId="0" fillId="50" borderId="39" xfId="0" applyFill="1" applyBorder="1" applyAlignment="1">
      <alignment vertical="center" wrapText="1"/>
    </xf>
    <xf numFmtId="0" fontId="0" fillId="50" borderId="20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0" borderId="0" xfId="0" applyFill="1" applyAlignment="1">
      <alignment horizontal="left" vertical="center"/>
    </xf>
    <xf numFmtId="0" fontId="2" fillId="50" borderId="37" xfId="1" applyFill="1" applyBorder="1" applyAlignment="1">
      <alignment horizontal="left" vertical="center"/>
    </xf>
    <xf numFmtId="0" fontId="0" fillId="50" borderId="39" xfId="0" applyFill="1" applyBorder="1" applyAlignment="1">
      <alignment horizontal="center" vertical="center" wrapText="1"/>
    </xf>
    <xf numFmtId="0" fontId="0" fillId="50" borderId="34" xfId="0" applyFill="1" applyBorder="1" applyAlignment="1">
      <alignment horizontal="center" vertical="center" wrapText="1"/>
    </xf>
    <xf numFmtId="0" fontId="0" fillId="42" borderId="34" xfId="0" applyFill="1" applyBorder="1" applyAlignment="1">
      <alignment horizontal="center" vertical="center" wrapText="1"/>
    </xf>
    <xf numFmtId="0" fontId="0" fillId="42" borderId="33" xfId="0" applyFill="1" applyBorder="1" applyAlignment="1">
      <alignment horizontal="center" vertical="center" wrapText="1"/>
    </xf>
    <xf numFmtId="0" fontId="0" fillId="43" borderId="37" xfId="0" applyFill="1" applyBorder="1" applyAlignment="1">
      <alignment horizontal="center" vertical="center"/>
    </xf>
    <xf numFmtId="0" fontId="3" fillId="50" borderId="3" xfId="1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vertical="center" wrapText="1"/>
    </xf>
    <xf numFmtId="0" fontId="2" fillId="50" borderId="26" xfId="1" applyFill="1" applyBorder="1" applyAlignment="1">
      <alignment horizontal="center" vertical="center" wrapText="1"/>
    </xf>
    <xf numFmtId="0" fontId="30" fillId="50" borderId="14" xfId="0" applyFont="1" applyFill="1" applyBorder="1" applyAlignment="1">
      <alignment horizontal="center" vertical="center" wrapText="1"/>
    </xf>
    <xf numFmtId="0" fontId="30" fillId="50" borderId="14" xfId="1" applyFont="1" applyFill="1" applyBorder="1" applyAlignment="1">
      <alignment horizontal="center" vertical="center"/>
    </xf>
    <xf numFmtId="0" fontId="30" fillId="50" borderId="35" xfId="0" applyFont="1" applyFill="1" applyBorder="1" applyAlignment="1">
      <alignment horizontal="center" vertical="center" wrapText="1"/>
    </xf>
    <xf numFmtId="0" fontId="30" fillId="50" borderId="26" xfId="0" applyFont="1" applyFill="1" applyBorder="1" applyAlignment="1">
      <alignment horizontal="center" vertical="center" wrapText="1"/>
    </xf>
    <xf numFmtId="0" fontId="2" fillId="27" borderId="35" xfId="1" applyFill="1" applyBorder="1" applyAlignment="1">
      <alignment horizontal="center" vertical="center" wrapText="1"/>
    </xf>
    <xf numFmtId="0" fontId="3" fillId="27" borderId="3" xfId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2" fillId="51" borderId="35" xfId="1" applyFill="1" applyBorder="1" applyAlignment="1">
      <alignment horizontal="center" vertical="center" wrapText="1"/>
    </xf>
    <xf numFmtId="0" fontId="3" fillId="51" borderId="3" xfId="1" applyFont="1" applyFill="1" applyBorder="1" applyAlignment="1">
      <alignment horizontal="center" vertical="center"/>
    </xf>
    <xf numFmtId="0" fontId="0" fillId="51" borderId="1" xfId="0" applyFill="1" applyBorder="1" applyAlignment="1">
      <alignment horizontal="center" vertical="center" wrapText="1"/>
    </xf>
    <xf numFmtId="0" fontId="0" fillId="51" borderId="16" xfId="0" applyFill="1" applyBorder="1" applyAlignment="1">
      <alignment horizontal="center" vertical="center" wrapText="1"/>
    </xf>
    <xf numFmtId="0" fontId="0" fillId="49" borderId="26" xfId="1" applyFont="1" applyFill="1" applyBorder="1" applyAlignment="1">
      <alignment horizontal="left" vertical="center"/>
    </xf>
    <xf numFmtId="0" fontId="2" fillId="49" borderId="37" xfId="1" applyFill="1" applyBorder="1" applyAlignment="1">
      <alignment horizontal="center" vertical="center" wrapText="1"/>
    </xf>
    <xf numFmtId="0" fontId="0" fillId="49" borderId="33" xfId="0" applyFill="1" applyBorder="1" applyAlignment="1">
      <alignment horizontal="center" vertical="center" wrapText="1"/>
    </xf>
    <xf numFmtId="0" fontId="0" fillId="49" borderId="33" xfId="0" applyFill="1" applyBorder="1" applyAlignment="1">
      <alignment horizontal="left" vertical="center"/>
    </xf>
    <xf numFmtId="0" fontId="2" fillId="49" borderId="17" xfId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3" xfId="1" applyFont="1" applyFill="1" applyBorder="1" applyAlignment="1">
      <alignment horizontal="center" vertical="center"/>
    </xf>
    <xf numFmtId="0" fontId="2" fillId="2" borderId="17" xfId="1" applyFill="1" applyBorder="1" applyAlignment="1">
      <alignment horizontal="center" vertical="center"/>
    </xf>
    <xf numFmtId="0" fontId="0" fillId="49" borderId="14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 wrapText="1"/>
    </xf>
    <xf numFmtId="0" fontId="0" fillId="51" borderId="1" xfId="0" applyFill="1" applyBorder="1" applyAlignment="1">
      <alignment horizontal="center" vertical="center"/>
    </xf>
    <xf numFmtId="0" fontId="0" fillId="42" borderId="14" xfId="0" applyFill="1" applyBorder="1" applyAlignment="1">
      <alignment horizontal="left" vertical="center"/>
    </xf>
    <xf numFmtId="0" fontId="2" fillId="42" borderId="37" xfId="1" applyFill="1" applyBorder="1" applyAlignment="1">
      <alignment horizontal="center" vertical="center"/>
    </xf>
    <xf numFmtId="0" fontId="0" fillId="42" borderId="34" xfId="0" applyFill="1" applyBorder="1" applyAlignment="1">
      <alignment horizontal="center" vertical="center"/>
    </xf>
    <xf numFmtId="0" fontId="0" fillId="42" borderId="12" xfId="0" applyFill="1" applyBorder="1" applyAlignment="1">
      <alignment horizontal="center" vertical="center"/>
    </xf>
    <xf numFmtId="0" fontId="2" fillId="42" borderId="15" xfId="1" applyFill="1" applyBorder="1" applyAlignment="1">
      <alignment horizontal="center" vertical="center" wrapText="1"/>
    </xf>
    <xf numFmtId="0" fontId="0" fillId="42" borderId="35" xfId="0" applyFill="1" applyBorder="1" applyAlignment="1">
      <alignment horizontal="left" vertical="center"/>
    </xf>
    <xf numFmtId="0" fontId="2" fillId="42" borderId="18" xfId="1" applyFill="1" applyBorder="1" applyAlignment="1">
      <alignment horizontal="center" vertical="center"/>
    </xf>
    <xf numFmtId="0" fontId="2" fillId="50" borderId="35" xfId="1" applyFill="1" applyBorder="1" applyAlignment="1">
      <alignment horizontal="center" vertical="center" wrapText="1"/>
    </xf>
    <xf numFmtId="0" fontId="0" fillId="50" borderId="25" xfId="1" applyFont="1" applyFill="1" applyBorder="1" applyAlignment="1">
      <alignment horizontal="left" vertical="center"/>
    </xf>
    <xf numFmtId="0" fontId="2" fillId="50" borderId="18" xfId="1" applyFill="1" applyBorder="1" applyAlignment="1">
      <alignment horizontal="center" vertical="center" wrapText="1"/>
    </xf>
    <xf numFmtId="0" fontId="0" fillId="50" borderId="18" xfId="0" applyFill="1" applyBorder="1" applyAlignment="1">
      <alignment horizontal="center" vertical="center"/>
    </xf>
    <xf numFmtId="0" fontId="2" fillId="50" borderId="15" xfId="1" applyFill="1" applyBorder="1" applyAlignment="1">
      <alignment horizontal="center" vertical="center" wrapText="1"/>
    </xf>
    <xf numFmtId="0" fontId="0" fillId="50" borderId="15" xfId="0" applyFill="1" applyBorder="1" applyAlignment="1">
      <alignment horizontal="left" vertical="center"/>
    </xf>
    <xf numFmtId="0" fontId="0" fillId="50" borderId="15" xfId="1" applyFont="1" applyFill="1" applyBorder="1" applyAlignment="1">
      <alignment horizontal="center" vertical="center"/>
    </xf>
    <xf numFmtId="0" fontId="2" fillId="50" borderId="21" xfId="1" applyFill="1" applyBorder="1" applyAlignment="1">
      <alignment horizontal="center" vertical="center"/>
    </xf>
    <xf numFmtId="0" fontId="0" fillId="50" borderId="21" xfId="0" applyFill="1" applyBorder="1" applyAlignment="1">
      <alignment horizontal="center" vertical="center"/>
    </xf>
    <xf numFmtId="0" fontId="0" fillId="10" borderId="26" xfId="1" applyFont="1" applyFill="1" applyBorder="1" applyAlignment="1">
      <alignment horizontal="left" vertical="center"/>
    </xf>
    <xf numFmtId="0" fontId="2" fillId="10" borderId="37" xfId="1" applyFill="1" applyBorder="1" applyAlignment="1">
      <alignment horizontal="center" vertical="center" wrapText="1"/>
    </xf>
    <xf numFmtId="0" fontId="2" fillId="10" borderId="15" xfId="1" applyFill="1" applyBorder="1" applyAlignment="1">
      <alignment horizontal="center" vertical="center" wrapText="1"/>
    </xf>
    <xf numFmtId="0" fontId="2" fillId="10" borderId="21" xfId="1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 wrapText="1"/>
    </xf>
    <xf numFmtId="0" fontId="0" fillId="6" borderId="33" xfId="0" applyFill="1" applyBorder="1" applyAlignment="1">
      <alignment horizontal="left" vertical="center" wrapText="1"/>
    </xf>
    <xf numFmtId="0" fontId="0" fillId="42" borderId="12" xfId="0" applyFill="1" applyBorder="1" applyAlignment="1">
      <alignment horizontal="left" vertical="center"/>
    </xf>
    <xf numFmtId="0" fontId="0" fillId="50" borderId="25" xfId="0" applyFill="1" applyBorder="1" applyAlignment="1">
      <alignment horizontal="left" vertical="center"/>
    </xf>
    <xf numFmtId="0" fontId="0" fillId="50" borderId="20" xfId="0" applyFill="1" applyBorder="1" applyAlignment="1">
      <alignment horizontal="left" vertical="center"/>
    </xf>
    <xf numFmtId="0" fontId="0" fillId="43" borderId="17" xfId="0" applyFill="1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12" xfId="0" applyFill="1" applyBorder="1" applyAlignment="1">
      <alignment horizontal="left" vertical="center" wrapText="1"/>
    </xf>
    <xf numFmtId="0" fontId="0" fillId="10" borderId="56" xfId="0" applyFill="1" applyBorder="1" applyAlignment="1">
      <alignment horizontal="center" vertical="center"/>
    </xf>
    <xf numFmtId="0" fontId="0" fillId="10" borderId="26" xfId="0" applyFill="1" applyBorder="1" applyAlignment="1">
      <alignment horizontal="left" vertical="center"/>
    </xf>
    <xf numFmtId="0" fontId="2" fillId="6" borderId="35" xfId="1" applyFill="1" applyBorder="1" applyAlignment="1">
      <alignment vertical="center"/>
    </xf>
    <xf numFmtId="0" fontId="0" fillId="6" borderId="35" xfId="0" applyFill="1" applyBorder="1" applyAlignment="1">
      <alignment vertical="center" wrapText="1"/>
    </xf>
    <xf numFmtId="0" fontId="0" fillId="6" borderId="25" xfId="0" applyFill="1" applyBorder="1" applyAlignment="1">
      <alignment vertical="center" wrapText="1"/>
    </xf>
    <xf numFmtId="0" fontId="0" fillId="6" borderId="34" xfId="0" applyFill="1" applyBorder="1" applyAlignment="1">
      <alignment vertical="center"/>
    </xf>
    <xf numFmtId="0" fontId="0" fillId="6" borderId="17" xfId="0" applyFill="1" applyBorder="1" applyAlignment="1">
      <alignment vertical="center" wrapText="1"/>
    </xf>
    <xf numFmtId="0" fontId="2" fillId="6" borderId="14" xfId="1" applyFill="1" applyBorder="1" applyAlignment="1">
      <alignment vertical="center"/>
    </xf>
    <xf numFmtId="0" fontId="0" fillId="6" borderId="14" xfId="0" applyFill="1" applyBorder="1" applyAlignment="1">
      <alignment vertical="center" wrapText="1"/>
    </xf>
    <xf numFmtId="0" fontId="0" fillId="6" borderId="26" xfId="0" applyFill="1" applyBorder="1" applyAlignment="1">
      <alignment vertical="center" wrapText="1"/>
    </xf>
    <xf numFmtId="0" fontId="0" fillId="6" borderId="0" xfId="0" applyFill="1" applyAlignment="1">
      <alignment vertical="center"/>
    </xf>
    <xf numFmtId="0" fontId="0" fillId="6" borderId="19" xfId="0" applyFill="1" applyBorder="1" applyAlignment="1">
      <alignment vertical="center" wrapText="1"/>
    </xf>
    <xf numFmtId="0" fontId="0" fillId="6" borderId="20" xfId="0" applyFill="1" applyBorder="1" applyAlignment="1">
      <alignment vertical="center" wrapText="1"/>
    </xf>
    <xf numFmtId="0" fontId="2" fillId="5" borderId="35" xfId="1" applyFill="1" applyBorder="1" applyAlignment="1">
      <alignment vertical="center"/>
    </xf>
    <xf numFmtId="0" fontId="0" fillId="5" borderId="34" xfId="0" applyFill="1" applyBorder="1" applyAlignment="1">
      <alignment vertical="center" wrapText="1"/>
    </xf>
    <xf numFmtId="0" fontId="0" fillId="5" borderId="33" xfId="0" applyFill="1" applyBorder="1" applyAlignment="1">
      <alignment vertical="center" wrapText="1"/>
    </xf>
    <xf numFmtId="0" fontId="0" fillId="5" borderId="20" xfId="0" applyFill="1" applyBorder="1" applyAlignment="1">
      <alignment vertical="center" wrapText="1"/>
    </xf>
    <xf numFmtId="0" fontId="0" fillId="5" borderId="19" xfId="0" applyFill="1" applyBorder="1" applyAlignment="1">
      <alignment vertical="center"/>
    </xf>
    <xf numFmtId="0" fontId="2" fillId="5" borderId="17" xfId="1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18" xfId="0" applyFill="1" applyBorder="1" applyAlignment="1">
      <alignment vertical="center" wrapText="1"/>
    </xf>
    <xf numFmtId="0" fontId="0" fillId="42" borderId="12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42" borderId="35" xfId="0" applyFill="1" applyBorder="1" applyAlignment="1">
      <alignment vertical="center"/>
    </xf>
    <xf numFmtId="0" fontId="0" fillId="42" borderId="25" xfId="0" applyFill="1" applyBorder="1" applyAlignment="1">
      <alignment vertical="center"/>
    </xf>
    <xf numFmtId="0" fontId="2" fillId="10" borderId="14" xfId="1" applyFill="1" applyBorder="1" applyAlignment="1">
      <alignment vertical="center"/>
    </xf>
    <xf numFmtId="0" fontId="0" fillId="10" borderId="26" xfId="0" applyFill="1" applyBorder="1" applyAlignment="1">
      <alignment vertical="center" wrapText="1"/>
    </xf>
    <xf numFmtId="0" fontId="0" fillId="10" borderId="35" xfId="0" applyFill="1" applyBorder="1" applyAlignment="1">
      <alignment vertical="center"/>
    </xf>
    <xf numFmtId="0" fontId="2" fillId="10" borderId="18" xfId="1" applyFill="1" applyBorder="1" applyAlignment="1">
      <alignment vertical="center"/>
    </xf>
    <xf numFmtId="0" fontId="0" fillId="10" borderId="25" xfId="0" applyFill="1" applyBorder="1" applyAlignment="1">
      <alignment vertical="center" wrapText="1"/>
    </xf>
    <xf numFmtId="0" fontId="0" fillId="10" borderId="25" xfId="0" applyFill="1" applyBorder="1" applyAlignment="1">
      <alignment vertical="center"/>
    </xf>
    <xf numFmtId="0" fontId="0" fillId="10" borderId="18" xfId="0" applyFill="1" applyBorder="1" applyAlignment="1">
      <alignment vertical="center" wrapText="1"/>
    </xf>
    <xf numFmtId="0" fontId="2" fillId="10" borderId="37" xfId="1" applyFill="1" applyBorder="1" applyAlignment="1">
      <alignment vertical="center"/>
    </xf>
    <xf numFmtId="0" fontId="0" fillId="10" borderId="26" xfId="0" applyFill="1" applyBorder="1" applyAlignment="1">
      <alignment vertical="center"/>
    </xf>
    <xf numFmtId="0" fontId="0" fillId="10" borderId="37" xfId="0" applyFill="1" applyBorder="1" applyAlignment="1">
      <alignment vertical="center" wrapText="1"/>
    </xf>
    <xf numFmtId="0" fontId="0" fillId="10" borderId="20" xfId="0" applyFill="1" applyBorder="1" applyAlignment="1">
      <alignment vertical="center" wrapText="1"/>
    </xf>
    <xf numFmtId="0" fontId="0" fillId="10" borderId="21" xfId="0" applyFill="1" applyBorder="1" applyAlignment="1">
      <alignment vertical="center" wrapText="1"/>
    </xf>
    <xf numFmtId="0" fontId="2" fillId="3" borderId="35" xfId="1" applyFill="1" applyBorder="1" applyAlignment="1">
      <alignment vertical="center" wrapText="1"/>
    </xf>
    <xf numFmtId="0" fontId="0" fillId="3" borderId="34" xfId="0" applyFill="1" applyBorder="1" applyAlignment="1">
      <alignment vertical="center" wrapText="1"/>
    </xf>
    <xf numFmtId="0" fontId="0" fillId="3" borderId="14" xfId="0" applyFill="1" applyBorder="1" applyAlignment="1">
      <alignment vertical="center" wrapText="1"/>
    </xf>
    <xf numFmtId="0" fontId="0" fillId="3" borderId="35" xfId="0" applyFill="1" applyBorder="1" applyAlignment="1">
      <alignment vertical="center"/>
    </xf>
    <xf numFmtId="0" fontId="2" fillId="3" borderId="18" xfId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34" xfId="0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14" xfId="0" applyFill="1" applyBorder="1" applyAlignment="1">
      <alignment vertical="center"/>
    </xf>
    <xf numFmtId="0" fontId="2" fillId="3" borderId="37" xfId="1" applyFill="1" applyBorder="1" applyAlignment="1">
      <alignment vertical="center"/>
    </xf>
    <xf numFmtId="0" fontId="0" fillId="3" borderId="37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2" fillId="7" borderId="34" xfId="1" applyFill="1" applyBorder="1" applyAlignment="1">
      <alignment vertical="center" wrapText="1"/>
    </xf>
    <xf numFmtId="0" fontId="30" fillId="7" borderId="34" xfId="1" applyFont="1" applyFill="1" applyBorder="1" applyAlignment="1">
      <alignment vertical="center" wrapText="1"/>
    </xf>
    <xf numFmtId="0" fontId="0" fillId="7" borderId="34" xfId="0" applyFill="1" applyBorder="1" applyAlignment="1">
      <alignment vertical="center" wrapText="1"/>
    </xf>
    <xf numFmtId="0" fontId="0" fillId="7" borderId="35" xfId="0" applyFill="1" applyBorder="1" applyAlignment="1">
      <alignment vertical="center" wrapText="1"/>
    </xf>
    <xf numFmtId="0" fontId="0" fillId="7" borderId="34" xfId="0" applyFill="1" applyBorder="1" applyAlignment="1">
      <alignment vertical="center"/>
    </xf>
    <xf numFmtId="0" fontId="2" fillId="7" borderId="18" xfId="1" applyFill="1" applyBorder="1" applyAlignment="1">
      <alignment vertical="center"/>
    </xf>
    <xf numFmtId="0" fontId="0" fillId="7" borderId="18" xfId="0" applyFill="1" applyBorder="1" applyAlignment="1">
      <alignment vertical="center" wrapText="1"/>
    </xf>
    <xf numFmtId="0" fontId="0" fillId="7" borderId="0" xfId="0" applyFill="1" applyAlignment="1">
      <alignment vertical="center"/>
    </xf>
    <xf numFmtId="0" fontId="0" fillId="7" borderId="14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37" xfId="0" applyFill="1" applyBorder="1" applyAlignment="1">
      <alignment vertical="center"/>
    </xf>
    <xf numFmtId="0" fontId="2" fillId="7" borderId="0" xfId="1" applyFill="1" applyBorder="1" applyAlignment="1">
      <alignment vertical="center" wrapText="1"/>
    </xf>
    <xf numFmtId="0" fontId="0" fillId="7" borderId="15" xfId="0" applyFill="1" applyBorder="1" applyAlignment="1">
      <alignment vertical="center"/>
    </xf>
    <xf numFmtId="0" fontId="0" fillId="7" borderId="20" xfId="0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0" fontId="0" fillId="7" borderId="35" xfId="0" applyFill="1" applyBorder="1" applyAlignment="1">
      <alignment vertical="center"/>
    </xf>
    <xf numFmtId="0" fontId="0" fillId="7" borderId="18" xfId="0" applyFill="1" applyBorder="1" applyAlignment="1">
      <alignment vertical="center"/>
    </xf>
    <xf numFmtId="0" fontId="2" fillId="7" borderId="39" xfId="1" applyFill="1" applyBorder="1" applyAlignment="1">
      <alignment vertical="center" wrapText="1"/>
    </xf>
    <xf numFmtId="0" fontId="0" fillId="7" borderId="39" xfId="0" applyFill="1" applyBorder="1" applyAlignment="1">
      <alignment vertical="center" wrapText="1"/>
    </xf>
    <xf numFmtId="0" fontId="0" fillId="7" borderId="21" xfId="0" applyFill="1" applyBorder="1" applyAlignment="1">
      <alignment vertical="center" wrapText="1"/>
    </xf>
    <xf numFmtId="0" fontId="0" fillId="7" borderId="14" xfId="0" applyFill="1" applyBorder="1" applyAlignment="1">
      <alignment vertical="center"/>
    </xf>
    <xf numFmtId="0" fontId="0" fillId="7" borderId="15" xfId="0" applyFill="1" applyBorder="1" applyAlignment="1">
      <alignment vertical="center" wrapText="1"/>
    </xf>
    <xf numFmtId="0" fontId="2" fillId="44" borderId="0" xfId="1" applyFill="1" applyBorder="1" applyAlignment="1">
      <alignment vertical="center" wrapText="1"/>
    </xf>
    <xf numFmtId="0" fontId="0" fillId="44" borderId="0" xfId="0" applyFill="1" applyAlignment="1">
      <alignment vertical="center" wrapText="1"/>
    </xf>
    <xf numFmtId="0" fontId="0" fillId="44" borderId="12" xfId="0" applyFill="1" applyBorder="1" applyAlignment="1">
      <alignment vertical="center"/>
    </xf>
    <xf numFmtId="0" fontId="0" fillId="44" borderId="19" xfId="0" applyFill="1" applyBorder="1" applyAlignment="1">
      <alignment vertical="center"/>
    </xf>
    <xf numFmtId="0" fontId="0" fillId="44" borderId="35" xfId="0" applyFill="1" applyBorder="1" applyAlignment="1">
      <alignment vertical="center" wrapText="1"/>
    </xf>
    <xf numFmtId="0" fontId="0" fillId="44" borderId="34" xfId="0" applyFill="1" applyBorder="1" applyAlignment="1">
      <alignment vertical="center" wrapText="1"/>
    </xf>
    <xf numFmtId="0" fontId="0" fillId="44" borderId="37" xfId="0" applyFill="1" applyBorder="1" applyAlignment="1">
      <alignment vertical="center"/>
    </xf>
    <xf numFmtId="0" fontId="0" fillId="44" borderId="14" xfId="0" applyFill="1" applyBorder="1" applyAlignment="1">
      <alignment vertical="center" wrapText="1"/>
    </xf>
    <xf numFmtId="0" fontId="0" fillId="44" borderId="26" xfId="0" applyFill="1" applyBorder="1" applyAlignment="1">
      <alignment vertical="center"/>
    </xf>
    <xf numFmtId="0" fontId="2" fillId="44" borderId="39" xfId="1" applyFill="1" applyBorder="1" applyAlignment="1">
      <alignment vertical="center" wrapText="1"/>
    </xf>
    <xf numFmtId="0" fontId="0" fillId="44" borderId="39" xfId="0" applyFill="1" applyBorder="1" applyAlignment="1">
      <alignment vertical="center" wrapText="1"/>
    </xf>
    <xf numFmtId="0" fontId="0" fillId="44" borderId="21" xfId="0" applyFill="1" applyBorder="1" applyAlignment="1">
      <alignment vertical="center" wrapText="1"/>
    </xf>
    <xf numFmtId="0" fontId="0" fillId="47" borderId="12" xfId="0" applyFill="1" applyBorder="1" applyAlignment="1">
      <alignment vertical="center"/>
    </xf>
    <xf numFmtId="0" fontId="0" fillId="44" borderId="34" xfId="0" applyFill="1" applyBorder="1" applyAlignment="1">
      <alignment vertical="center"/>
    </xf>
    <xf numFmtId="0" fontId="0" fillId="44" borderId="15" xfId="0" applyFill="1" applyBorder="1" applyAlignment="1">
      <alignment vertical="center" wrapText="1"/>
    </xf>
    <xf numFmtId="0" fontId="2" fillId="45" borderId="26" xfId="1" applyFill="1" applyBorder="1" applyAlignment="1">
      <alignment vertical="center" wrapText="1"/>
    </xf>
    <xf numFmtId="0" fontId="2" fillId="45" borderId="0" xfId="1" applyFill="1" applyBorder="1" applyAlignment="1">
      <alignment vertical="center" wrapText="1"/>
    </xf>
    <xf numFmtId="0" fontId="0" fillId="45" borderId="37" xfId="0" applyFill="1" applyBorder="1" applyAlignment="1">
      <alignment vertical="center" wrapText="1"/>
    </xf>
    <xf numFmtId="0" fontId="0" fillId="45" borderId="21" xfId="0" applyFill="1" applyBorder="1" applyAlignment="1">
      <alignment vertical="center"/>
    </xf>
    <xf numFmtId="0" fontId="0" fillId="45" borderId="26" xfId="0" applyFill="1" applyBorder="1" applyAlignment="1">
      <alignment vertical="center"/>
    </xf>
    <xf numFmtId="0" fontId="0" fillId="45" borderId="20" xfId="0" applyFill="1" applyBorder="1" applyAlignment="1">
      <alignment vertical="center"/>
    </xf>
    <xf numFmtId="0" fontId="0" fillId="45" borderId="39" xfId="0" applyFill="1" applyBorder="1" applyAlignment="1">
      <alignment vertical="center" wrapText="1"/>
    </xf>
    <xf numFmtId="0" fontId="0" fillId="45" borderId="21" xfId="0" applyFill="1" applyBorder="1" applyAlignment="1">
      <alignment vertical="center" wrapText="1"/>
    </xf>
    <xf numFmtId="0" fontId="2" fillId="45" borderId="20" xfId="1" applyFill="1" applyBorder="1" applyAlignment="1">
      <alignment vertical="center" wrapText="1"/>
    </xf>
    <xf numFmtId="0" fontId="2" fillId="45" borderId="39" xfId="1" applyFill="1" applyBorder="1" applyAlignment="1">
      <alignment vertical="center" wrapText="1"/>
    </xf>
    <xf numFmtId="0" fontId="0" fillId="45" borderId="17" xfId="0" applyFill="1" applyBorder="1" applyAlignment="1">
      <alignment vertical="center"/>
    </xf>
    <xf numFmtId="0" fontId="0" fillId="45" borderId="12" xfId="0" applyFill="1" applyBorder="1" applyAlignment="1">
      <alignment vertical="center"/>
    </xf>
    <xf numFmtId="0" fontId="0" fillId="45" borderId="19" xfId="0" applyFill="1" applyBorder="1" applyAlignment="1">
      <alignment vertical="center" wrapText="1"/>
    </xf>
    <xf numFmtId="0" fontId="0" fillId="45" borderId="17" xfId="0" applyFill="1" applyBorder="1" applyAlignment="1">
      <alignment vertical="center" wrapText="1"/>
    </xf>
    <xf numFmtId="0" fontId="0" fillId="45" borderId="0" xfId="0" applyFill="1" applyAlignment="1">
      <alignment vertical="center"/>
    </xf>
    <xf numFmtId="0" fontId="0" fillId="43" borderId="12" xfId="0" applyFill="1" applyBorder="1" applyAlignment="1">
      <alignment vertical="center"/>
    </xf>
    <xf numFmtId="0" fontId="0" fillId="43" borderId="25" xfId="0" applyFill="1" applyBorder="1" applyAlignment="1">
      <alignment vertical="center"/>
    </xf>
    <xf numFmtId="0" fontId="2" fillId="3" borderId="0" xfId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" fillId="7" borderId="17" xfId="2" applyFill="1" applyBorder="1" applyAlignment="1">
      <alignment horizontal="center" vertical="center" wrapText="1"/>
    </xf>
    <xf numFmtId="0" fontId="2" fillId="44" borderId="17" xfId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/>
    </xf>
    <xf numFmtId="0" fontId="0" fillId="3" borderId="77" xfId="0" applyFill="1" applyBorder="1" applyAlignment="1">
      <alignment vertical="center" wrapText="1"/>
    </xf>
    <xf numFmtId="0" fontId="0" fillId="3" borderId="81" xfId="0" applyFill="1" applyBorder="1" applyAlignment="1">
      <alignment vertical="center" wrapText="1"/>
    </xf>
    <xf numFmtId="0" fontId="0" fillId="3" borderId="82" xfId="0" applyFill="1" applyBorder="1" applyAlignment="1">
      <alignment vertical="center" wrapText="1"/>
    </xf>
    <xf numFmtId="0" fontId="0" fillId="3" borderId="41" xfId="0" applyFill="1" applyBorder="1" applyAlignment="1">
      <alignment vertical="center" wrapText="1"/>
    </xf>
    <xf numFmtId="0" fontId="0" fillId="45" borderId="3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30" fillId="50" borderId="34" xfId="0" applyFont="1" applyFill="1" applyBorder="1" applyAlignment="1">
      <alignment horizontal="center" vertical="center" wrapText="1"/>
    </xf>
    <xf numFmtId="0" fontId="0" fillId="50" borderId="35" xfId="0" applyFill="1" applyBorder="1" applyAlignment="1">
      <alignment horizontal="center" vertical="center" wrapText="1"/>
    </xf>
    <xf numFmtId="0" fontId="0" fillId="50" borderId="18" xfId="0" applyFill="1" applyBorder="1" applyAlignment="1">
      <alignment horizontal="center" vertical="center" wrapText="1"/>
    </xf>
    <xf numFmtId="0" fontId="2" fillId="42" borderId="34" xfId="1" applyFill="1" applyBorder="1" applyAlignment="1">
      <alignment horizontal="center" vertical="center" wrapText="1"/>
    </xf>
    <xf numFmtId="0" fontId="30" fillId="50" borderId="18" xfId="0" applyFont="1" applyFill="1" applyBorder="1" applyAlignment="1">
      <alignment horizontal="center" vertical="center" wrapText="1"/>
    </xf>
    <xf numFmtId="0" fontId="30" fillId="50" borderId="35" xfId="1" applyFont="1" applyFill="1" applyBorder="1" applyAlignment="1">
      <alignment horizontal="center" vertical="center"/>
    </xf>
    <xf numFmtId="0" fontId="30" fillId="50" borderId="35" xfId="1" applyFont="1" applyFill="1" applyBorder="1" applyAlignment="1">
      <alignment horizontal="center" vertical="center" wrapText="1"/>
    </xf>
    <xf numFmtId="0" fontId="30" fillId="50" borderId="35" xfId="0" applyFont="1" applyFill="1" applyBorder="1" applyAlignment="1">
      <alignment horizontal="center" vertical="center"/>
    </xf>
    <xf numFmtId="0" fontId="30" fillId="50" borderId="25" xfId="0" applyFont="1" applyFill="1" applyBorder="1" applyAlignment="1">
      <alignment horizontal="center" vertical="center" wrapText="1"/>
    </xf>
    <xf numFmtId="0" fontId="30" fillId="50" borderId="15" xfId="0" applyFont="1" applyFill="1" applyBorder="1" applyAlignment="1">
      <alignment horizontal="center" vertical="center" wrapText="1"/>
    </xf>
    <xf numFmtId="0" fontId="30" fillId="50" borderId="21" xfId="0" applyFont="1" applyFill="1" applyBorder="1" applyAlignment="1">
      <alignment horizontal="center" vertical="center" wrapText="1"/>
    </xf>
    <xf numFmtId="0" fontId="30" fillId="50" borderId="15" xfId="1" applyFont="1" applyFill="1" applyBorder="1" applyAlignment="1">
      <alignment horizontal="center" vertical="center"/>
    </xf>
    <xf numFmtId="0" fontId="0" fillId="50" borderId="20" xfId="0" applyFill="1" applyBorder="1" applyAlignment="1">
      <alignment vertical="center"/>
    </xf>
    <xf numFmtId="0" fontId="0" fillId="50" borderId="39" xfId="0" applyFill="1" applyBorder="1" applyAlignment="1">
      <alignment vertical="center"/>
    </xf>
    <xf numFmtId="0" fontId="0" fillId="50" borderId="15" xfId="0" applyFill="1" applyBorder="1" applyAlignment="1">
      <alignment vertical="center"/>
    </xf>
    <xf numFmtId="0" fontId="0" fillId="50" borderId="21" xfId="0" applyFill="1" applyBorder="1" applyAlignment="1">
      <alignment vertical="center"/>
    </xf>
    <xf numFmtId="0" fontId="2" fillId="50" borderId="14" xfId="1" applyFill="1" applyBorder="1" applyAlignment="1">
      <alignment horizontal="center" vertical="center" wrapText="1"/>
    </xf>
    <xf numFmtId="0" fontId="30" fillId="50" borderId="20" xfId="0" applyFont="1" applyFill="1" applyBorder="1" applyAlignment="1">
      <alignment horizontal="center" vertical="center" wrapText="1"/>
    </xf>
    <xf numFmtId="0" fontId="4" fillId="50" borderId="1" xfId="0" applyFont="1" applyFill="1" applyBorder="1" applyAlignment="1">
      <alignment vertical="center"/>
    </xf>
    <xf numFmtId="0" fontId="30" fillId="50" borderId="12" xfId="0" applyFont="1" applyFill="1" applyBorder="1" applyAlignment="1">
      <alignment horizontal="left" vertical="center" wrapText="1"/>
    </xf>
    <xf numFmtId="0" fontId="4" fillId="7" borderId="35" xfId="0" applyFont="1" applyFill="1" applyBorder="1" applyAlignment="1">
      <alignment vertical="center"/>
    </xf>
    <xf numFmtId="0" fontId="0" fillId="10" borderId="12" xfId="0" applyFill="1" applyBorder="1" applyAlignment="1">
      <alignment vertical="center"/>
    </xf>
    <xf numFmtId="0" fontId="0" fillId="5" borderId="41" xfId="0" applyFill="1" applyBorder="1" applyAlignment="1">
      <alignment vertical="center"/>
    </xf>
    <xf numFmtId="0" fontId="0" fillId="3" borderId="17" xfId="0" applyFill="1" applyBorder="1" applyAlignment="1">
      <alignment vertical="center" wrapText="1"/>
    </xf>
    <xf numFmtId="14" fontId="17" fillId="0" borderId="12" xfId="0" applyNumberFormat="1" applyFont="1" applyBorder="1" applyAlignment="1">
      <alignment horizontal="left"/>
    </xf>
    <xf numFmtId="0" fontId="3" fillId="6" borderId="0" xfId="1" applyFont="1" applyFill="1" applyBorder="1" applyAlignment="1">
      <alignment horizontal="center" vertical="center"/>
    </xf>
    <xf numFmtId="0" fontId="0" fillId="50" borderId="21" xfId="0" applyFill="1" applyBorder="1" applyAlignment="1">
      <alignment horizontal="center" vertical="center" wrapText="1"/>
    </xf>
    <xf numFmtId="0" fontId="2" fillId="42" borderId="14" xfId="1" applyFill="1" applyBorder="1" applyAlignment="1">
      <alignment horizontal="center" vertical="center" wrapText="1"/>
    </xf>
    <xf numFmtId="0" fontId="2" fillId="42" borderId="18" xfId="1" applyFill="1" applyBorder="1" applyAlignment="1">
      <alignment horizontal="center" vertical="center" wrapText="1"/>
    </xf>
    <xf numFmtId="0" fontId="2" fillId="42" borderId="37" xfId="1" applyFill="1" applyBorder="1" applyAlignment="1">
      <alignment horizontal="center" vertical="center" wrapText="1"/>
    </xf>
    <xf numFmtId="0" fontId="2" fillId="42" borderId="0" xfId="1" applyFill="1" applyBorder="1" applyAlignment="1">
      <alignment horizontal="center" vertical="center" wrapText="1"/>
    </xf>
    <xf numFmtId="0" fontId="3" fillId="42" borderId="88" xfId="1" applyFont="1" applyFill="1" applyBorder="1" applyAlignment="1">
      <alignment horizontal="center" vertical="center"/>
    </xf>
    <xf numFmtId="0" fontId="4" fillId="42" borderId="36" xfId="0" applyFont="1" applyFill="1" applyBorder="1" applyAlignment="1">
      <alignment horizontal="center" vertical="center"/>
    </xf>
    <xf numFmtId="0" fontId="4" fillId="42" borderId="65" xfId="0" applyFont="1" applyFill="1" applyBorder="1" applyAlignment="1">
      <alignment horizontal="center" vertical="center"/>
    </xf>
    <xf numFmtId="0" fontId="3" fillId="50" borderId="83" xfId="1" applyFont="1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 wrapText="1"/>
    </xf>
    <xf numFmtId="0" fontId="0" fillId="3" borderId="35" xfId="0" applyFill="1" applyBorder="1" applyAlignment="1">
      <alignment vertical="center" wrapText="1"/>
    </xf>
    <xf numFmtId="0" fontId="0" fillId="3" borderId="25" xfId="0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0" fillId="3" borderId="20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7" borderId="26" xfId="0" applyFill="1" applyBorder="1" applyAlignment="1">
      <alignment vertical="center" wrapText="1"/>
    </xf>
    <xf numFmtId="0" fontId="0" fillId="5" borderId="37" xfId="0" applyFill="1" applyBorder="1" applyAlignment="1">
      <alignment horizontal="center" vertical="center" wrapText="1"/>
    </xf>
    <xf numFmtId="0" fontId="2" fillId="42" borderId="35" xfId="1" applyFill="1" applyBorder="1" applyAlignment="1">
      <alignment horizontal="center" vertical="center"/>
    </xf>
    <xf numFmtId="0" fontId="2" fillId="50" borderId="35" xfId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center" vertical="center" wrapText="1"/>
    </xf>
    <xf numFmtId="0" fontId="30" fillId="2" borderId="35" xfId="1" applyFont="1" applyFill="1" applyBorder="1" applyAlignment="1">
      <alignment horizontal="center" vertical="center"/>
    </xf>
    <xf numFmtId="0" fontId="30" fillId="2" borderId="35" xfId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30" fillId="2" borderId="15" xfId="1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6" fillId="52" borderId="17" xfId="0" applyFont="1" applyFill="1" applyBorder="1"/>
    <xf numFmtId="0" fontId="2" fillId="3" borderId="25" xfId="1" applyFill="1" applyBorder="1" applyAlignment="1">
      <alignment horizontal="center" vertical="center" wrapText="1"/>
    </xf>
    <xf numFmtId="0" fontId="2" fillId="3" borderId="20" xfId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5" borderId="19" xfId="1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 wrapText="1"/>
    </xf>
    <xf numFmtId="0" fontId="30" fillId="5" borderId="19" xfId="0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/>
    </xf>
    <xf numFmtId="0" fontId="30" fillId="5" borderId="19" xfId="0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0" fillId="50" borderId="0" xfId="1" applyFont="1" applyFill="1" applyBorder="1" applyAlignment="1">
      <alignment horizontal="center" vertical="center" wrapText="1"/>
    </xf>
    <xf numFmtId="0" fontId="30" fillId="50" borderId="14" xfId="0" applyFont="1" applyFill="1" applyBorder="1" applyAlignment="1">
      <alignment horizontal="center" vertical="center" wrapText="1"/>
    </xf>
    <xf numFmtId="0" fontId="30" fillId="50" borderId="0" xfId="0" applyFont="1" applyFill="1" applyAlignment="1">
      <alignment horizontal="center" vertical="center" wrapText="1"/>
    </xf>
    <xf numFmtId="0" fontId="30" fillId="50" borderId="35" xfId="0" applyFont="1" applyFill="1" applyBorder="1" applyAlignment="1">
      <alignment horizontal="center" vertical="center" wrapText="1"/>
    </xf>
    <xf numFmtId="0" fontId="30" fillId="50" borderId="34" xfId="0" applyFont="1" applyFill="1" applyBorder="1" applyAlignment="1">
      <alignment horizontal="center" vertical="center" wrapText="1"/>
    </xf>
    <xf numFmtId="0" fontId="30" fillId="50" borderId="37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2" fillId="6" borderId="1" xfId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 wrapText="1"/>
    </xf>
    <xf numFmtId="0" fontId="5" fillId="9" borderId="33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3" borderId="35" xfId="0" applyFill="1" applyBorder="1" applyAlignment="1">
      <alignment horizontal="center" vertical="center" wrapText="1"/>
    </xf>
    <xf numFmtId="0" fontId="0" fillId="43" borderId="34" xfId="0" applyFill="1" applyBorder="1" applyAlignment="1">
      <alignment horizontal="center" vertical="center" wrapText="1"/>
    </xf>
    <xf numFmtId="0" fontId="0" fillId="43" borderId="18" xfId="0" applyFill="1" applyBorder="1" applyAlignment="1">
      <alignment horizontal="center" vertical="center" wrapText="1"/>
    </xf>
    <xf numFmtId="0" fontId="6" fillId="48" borderId="25" xfId="0" applyFont="1" applyFill="1" applyBorder="1" applyAlignment="1">
      <alignment horizontal="center" vertical="center" wrapText="1"/>
    </xf>
    <xf numFmtId="0" fontId="0" fillId="43" borderId="0" xfId="0" applyFill="1" applyAlignment="1">
      <alignment horizontal="center" vertical="center" wrapText="1"/>
    </xf>
    <xf numFmtId="0" fontId="0" fillId="43" borderId="35" xfId="0" applyFill="1" applyBorder="1" applyAlignment="1">
      <alignment horizontal="center" wrapText="1"/>
    </xf>
    <xf numFmtId="0" fontId="0" fillId="43" borderId="18" xfId="0" applyFill="1" applyBorder="1" applyAlignment="1">
      <alignment horizontal="center" wrapText="1"/>
    </xf>
    <xf numFmtId="0" fontId="0" fillId="43" borderId="15" xfId="0" applyFill="1" applyBorder="1" applyAlignment="1">
      <alignment horizontal="center" vertical="center" wrapText="1"/>
    </xf>
    <xf numFmtId="0" fontId="0" fillId="43" borderId="39" xfId="0" applyFill="1" applyBorder="1" applyAlignment="1">
      <alignment horizontal="center" vertical="center" wrapText="1"/>
    </xf>
    <xf numFmtId="0" fontId="0" fillId="43" borderId="21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 wrapText="1"/>
    </xf>
    <xf numFmtId="0" fontId="0" fillId="50" borderId="39" xfId="0" applyFill="1" applyBorder="1" applyAlignment="1">
      <alignment horizontal="center" vertical="center" wrapText="1"/>
    </xf>
    <xf numFmtId="0" fontId="0" fillId="50" borderId="14" xfId="0" applyFill="1" applyBorder="1" applyAlignment="1">
      <alignment horizontal="center" vertical="center" wrapText="1"/>
    </xf>
    <xf numFmtId="0" fontId="0" fillId="50" borderId="37" xfId="0" applyFill="1" applyBorder="1" applyAlignment="1">
      <alignment horizontal="center" vertical="center" wrapText="1"/>
    </xf>
    <xf numFmtId="0" fontId="0" fillId="50" borderId="34" xfId="0" applyFill="1" applyBorder="1" applyAlignment="1">
      <alignment horizontal="center" vertical="center" wrapText="1"/>
    </xf>
    <xf numFmtId="0" fontId="31" fillId="50" borderId="0" xfId="0" applyFont="1" applyFill="1" applyAlignment="1">
      <alignment horizontal="center" vertical="center" wrapText="1"/>
    </xf>
    <xf numFmtId="0" fontId="0" fillId="50" borderId="0" xfId="0" applyFill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30" fillId="5" borderId="33" xfId="1" applyFont="1" applyFill="1" applyBorder="1" applyAlignment="1">
      <alignment horizontal="center" vertical="center" wrapText="1"/>
    </xf>
    <xf numFmtId="0" fontId="2" fillId="5" borderId="17" xfId="1" applyFill="1" applyBorder="1" applyAlignment="1">
      <alignment horizontal="center" vertical="center" wrapText="1"/>
    </xf>
    <xf numFmtId="0" fontId="30" fillId="5" borderId="17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center"/>
    </xf>
    <xf numFmtId="0" fontId="1" fillId="2" borderId="78" xfId="0" applyFont="1" applyFill="1" applyBorder="1" applyAlignment="1">
      <alignment horizontal="center" vertical="center"/>
    </xf>
    <xf numFmtId="0" fontId="1" fillId="2" borderId="79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2" fillId="8" borderId="25" xfId="1" applyFill="1" applyBorder="1" applyAlignment="1">
      <alignment horizontal="center" vertical="center"/>
    </xf>
    <xf numFmtId="0" fontId="2" fillId="8" borderId="20" xfId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 wrapText="1"/>
    </xf>
    <xf numFmtId="0" fontId="4" fillId="8" borderId="37" xfId="0" applyFont="1" applyFill="1" applyBorder="1" applyAlignment="1">
      <alignment horizontal="center" vertical="center" wrapText="1"/>
    </xf>
    <xf numFmtId="0" fontId="0" fillId="43" borderId="33" xfId="0" applyFill="1" applyBorder="1" applyAlignment="1">
      <alignment horizontal="center" vertical="center" wrapText="1"/>
    </xf>
    <xf numFmtId="0" fontId="0" fillId="43" borderId="19" xfId="0" applyFill="1" applyBorder="1" applyAlignment="1">
      <alignment horizontal="center" vertical="center" wrapText="1"/>
    </xf>
    <xf numFmtId="0" fontId="0" fillId="43" borderId="17" xfId="0" applyFill="1" applyBorder="1" applyAlignment="1">
      <alignment horizontal="center" vertical="center" wrapText="1"/>
    </xf>
    <xf numFmtId="0" fontId="0" fillId="43" borderId="12" xfId="0" applyFill="1" applyBorder="1" applyAlignment="1">
      <alignment horizontal="center" vertical="center" wrapText="1"/>
    </xf>
    <xf numFmtId="0" fontId="17" fillId="43" borderId="33" xfId="0" applyFont="1" applyFill="1" applyBorder="1" applyAlignment="1">
      <alignment horizontal="center" vertical="center" wrapText="1"/>
    </xf>
    <xf numFmtId="0" fontId="17" fillId="43" borderId="19" xfId="0" applyFont="1" applyFill="1" applyBorder="1" applyAlignment="1">
      <alignment horizontal="center" vertical="center" wrapText="1"/>
    </xf>
    <xf numFmtId="0" fontId="17" fillId="43" borderId="17" xfId="0" applyFont="1" applyFill="1" applyBorder="1" applyAlignment="1">
      <alignment horizontal="center" vertical="center" wrapText="1"/>
    </xf>
    <xf numFmtId="0" fontId="0" fillId="43" borderId="72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42" borderId="15" xfId="0" applyFill="1" applyBorder="1" applyAlignment="1">
      <alignment horizontal="center" vertical="center" wrapText="1"/>
    </xf>
    <xf numFmtId="0" fontId="0" fillId="42" borderId="39" xfId="0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37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42" borderId="34" xfId="0" applyFill="1" applyBorder="1" applyAlignment="1">
      <alignment horizontal="center" vertical="center" wrapText="1"/>
    </xf>
    <xf numFmtId="0" fontId="0" fillId="42" borderId="14" xfId="0" applyFill="1" applyBorder="1" applyAlignment="1">
      <alignment horizontal="center" vertical="center" wrapText="1"/>
    </xf>
    <xf numFmtId="0" fontId="0" fillId="42" borderId="0" xfId="0" applyFill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10" borderId="35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10" borderId="34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0" fillId="10" borderId="39" xfId="0" applyFill="1" applyBorder="1" applyAlignment="1">
      <alignment horizontal="center" vertical="center" wrapText="1"/>
    </xf>
    <xf numFmtId="0" fontId="0" fillId="43" borderId="14" xfId="0" applyFill="1" applyBorder="1" applyAlignment="1">
      <alignment horizontal="center" vertical="center" wrapText="1"/>
    </xf>
    <xf numFmtId="0" fontId="0" fillId="43" borderId="14" xfId="0" applyFill="1" applyBorder="1" applyAlignment="1">
      <alignment horizontal="center" wrapText="1"/>
    </xf>
    <xf numFmtId="0" fontId="0" fillId="43" borderId="0" xfId="0" applyFill="1" applyAlignment="1">
      <alignment horizontal="center" wrapText="1"/>
    </xf>
    <xf numFmtId="0" fontId="0" fillId="43" borderId="33" xfId="0" applyFill="1" applyBorder="1" applyAlignment="1">
      <alignment horizontal="center" wrapText="1"/>
    </xf>
    <xf numFmtId="0" fontId="0" fillId="43" borderId="17" xfId="0" applyFill="1" applyBorder="1" applyAlignment="1">
      <alignment horizontal="center" wrapText="1"/>
    </xf>
    <xf numFmtId="0" fontId="0" fillId="43" borderId="26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10" borderId="33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2" fillId="8" borderId="26" xfId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50" borderId="35" xfId="0" applyFill="1" applyBorder="1" applyAlignment="1">
      <alignment horizontal="center" vertical="center" wrapText="1"/>
    </xf>
    <xf numFmtId="0" fontId="0" fillId="50" borderId="18" xfId="0" applyFill="1" applyBorder="1" applyAlignment="1">
      <alignment horizontal="center" vertical="center" wrapText="1"/>
    </xf>
    <xf numFmtId="0" fontId="0" fillId="50" borderId="15" xfId="0" applyFill="1" applyBorder="1" applyAlignment="1">
      <alignment horizontal="center" vertical="center" wrapText="1"/>
    </xf>
    <xf numFmtId="0" fontId="0" fillId="42" borderId="12" xfId="0" applyFill="1" applyBorder="1" applyAlignment="1">
      <alignment horizontal="center" vertical="center" wrapText="1"/>
    </xf>
    <xf numFmtId="0" fontId="0" fillId="42" borderId="33" xfId="0" applyFill="1" applyBorder="1" applyAlignment="1">
      <alignment horizontal="center" vertical="center" wrapText="1"/>
    </xf>
    <xf numFmtId="0" fontId="0" fillId="42" borderId="19" xfId="0" applyFill="1" applyBorder="1" applyAlignment="1">
      <alignment horizontal="center" vertical="center" wrapText="1"/>
    </xf>
    <xf numFmtId="0" fontId="0" fillId="42" borderId="17" xfId="0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0" fillId="43" borderId="34" xfId="0" applyFill="1" applyBorder="1" applyAlignment="1">
      <alignment horizont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43" borderId="15" xfId="0" applyFill="1" applyBorder="1" applyAlignment="1">
      <alignment horizontal="center" wrapText="1"/>
    </xf>
    <xf numFmtId="0" fontId="0" fillId="43" borderId="39" xfId="0" applyFill="1" applyBorder="1" applyAlignment="1">
      <alignment horizontal="center" wrapText="1"/>
    </xf>
    <xf numFmtId="0" fontId="0" fillId="6" borderId="21" xfId="0" applyFill="1" applyBorder="1" applyAlignment="1">
      <alignment horizontal="center" vertical="center" wrapText="1"/>
    </xf>
    <xf numFmtId="0" fontId="0" fillId="43" borderId="21" xfId="0" applyFill="1" applyBorder="1" applyAlignment="1">
      <alignment horizontal="center" wrapText="1"/>
    </xf>
    <xf numFmtId="0" fontId="0" fillId="43" borderId="25" xfId="0" applyFill="1" applyBorder="1" applyAlignment="1">
      <alignment horizont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44" borderId="34" xfId="0" applyFill="1" applyBorder="1" applyAlignment="1">
      <alignment horizontal="center" vertical="center" wrapText="1"/>
    </xf>
    <xf numFmtId="0" fontId="0" fillId="44" borderId="35" xfId="0" applyFill="1" applyBorder="1" applyAlignment="1">
      <alignment horizontal="center" vertical="center" wrapText="1"/>
    </xf>
    <xf numFmtId="0" fontId="0" fillId="44" borderId="18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44" borderId="0" xfId="0" applyFill="1" applyAlignment="1">
      <alignment horizontal="center" vertical="center" wrapText="1"/>
    </xf>
    <xf numFmtId="0" fontId="0" fillId="43" borderId="25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3" borderId="37" xfId="0" applyFill="1" applyBorder="1" applyAlignment="1">
      <alignment horizontal="center" wrapText="1"/>
    </xf>
    <xf numFmtId="0" fontId="0" fillId="43" borderId="12" xfId="0" applyFill="1" applyBorder="1" applyAlignment="1">
      <alignment horizontal="center" wrapText="1"/>
    </xf>
    <xf numFmtId="0" fontId="0" fillId="5" borderId="25" xfId="0" applyFill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 wrapText="1"/>
    </xf>
    <xf numFmtId="0" fontId="30" fillId="6" borderId="34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30" fillId="42" borderId="35" xfId="0" applyFont="1" applyFill="1" applyBorder="1" applyAlignment="1">
      <alignment horizontal="center" vertical="center" wrapText="1"/>
    </xf>
    <xf numFmtId="0" fontId="30" fillId="42" borderId="34" xfId="0" applyFont="1" applyFill="1" applyBorder="1" applyAlignment="1">
      <alignment horizontal="center" vertical="center" wrapText="1"/>
    </xf>
    <xf numFmtId="0" fontId="2" fillId="5" borderId="35" xfId="1" applyFill="1" applyBorder="1" applyAlignment="1">
      <alignment horizontal="center" vertical="center" wrapText="1"/>
    </xf>
    <xf numFmtId="0" fontId="2" fillId="5" borderId="18" xfId="1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/>
    </xf>
    <xf numFmtId="0" fontId="30" fillId="5" borderId="18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</xf>
    <xf numFmtId="0" fontId="2" fillId="6" borderId="34" xfId="1" applyFill="1" applyBorder="1" applyAlignment="1">
      <alignment horizontal="center" vertical="center" wrapText="1"/>
    </xf>
    <xf numFmtId="0" fontId="0" fillId="42" borderId="35" xfId="0" applyFill="1" applyBorder="1" applyAlignment="1">
      <alignment horizontal="center" vertical="center" wrapText="1"/>
    </xf>
    <xf numFmtId="0" fontId="0" fillId="42" borderId="18" xfId="0" applyFill="1" applyBorder="1" applyAlignment="1">
      <alignment horizontal="center" vertical="center" wrapText="1"/>
    </xf>
    <xf numFmtId="0" fontId="30" fillId="42" borderId="33" xfId="0" applyFont="1" applyFill="1" applyBorder="1" applyAlignment="1">
      <alignment horizontal="center" vertical="center" wrapText="1"/>
    </xf>
    <xf numFmtId="0" fontId="30" fillId="42" borderId="19" xfId="0" applyFont="1" applyFill="1" applyBorder="1" applyAlignment="1">
      <alignment horizontal="center" vertical="center" wrapText="1"/>
    </xf>
    <xf numFmtId="0" fontId="30" fillId="42" borderId="18" xfId="0" applyFont="1" applyFill="1" applyBorder="1" applyAlignment="1">
      <alignment horizontal="center" vertical="center" wrapText="1"/>
    </xf>
    <xf numFmtId="0" fontId="30" fillId="42" borderId="1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2" fillId="6" borderId="19" xfId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0" fontId="30" fillId="6" borderId="19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 wrapText="1"/>
    </xf>
    <xf numFmtId="0" fontId="2" fillId="42" borderId="35" xfId="1" applyFill="1" applyBorder="1" applyAlignment="1">
      <alignment horizontal="center" vertical="center" wrapText="1"/>
    </xf>
    <xf numFmtId="0" fontId="2" fillId="42" borderId="34" xfId="1" applyFill="1" applyBorder="1" applyAlignment="1">
      <alignment horizontal="center" vertical="center" wrapText="1"/>
    </xf>
    <xf numFmtId="0" fontId="30" fillId="42" borderId="35" xfId="0" applyFont="1" applyFill="1" applyBorder="1" applyAlignment="1">
      <alignment horizontal="center" vertical="center"/>
    </xf>
    <xf numFmtId="0" fontId="30" fillId="42" borderId="34" xfId="0" applyFont="1" applyFill="1" applyBorder="1" applyAlignment="1">
      <alignment horizontal="center" vertical="center"/>
    </xf>
    <xf numFmtId="0" fontId="30" fillId="42" borderId="18" xfId="0" applyFont="1" applyFill="1" applyBorder="1" applyAlignment="1">
      <alignment horizontal="center" vertical="center"/>
    </xf>
    <xf numFmtId="0" fontId="30" fillId="5" borderId="15" xfId="0" applyFont="1" applyFill="1" applyBorder="1" applyAlignment="1">
      <alignment horizontal="center" vertical="center" wrapText="1"/>
    </xf>
    <xf numFmtId="0" fontId="30" fillId="5" borderId="39" xfId="0" applyFont="1" applyFill="1" applyBorder="1" applyAlignment="1">
      <alignment horizontal="center" vertical="center" wrapText="1"/>
    </xf>
    <xf numFmtId="0" fontId="30" fillId="5" borderId="14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30" fillId="5" borderId="35" xfId="0" applyFont="1" applyFill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2" fillId="5" borderId="25" xfId="1" applyFill="1" applyBorder="1" applyAlignment="1">
      <alignment horizontal="center" vertical="center"/>
    </xf>
    <xf numFmtId="0" fontId="2" fillId="5" borderId="26" xfId="1" applyFill="1" applyBorder="1" applyAlignment="1">
      <alignment horizontal="center" vertical="center"/>
    </xf>
    <xf numFmtId="0" fontId="2" fillId="5" borderId="20" xfId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0" fillId="5" borderId="26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5" borderId="14" xfId="1" applyFont="1" applyFill="1" applyBorder="1" applyAlignment="1">
      <alignment horizontal="center" vertical="center"/>
    </xf>
    <xf numFmtId="0" fontId="0" fillId="5" borderId="0" xfId="1" applyFont="1" applyFill="1" applyBorder="1" applyAlignment="1">
      <alignment horizontal="center" vertical="center"/>
    </xf>
    <xf numFmtId="0" fontId="0" fillId="5" borderId="15" xfId="1" applyFont="1" applyFill="1" applyBorder="1" applyAlignment="1">
      <alignment horizontal="center" vertical="center"/>
    </xf>
    <xf numFmtId="0" fontId="0" fillId="5" borderId="39" xfId="1" applyFont="1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 wrapText="1"/>
    </xf>
    <xf numFmtId="0" fontId="0" fillId="6" borderId="53" xfId="0" applyFill="1" applyBorder="1" applyAlignment="1">
      <alignment horizontal="center" vertical="center" wrapText="1"/>
    </xf>
    <xf numFmtId="0" fontId="0" fillId="5" borderId="44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29" fillId="5" borderId="14" xfId="1" applyFont="1" applyFill="1" applyBorder="1" applyAlignment="1">
      <alignment horizontal="center" vertical="center" wrapText="1"/>
    </xf>
    <xf numFmtId="0" fontId="29" fillId="5" borderId="0" xfId="1" applyFont="1" applyFill="1" applyBorder="1" applyAlignment="1">
      <alignment horizontal="center" vertical="center" wrapText="1"/>
    </xf>
    <xf numFmtId="0" fontId="29" fillId="5" borderId="37" xfId="1" applyFont="1" applyFill="1" applyBorder="1" applyAlignment="1">
      <alignment horizontal="center" vertical="center" wrapText="1"/>
    </xf>
    <xf numFmtId="0" fontId="29" fillId="5" borderId="15" xfId="1" applyFont="1" applyFill="1" applyBorder="1" applyAlignment="1">
      <alignment horizontal="center" vertical="center" wrapText="1"/>
    </xf>
    <xf numFmtId="0" fontId="29" fillId="5" borderId="39" xfId="1" applyFont="1" applyFill="1" applyBorder="1" applyAlignment="1">
      <alignment horizontal="center" vertical="center" wrapText="1"/>
    </xf>
    <xf numFmtId="0" fontId="29" fillId="5" borderId="21" xfId="1" applyFont="1" applyFill="1" applyBorder="1" applyAlignment="1">
      <alignment horizontal="center" vertical="center" wrapText="1"/>
    </xf>
    <xf numFmtId="0" fontId="0" fillId="6" borderId="34" xfId="1" applyFont="1" applyFill="1" applyBorder="1" applyAlignment="1">
      <alignment horizontal="center" vertical="center"/>
    </xf>
    <xf numFmtId="0" fontId="0" fillId="6" borderId="18" xfId="1" applyFont="1" applyFill="1" applyBorder="1" applyAlignment="1">
      <alignment horizontal="center" vertical="center"/>
    </xf>
    <xf numFmtId="0" fontId="0" fillId="6" borderId="72" xfId="0" applyFill="1" applyBorder="1" applyAlignment="1">
      <alignment horizontal="center" vertical="center" wrapText="1"/>
    </xf>
    <xf numFmtId="0" fontId="2" fillId="8" borderId="12" xfId="1" applyFill="1" applyBorder="1" applyAlignment="1">
      <alignment horizontal="center" vertical="center"/>
    </xf>
    <xf numFmtId="0" fontId="5" fillId="9" borderId="35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 wrapText="1"/>
    </xf>
    <xf numFmtId="0" fontId="0" fillId="50" borderId="35" xfId="1" applyFont="1" applyFill="1" applyBorder="1" applyAlignment="1">
      <alignment horizontal="center" vertical="center" wrapText="1"/>
    </xf>
    <xf numFmtId="0" fontId="0" fillId="50" borderId="18" xfId="1" applyFont="1" applyFill="1" applyBorder="1" applyAlignment="1">
      <alignment horizontal="center" vertical="center" wrapText="1"/>
    </xf>
    <xf numFmtId="0" fontId="30" fillId="50" borderId="18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/>
    </xf>
    <xf numFmtId="0" fontId="2" fillId="50" borderId="15" xfId="1" applyFill="1" applyBorder="1" applyAlignment="1">
      <alignment horizontal="center" vertical="center" wrapText="1"/>
    </xf>
    <xf numFmtId="0" fontId="2" fillId="50" borderId="21" xfId="1" applyFill="1" applyBorder="1" applyAlignment="1">
      <alignment horizontal="center" vertical="center" wrapText="1"/>
    </xf>
    <xf numFmtId="0" fontId="30" fillId="50" borderId="15" xfId="0" applyFont="1" applyFill="1" applyBorder="1" applyAlignment="1">
      <alignment horizontal="center" vertical="center" wrapText="1"/>
    </xf>
    <xf numFmtId="0" fontId="30" fillId="50" borderId="39" xfId="0" applyFont="1" applyFill="1" applyBorder="1" applyAlignment="1">
      <alignment horizontal="center" vertical="center" wrapText="1"/>
    </xf>
    <xf numFmtId="0" fontId="30" fillId="50" borderId="21" xfId="0" applyFont="1" applyFill="1" applyBorder="1" applyAlignment="1">
      <alignment horizontal="center" vertical="center" wrapText="1"/>
    </xf>
    <xf numFmtId="0" fontId="30" fillId="50" borderId="15" xfId="0" applyFont="1" applyFill="1" applyBorder="1" applyAlignment="1">
      <alignment horizontal="center" vertical="center"/>
    </xf>
    <xf numFmtId="0" fontId="30" fillId="50" borderId="39" xfId="0" applyFont="1" applyFill="1" applyBorder="1" applyAlignment="1">
      <alignment horizontal="center" vertical="center"/>
    </xf>
    <xf numFmtId="0" fontId="30" fillId="50" borderId="14" xfId="0" applyFont="1" applyFill="1" applyBorder="1" applyAlignment="1">
      <alignment horizontal="center" vertical="center"/>
    </xf>
    <xf numFmtId="0" fontId="30" fillId="50" borderId="0" xfId="0" applyFont="1" applyFill="1" applyAlignment="1">
      <alignment horizontal="center" vertical="center"/>
    </xf>
    <xf numFmtId="0" fontId="30" fillId="50" borderId="37" xfId="0" applyFont="1" applyFill="1" applyBorder="1" applyAlignment="1">
      <alignment horizontal="center" vertical="center"/>
    </xf>
    <xf numFmtId="0" fontId="2" fillId="50" borderId="14" xfId="1" applyFill="1" applyBorder="1" applyAlignment="1">
      <alignment horizontal="center" vertical="center" wrapText="1"/>
    </xf>
    <xf numFmtId="0" fontId="2" fillId="50" borderId="0" xfId="1" applyFill="1" applyBorder="1" applyAlignment="1">
      <alignment horizontal="center" vertical="center" wrapText="1"/>
    </xf>
    <xf numFmtId="0" fontId="0" fillId="50" borderId="34" xfId="1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/>
    </xf>
    <xf numFmtId="0" fontId="30" fillId="6" borderId="18" xfId="0" applyFont="1" applyFill="1" applyBorder="1" applyAlignment="1">
      <alignment horizontal="center" vertical="center" wrapText="1"/>
    </xf>
    <xf numFmtId="0" fontId="0" fillId="6" borderId="35" xfId="1" applyFont="1" applyFill="1" applyBorder="1" applyAlignment="1">
      <alignment horizontal="center" vertical="center" wrapText="1"/>
    </xf>
    <xf numFmtId="0" fontId="0" fillId="6" borderId="18" xfId="1" applyFont="1" applyFill="1" applyBorder="1" applyAlignment="1">
      <alignment horizontal="center" vertical="center" wrapText="1"/>
    </xf>
    <xf numFmtId="0" fontId="30" fillId="6" borderId="34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44" borderId="20" xfId="0" applyFill="1" applyBorder="1" applyAlignment="1">
      <alignment horizontal="left" vertical="center"/>
    </xf>
    <xf numFmtId="0" fontId="0" fillId="44" borderId="15" xfId="0" applyFill="1" applyBorder="1" applyAlignment="1">
      <alignment horizontal="left" vertical="center"/>
    </xf>
    <xf numFmtId="0" fontId="0" fillId="44" borderId="14" xfId="0" applyFill="1" applyBorder="1" applyAlignment="1">
      <alignment horizontal="center" vertical="center" wrapText="1"/>
    </xf>
    <xf numFmtId="0" fontId="0" fillId="44" borderId="37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44" borderId="25" xfId="0" applyFill="1" applyBorder="1" applyAlignment="1">
      <alignment horizontal="left" vertical="center"/>
    </xf>
    <xf numFmtId="0" fontId="0" fillId="44" borderId="35" xfId="0" applyFill="1" applyBorder="1" applyAlignment="1">
      <alignment horizontal="left" vertical="center"/>
    </xf>
    <xf numFmtId="0" fontId="0" fillId="45" borderId="39" xfId="0" applyFill="1" applyBorder="1" applyAlignment="1">
      <alignment horizontal="center" vertical="center" wrapText="1"/>
    </xf>
    <xf numFmtId="0" fontId="0" fillId="45" borderId="21" xfId="0" applyFill="1" applyBorder="1" applyAlignment="1">
      <alignment horizontal="center" vertical="center" wrapText="1"/>
    </xf>
    <xf numFmtId="0" fontId="0" fillId="45" borderId="0" xfId="0" applyFill="1" applyAlignment="1">
      <alignment horizontal="center" vertical="center" wrapText="1"/>
    </xf>
    <xf numFmtId="0" fontId="0" fillId="45" borderId="37" xfId="0" applyFill="1" applyBorder="1" applyAlignment="1">
      <alignment horizontal="center" vertical="center" wrapText="1"/>
    </xf>
    <xf numFmtId="0" fontId="6" fillId="43" borderId="33" xfId="0" applyFont="1" applyFill="1" applyBorder="1" applyAlignment="1">
      <alignment horizontal="center" vertical="center" wrapText="1"/>
    </xf>
    <xf numFmtId="0" fontId="6" fillId="43" borderId="19" xfId="0" applyFont="1" applyFill="1" applyBorder="1" applyAlignment="1">
      <alignment horizontal="center" vertical="center" wrapText="1"/>
    </xf>
    <xf numFmtId="0" fontId="6" fillId="43" borderId="17" xfId="0" applyFont="1" applyFill="1" applyBorder="1" applyAlignment="1">
      <alignment horizontal="center" vertical="center" wrapText="1"/>
    </xf>
    <xf numFmtId="0" fontId="0" fillId="45" borderId="19" xfId="0" applyFill="1" applyBorder="1" applyAlignment="1">
      <alignment horizontal="center" vertical="center" wrapText="1"/>
    </xf>
    <xf numFmtId="0" fontId="0" fillId="45" borderId="33" xfId="0" applyFill="1" applyBorder="1" applyAlignment="1">
      <alignment horizontal="center" vertical="center" wrapText="1"/>
    </xf>
    <xf numFmtId="0" fontId="0" fillId="42" borderId="25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43" borderId="20" xfId="0" applyFill="1" applyBorder="1" applyAlignment="1">
      <alignment horizontal="center" vertical="center" wrapText="1"/>
    </xf>
    <xf numFmtId="0" fontId="17" fillId="43" borderId="35" xfId="0" applyFont="1" applyFill="1" applyBorder="1" applyAlignment="1">
      <alignment horizontal="center" vertical="center" wrapText="1"/>
    </xf>
    <xf numFmtId="0" fontId="17" fillId="43" borderId="34" xfId="0" applyFont="1" applyFill="1" applyBorder="1" applyAlignment="1">
      <alignment horizontal="center" vertical="center" wrapText="1"/>
    </xf>
    <xf numFmtId="0" fontId="17" fillId="43" borderId="18" xfId="0" applyFont="1" applyFill="1" applyBorder="1" applyAlignment="1">
      <alignment horizontal="center" vertical="center" wrapText="1"/>
    </xf>
    <xf numFmtId="0" fontId="0" fillId="42" borderId="21" xfId="0" applyFill="1" applyBorder="1" applyAlignment="1">
      <alignment horizontal="center" vertical="center" wrapText="1"/>
    </xf>
    <xf numFmtId="0" fontId="0" fillId="49" borderId="0" xfId="0" applyFill="1" applyAlignment="1">
      <alignment horizontal="center" vertical="center" wrapText="1"/>
    </xf>
    <xf numFmtId="0" fontId="0" fillId="49" borderId="14" xfId="0" applyFill="1" applyBorder="1" applyAlignment="1">
      <alignment horizontal="center" vertical="center" wrapText="1"/>
    </xf>
    <xf numFmtId="0" fontId="0" fillId="49" borderId="39" xfId="0" applyFill="1" applyBorder="1" applyAlignment="1">
      <alignment horizontal="center" vertical="center" wrapText="1"/>
    </xf>
    <xf numFmtId="0" fontId="0" fillId="49" borderId="19" xfId="0" applyFill="1" applyBorder="1" applyAlignment="1">
      <alignment horizontal="center" vertical="center" wrapText="1"/>
    </xf>
    <xf numFmtId="0" fontId="0" fillId="49" borderId="3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2" fillId="2" borderId="15" xfId="1" applyFill="1" applyBorder="1" applyAlignment="1">
      <alignment horizontal="center" vertical="center" wrapText="1"/>
    </xf>
    <xf numFmtId="0" fontId="2" fillId="2" borderId="21" xfId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30" fillId="2" borderId="39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/>
    </xf>
    <xf numFmtId="0" fontId="30" fillId="2" borderId="39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29" fillId="2" borderId="35" xfId="1" applyFont="1" applyFill="1" applyBorder="1" applyAlignment="1">
      <alignment horizontal="center" vertical="center" wrapText="1"/>
    </xf>
    <xf numFmtId="0" fontId="2" fillId="2" borderId="18" xfId="1" applyFill="1" applyBorder="1" applyAlignment="1">
      <alignment horizontal="center" vertical="center" wrapText="1"/>
    </xf>
    <xf numFmtId="0" fontId="30" fillId="2" borderId="35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74" xfId="0" applyFont="1" applyFill="1" applyBorder="1" applyAlignment="1">
      <alignment horizontal="center" vertical="center" wrapText="1"/>
    </xf>
    <xf numFmtId="0" fontId="30" fillId="2" borderId="75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/>
    </xf>
    <xf numFmtId="0" fontId="29" fillId="5" borderId="35" xfId="1" applyFont="1" applyFill="1" applyBorder="1" applyAlignment="1">
      <alignment horizontal="center" vertical="center" wrapText="1"/>
    </xf>
    <xf numFmtId="0" fontId="30" fillId="5" borderId="74" xfId="0" applyFont="1" applyFill="1" applyBorder="1" applyAlignment="1">
      <alignment horizontal="center" vertical="center" wrapText="1"/>
    </xf>
    <xf numFmtId="0" fontId="30" fillId="5" borderId="75" xfId="0" applyFont="1" applyFill="1" applyBorder="1" applyAlignment="1">
      <alignment horizontal="center" vertical="center" wrapText="1"/>
    </xf>
    <xf numFmtId="0" fontId="2" fillId="5" borderId="15" xfId="1" applyFill="1" applyBorder="1" applyAlignment="1">
      <alignment horizontal="center" vertical="center" wrapText="1"/>
    </xf>
    <xf numFmtId="0" fontId="2" fillId="5" borderId="21" xfId="1" applyFill="1" applyBorder="1" applyAlignment="1">
      <alignment horizontal="center" vertical="center" wrapText="1"/>
    </xf>
    <xf numFmtId="0" fontId="30" fillId="5" borderId="21" xfId="0" applyFont="1" applyFill="1" applyBorder="1" applyAlignment="1">
      <alignment horizontal="center" vertical="center" wrapText="1"/>
    </xf>
    <xf numFmtId="0" fontId="30" fillId="5" borderId="15" xfId="0" applyFont="1" applyFill="1" applyBorder="1" applyAlignment="1">
      <alignment horizontal="center" vertical="center"/>
    </xf>
    <xf numFmtId="0" fontId="30" fillId="5" borderId="39" xfId="0" applyFont="1" applyFill="1" applyBorder="1" applyAlignment="1">
      <alignment horizontal="center" vertical="center"/>
    </xf>
    <xf numFmtId="0" fontId="30" fillId="5" borderId="21" xfId="0" applyFont="1" applyFill="1" applyBorder="1" applyAlignment="1">
      <alignment horizontal="center" vertical="center"/>
    </xf>
    <xf numFmtId="0" fontId="30" fillId="50" borderId="35" xfId="1" applyFont="1" applyFill="1" applyBorder="1" applyAlignment="1">
      <alignment horizontal="center" vertical="center" wrapText="1"/>
    </xf>
    <xf numFmtId="0" fontId="2" fillId="50" borderId="18" xfId="1" applyFill="1" applyBorder="1" applyAlignment="1">
      <alignment horizontal="center" vertical="center" wrapText="1"/>
    </xf>
    <xf numFmtId="0" fontId="30" fillId="6" borderId="34" xfId="1" applyFont="1" applyFill="1" applyBorder="1" applyAlignment="1">
      <alignment horizontal="center" vertical="center" wrapText="1"/>
    </xf>
    <xf numFmtId="0" fontId="2" fillId="6" borderId="18" xfId="1" applyFill="1" applyBorder="1" applyAlignment="1">
      <alignment horizontal="center" vertical="center" wrapText="1"/>
    </xf>
    <xf numFmtId="0" fontId="30" fillId="6" borderId="18" xfId="0" applyFont="1" applyFill="1" applyBorder="1" applyAlignment="1">
      <alignment horizontal="center" vertical="center"/>
    </xf>
    <xf numFmtId="0" fontId="4" fillId="6" borderId="84" xfId="0" applyFont="1" applyFill="1" applyBorder="1" applyAlignment="1">
      <alignment horizontal="left" vertical="center"/>
    </xf>
    <xf numFmtId="0" fontId="4" fillId="6" borderId="83" xfId="0" applyFont="1" applyFill="1" applyBorder="1" applyAlignment="1">
      <alignment horizontal="left" vertical="center"/>
    </xf>
    <xf numFmtId="0" fontId="4" fillId="6" borderId="86" xfId="0" applyFont="1" applyFill="1" applyBorder="1" applyAlignment="1">
      <alignment horizontal="left" vertical="center" wrapText="1"/>
    </xf>
    <xf numFmtId="0" fontId="0" fillId="50" borderId="21" xfId="0" applyFill="1" applyBorder="1" applyAlignment="1">
      <alignment horizontal="center" vertical="center" wrapText="1"/>
    </xf>
    <xf numFmtId="0" fontId="0" fillId="42" borderId="35" xfId="0" applyFill="1" applyBorder="1" applyAlignment="1">
      <alignment horizontal="center" vertical="center"/>
    </xf>
    <xf numFmtId="0" fontId="0" fillId="42" borderId="18" xfId="0" applyFill="1" applyBorder="1" applyAlignment="1">
      <alignment horizontal="center" vertical="center"/>
    </xf>
    <xf numFmtId="0" fontId="0" fillId="42" borderId="37" xfId="0" applyFill="1" applyBorder="1" applyAlignment="1">
      <alignment horizontal="center" vertical="center" wrapText="1"/>
    </xf>
    <xf numFmtId="0" fontId="0" fillId="3" borderId="34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39" xfId="0" applyFill="1" applyBorder="1" applyAlignment="1">
      <alignment vertical="center" wrapText="1"/>
    </xf>
    <xf numFmtId="0" fontId="0" fillId="3" borderId="21" xfId="0" applyFill="1" applyBorder="1" applyAlignment="1">
      <alignment vertical="center" wrapText="1"/>
    </xf>
    <xf numFmtId="0" fontId="2" fillId="3" borderId="25" xfId="1" applyFill="1" applyBorder="1" applyAlignment="1">
      <alignment vertical="center" wrapText="1"/>
    </xf>
    <xf numFmtId="0" fontId="2" fillId="3" borderId="20" xfId="1" applyFill="1" applyBorder="1" applyAlignment="1">
      <alignment vertical="center" wrapText="1"/>
    </xf>
    <xf numFmtId="0" fontId="0" fillId="6" borderId="35" xfId="0" applyFill="1" applyBorder="1" applyAlignment="1">
      <alignment vertical="center" wrapText="1"/>
    </xf>
    <xf numFmtId="0" fontId="0" fillId="6" borderId="34" xfId="0" applyFill="1" applyBorder="1" applyAlignment="1">
      <alignment vertical="center" wrapText="1"/>
    </xf>
    <xf numFmtId="0" fontId="0" fillId="6" borderId="18" xfId="0" applyFill="1" applyBorder="1" applyAlignment="1">
      <alignment vertical="center" wrapText="1"/>
    </xf>
    <xf numFmtId="0" fontId="0" fillId="43" borderId="12" xfId="0" applyFill="1" applyBorder="1" applyAlignment="1">
      <alignment vertical="center" wrapText="1"/>
    </xf>
    <xf numFmtId="0" fontId="0" fillId="43" borderId="33" xfId="0" applyFill="1" applyBorder="1" applyAlignment="1">
      <alignment vertical="center" wrapText="1"/>
    </xf>
    <xf numFmtId="0" fontId="0" fillId="6" borderId="33" xfId="0" applyFill="1" applyBorder="1" applyAlignment="1">
      <alignment vertical="center" wrapText="1"/>
    </xf>
    <xf numFmtId="0" fontId="0" fillId="6" borderId="19" xfId="0" applyFill="1" applyBorder="1" applyAlignment="1">
      <alignment vertical="center" wrapText="1"/>
    </xf>
    <xf numFmtId="0" fontId="0" fillId="6" borderId="17" xfId="0" applyFill="1" applyBorder="1" applyAlignment="1">
      <alignment vertical="center" wrapText="1"/>
    </xf>
    <xf numFmtId="0" fontId="0" fillId="43" borderId="17" xfId="0" applyFill="1" applyBorder="1" applyAlignment="1">
      <alignment vertical="center" wrapText="1"/>
    </xf>
    <xf numFmtId="0" fontId="0" fillId="6" borderId="15" xfId="0" applyFill="1" applyBorder="1" applyAlignment="1">
      <alignment vertical="center" wrapText="1"/>
    </xf>
    <xf numFmtId="0" fontId="0" fillId="6" borderId="39" xfId="0" applyFill="1" applyBorder="1" applyAlignment="1">
      <alignment vertical="center" wrapText="1"/>
    </xf>
    <xf numFmtId="0" fontId="0" fillId="6" borderId="21" xfId="0" applyFill="1" applyBorder="1" applyAlignment="1">
      <alignment vertical="center" wrapText="1"/>
    </xf>
    <xf numFmtId="0" fontId="0" fillId="6" borderId="15" xfId="0" applyFill="1" applyBorder="1" applyAlignment="1">
      <alignment vertical="center"/>
    </xf>
    <xf numFmtId="0" fontId="0" fillId="6" borderId="39" xfId="0" applyFill="1" applyBorder="1" applyAlignment="1">
      <alignment vertical="center"/>
    </xf>
    <xf numFmtId="0" fontId="0" fillId="6" borderId="21" xfId="0" applyFill="1" applyBorder="1" applyAlignment="1">
      <alignment vertical="center"/>
    </xf>
    <xf numFmtId="0" fontId="0" fillId="43" borderId="25" xfId="0" applyFill="1" applyBorder="1" applyAlignment="1">
      <alignment vertical="center" wrapText="1"/>
    </xf>
    <xf numFmtId="0" fontId="0" fillId="43" borderId="35" xfId="0" applyFill="1" applyBorder="1" applyAlignment="1">
      <alignment vertical="center" wrapText="1"/>
    </xf>
    <xf numFmtId="0" fontId="0" fillId="5" borderId="33" xfId="0" applyFill="1" applyBorder="1" applyAlignment="1">
      <alignment vertical="center" wrapText="1"/>
    </xf>
    <xf numFmtId="0" fontId="0" fillId="5" borderId="19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42" borderId="12" xfId="0" applyFill="1" applyBorder="1" applyAlignment="1">
      <alignment vertical="center" wrapText="1"/>
    </xf>
    <xf numFmtId="0" fontId="0" fillId="42" borderId="33" xfId="0" applyFill="1" applyBorder="1" applyAlignment="1">
      <alignment vertical="center" wrapText="1"/>
    </xf>
    <xf numFmtId="0" fontId="0" fillId="5" borderId="35" xfId="0" applyFill="1" applyBorder="1" applyAlignment="1">
      <alignment vertical="center" wrapText="1"/>
    </xf>
    <xf numFmtId="0" fontId="0" fillId="5" borderId="34" xfId="0" applyFill="1" applyBorder="1" applyAlignment="1">
      <alignment vertical="center" wrapText="1"/>
    </xf>
    <xf numFmtId="0" fontId="0" fillId="42" borderId="25" xfId="0" applyFill="1" applyBorder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0" borderId="14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0" fillId="45" borderId="39" xfId="0" applyFill="1" applyBorder="1" applyAlignment="1">
      <alignment vertical="center" wrapText="1"/>
    </xf>
    <xf numFmtId="0" fontId="0" fillId="45" borderId="21" xfId="0" applyFill="1" applyBorder="1" applyAlignment="1">
      <alignment vertical="center" wrapText="1"/>
    </xf>
    <xf numFmtId="0" fontId="0" fillId="45" borderId="0" xfId="0" applyFill="1" applyAlignment="1">
      <alignment vertical="center" wrapText="1"/>
    </xf>
    <xf numFmtId="0" fontId="0" fillId="45" borderId="37" xfId="0" applyFill="1" applyBorder="1" applyAlignment="1">
      <alignment vertical="center" wrapText="1"/>
    </xf>
    <xf numFmtId="0" fontId="0" fillId="45" borderId="19" xfId="0" applyFill="1" applyBorder="1" applyAlignment="1">
      <alignment vertical="center" wrapText="1"/>
    </xf>
    <xf numFmtId="0" fontId="0" fillId="45" borderId="33" xfId="0" applyFill="1" applyBorder="1" applyAlignment="1">
      <alignment vertical="center" wrapText="1"/>
    </xf>
    <xf numFmtId="0" fontId="0" fillId="45" borderId="17" xfId="0" applyFill="1" applyBorder="1" applyAlignment="1">
      <alignment vertical="center" wrapText="1"/>
    </xf>
    <xf numFmtId="0" fontId="0" fillId="44" borderId="35" xfId="0" applyFill="1" applyBorder="1" applyAlignment="1">
      <alignment vertical="center" wrapText="1"/>
    </xf>
    <xf numFmtId="0" fontId="0" fillId="44" borderId="34" xfId="0" applyFill="1" applyBorder="1" applyAlignment="1">
      <alignment vertical="center" wrapText="1"/>
    </xf>
    <xf numFmtId="0" fontId="0" fillId="7" borderId="35" xfId="0" applyFill="1" applyBorder="1" applyAlignment="1">
      <alignment vertical="center" wrapText="1"/>
    </xf>
    <xf numFmtId="0" fontId="0" fillId="7" borderId="18" xfId="0" applyFill="1" applyBorder="1" applyAlignment="1">
      <alignment vertical="center" wrapText="1"/>
    </xf>
    <xf numFmtId="0" fontId="0" fillId="7" borderId="14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34" xfId="0" applyFill="1" applyBorder="1" applyAlignment="1">
      <alignment vertical="center" wrapText="1"/>
    </xf>
    <xf numFmtId="0" fontId="0" fillId="7" borderId="37" xfId="0" applyFill="1" applyBorder="1" applyAlignment="1">
      <alignment vertical="center" wrapText="1"/>
    </xf>
    <xf numFmtId="0" fontId="0" fillId="44" borderId="0" xfId="0" applyFill="1" applyAlignment="1">
      <alignment vertical="center" wrapText="1"/>
    </xf>
    <xf numFmtId="0" fontId="0" fillId="44" borderId="14" xfId="0" applyFill="1" applyBorder="1" applyAlignment="1">
      <alignment vertical="center" wrapText="1"/>
    </xf>
    <xf numFmtId="0" fontId="0" fillId="44" borderId="37" xfId="0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5" xfId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2" fillId="5" borderId="5" xfId="1" applyFill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2" fillId="3" borderId="5" xfId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0" borderId="10" xfId="1" applyFill="1" applyBorder="1" applyAlignment="1">
      <alignment horizontal="left" vertical="center"/>
    </xf>
    <xf numFmtId="0" fontId="2" fillId="10" borderId="1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DDEBF7"/>
      <color rgb="FFFF99FF"/>
      <color rgb="FF8EA9DB"/>
      <color rgb="FFFFF2CC"/>
      <color rgb="FFFCE4D6"/>
      <color rgb="FFFFE699"/>
      <color rgb="FFE2EFDA"/>
      <color rgb="FFDAF2D0"/>
      <color rgb="FFFCE1E1"/>
      <color rgb="FF4C94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628650</xdr:colOff>
      <xdr:row>8</xdr:row>
      <xdr:rowOff>180975</xdr:rowOff>
    </xdr:from>
    <xdr:to>
      <xdr:col>32</xdr:col>
      <xdr:colOff>552450</xdr:colOff>
      <xdr:row>88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18945F-DD53-0846-44AC-D56A51A1B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704975"/>
          <a:ext cx="22021800" cy="15182850"/>
        </a:xfrm>
        <a:prstGeom prst="rect">
          <a:avLst/>
        </a:prstGeom>
      </xdr:spPr>
    </xdr:pic>
    <xdr:clientData/>
  </xdr:twoCellAnchor>
  <xdr:twoCellAnchor editAs="oneCell">
    <xdr:from>
      <xdr:col>0</xdr:col>
      <xdr:colOff>-4429125</xdr:colOff>
      <xdr:row>6</xdr:row>
      <xdr:rowOff>104775</xdr:rowOff>
    </xdr:from>
    <xdr:to>
      <xdr:col>0</xdr:col>
      <xdr:colOff>-4429125</xdr:colOff>
      <xdr:row>6</xdr:row>
      <xdr:rowOff>104775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FDFBCF-91A1-4E8C-AFAB-CB2844535410}"/>
            </a:ext>
            <a:ext uri="{147F2762-F138-4A5C-976F-8EAC2B608ADB}">
              <a16:predDERef xmlns:a16="http://schemas.microsoft.com/office/drawing/2014/main" pred="{3C18945F-DD53-0846-44AC-D56A51A1B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4429125" y="1247775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152400</xdr:colOff>
      <xdr:row>150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F30F08-0CF8-B82F-546F-18274F20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0" cy="2862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2515D8-4918-4B68-8DC2-DFE77E7EDCAF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o9ztHigrTqh-fyudqCd1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ominio.com" TargetMode="External"/><Relationship Id="rId1" Type="http://schemas.openxmlformats.org/officeDocument/2006/relationships/hyperlink" Target="mailto:usuario@dominio.com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mailto:negro@outlook.com" TargetMode="External"/><Relationship Id="rId2" Type="http://schemas.openxmlformats.org/officeDocument/2006/relationships/hyperlink" Target="mailto:felipo@gmail.com" TargetMode="External"/><Relationship Id="rId1" Type="http://schemas.openxmlformats.org/officeDocument/2006/relationships/hyperlink" Target="mailto:farid@gmail.com" TargetMode="External"/><Relationship Id="rId4" Type="http://schemas.openxmlformats.org/officeDocument/2006/relationships/hyperlink" Target="mailto:susa@gmail.com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mailto:x@x.x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Relationship Id="rId2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Relationship Id="rId1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Relationship Id="rId5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Relationship Id="rId4" Type="http://schemas.openxmlformats.org/officeDocument/2006/relationships/hyperlink" Target="https://excel.officeapps.live.com/x/_layouts/xlviewerinternal.aspx?unified=1&amp;ui=es-MX&amp;rs=ES-AR&amp;hid=qoSKHeQ99kO5sGBZIYbsHw.0.10.0&amp;wopisrc=https%3A%2F%2Fwopi.onedrive.com%2Fwopi%2Ffiles%2FC06FC02B1CF186BD!586929&amp;wdorigin=OFFICECOM-WEB.START.EDGEWORTH&amp;wdprevioussessionsrc=HarmonyWeb&amp;wdprevioussession=caee6f17-863a-431d-bb5a-50fd123236c3&amp;wdo=2&amp;wde=xlsx&amp;sc=host%3D%26qt%3DDefault&amp;mscc=1&amp;wdp=0&amp;uih=onedrivecom&amp;jsapi=1&amp;jsapiver=v2&amp;corrid=e85abf1b-61a6-4b52-9cea-c3a3a75eea6a&amp;usid=e85abf1b-61a6-4b52-9cea-c3a3a75eea6a&amp;newsession=1&amp;sftc=1&amp;uihit=editaspx&amp;muv=1&amp;cac=1&amp;sams=1&amp;mtf=1&amp;sfp=1&amp;sdp=1&amp;hch=1&amp;hwfh=1&amp;dchat=1&amp;wdredirectionreason=Force_SingleStepBoot&amp;xlel=1&amp;instantedit=1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hyperlink" Target="mailto:mateo@outlook.com" TargetMode="External"/><Relationship Id="rId2" Type="http://schemas.openxmlformats.org/officeDocument/2006/relationships/hyperlink" Target="mailto:joha321@gmail.com" TargetMode="External"/><Relationship Id="rId1" Type="http://schemas.openxmlformats.org/officeDocument/2006/relationships/hyperlink" Target="mailto:estebanpoly.e.a@gmail.com" TargetMode="External"/><Relationship Id="rId4" Type="http://schemas.openxmlformats.org/officeDocument/2006/relationships/hyperlink" Target="mailto:susa@gmail.com" TargetMode="Externa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hyperlink" Target="mailto:x@x.x" TargetMode="Externa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topLeftCell="N36" zoomScale="85" zoomScaleNormal="85" workbookViewId="0">
      <selection activeCell="BJ49" sqref="BJ49"/>
    </sheetView>
  </sheetViews>
  <sheetFormatPr defaultColWidth="11.42578125" defaultRowHeight="15"/>
  <cols>
    <col min="1" max="16384" width="11.42578125" style="3"/>
  </cols>
  <sheetData>
    <row r="1" spans="1:1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E33"/>
  <sheetViews>
    <sheetView zoomScaleNormal="100" workbookViewId="0">
      <pane xSplit="1" topLeftCell="B1" activePane="topRight" state="frozen"/>
      <selection pane="topRight" activeCell="A33" sqref="A33"/>
    </sheetView>
  </sheetViews>
  <sheetFormatPr defaultColWidth="11.42578125" defaultRowHeight="15"/>
  <cols>
    <col min="1" max="1" width="36.7109375" style="1" customWidth="1"/>
    <col min="2" max="2" width="104.7109375" style="1" bestFit="1" customWidth="1"/>
    <col min="3" max="3" width="11.42578125" style="1"/>
    <col min="4" max="4" width="15" style="1" bestFit="1" customWidth="1"/>
    <col min="5" max="5" width="55.85546875" style="1" bestFit="1" customWidth="1"/>
    <col min="6" max="16384" width="11.42578125" style="1"/>
  </cols>
  <sheetData>
    <row r="1" spans="1:5">
      <c r="A1" s="233" t="s">
        <v>0</v>
      </c>
      <c r="B1" s="239"/>
      <c r="C1" s="273"/>
      <c r="D1" s="273"/>
    </row>
    <row r="2" spans="1:5">
      <c r="A2" s="234" t="s">
        <v>1</v>
      </c>
      <c r="B2" s="238" t="s">
        <v>2</v>
      </c>
      <c r="C2" s="234" t="s">
        <v>3</v>
      </c>
      <c r="D2" s="234" t="s">
        <v>4</v>
      </c>
    </row>
    <row r="3" spans="1:5">
      <c r="A3" s="58" t="s">
        <v>5</v>
      </c>
      <c r="B3" s="271" t="s">
        <v>6</v>
      </c>
      <c r="C3" s="235" t="s">
        <v>7</v>
      </c>
      <c r="D3" s="235" t="s">
        <v>7</v>
      </c>
      <c r="E3" s="1">
        <v>1</v>
      </c>
    </row>
    <row r="4" spans="1:5">
      <c r="A4" s="58" t="s">
        <v>8</v>
      </c>
      <c r="B4" s="271" t="s">
        <v>9</v>
      </c>
      <c r="C4" s="235" t="s">
        <v>7</v>
      </c>
      <c r="D4" s="235" t="s">
        <v>7</v>
      </c>
      <c r="E4" s="1">
        <v>2</v>
      </c>
    </row>
    <row r="5" spans="1:5">
      <c r="A5" s="58" t="s">
        <v>10</v>
      </c>
      <c r="B5" s="271" t="s">
        <v>11</v>
      </c>
      <c r="C5" s="235" t="s">
        <v>7</v>
      </c>
      <c r="D5" s="235" t="s">
        <v>7</v>
      </c>
      <c r="E5" s="1">
        <v>3</v>
      </c>
    </row>
    <row r="6" spans="1:5">
      <c r="A6" s="58" t="s">
        <v>12</v>
      </c>
      <c r="B6" s="271" t="s">
        <v>13</v>
      </c>
      <c r="C6" s="235" t="s">
        <v>7</v>
      </c>
      <c r="D6" s="235" t="s">
        <v>7</v>
      </c>
      <c r="E6" s="1">
        <v>4</v>
      </c>
    </row>
    <row r="7" spans="1:5">
      <c r="A7" s="58" t="s">
        <v>14</v>
      </c>
      <c r="B7" s="271" t="s">
        <v>15</v>
      </c>
      <c r="C7" s="235" t="s">
        <v>7</v>
      </c>
      <c r="D7" s="235" t="s">
        <v>7</v>
      </c>
      <c r="E7" s="1">
        <v>5</v>
      </c>
    </row>
    <row r="8" spans="1:5">
      <c r="A8" s="58" t="s">
        <v>16</v>
      </c>
      <c r="B8" s="271" t="s">
        <v>17</v>
      </c>
      <c r="C8" s="235" t="s">
        <v>7</v>
      </c>
      <c r="D8" s="235" t="s">
        <v>7</v>
      </c>
      <c r="E8" s="1">
        <v>6</v>
      </c>
    </row>
    <row r="9" spans="1:5">
      <c r="A9" s="58" t="s">
        <v>18</v>
      </c>
      <c r="B9" s="271" t="s">
        <v>19</v>
      </c>
      <c r="C9" s="235" t="s">
        <v>7</v>
      </c>
      <c r="D9" s="235" t="s">
        <v>7</v>
      </c>
      <c r="E9" s="1">
        <v>7</v>
      </c>
    </row>
    <row r="10" spans="1:5">
      <c r="A10" s="58" t="s">
        <v>20</v>
      </c>
      <c r="B10" s="271" t="s">
        <v>21</v>
      </c>
      <c r="C10" s="235" t="s">
        <v>7</v>
      </c>
      <c r="D10" s="235" t="s">
        <v>7</v>
      </c>
      <c r="E10" s="1">
        <v>8</v>
      </c>
    </row>
    <row r="11" spans="1:5">
      <c r="A11" s="58" t="s">
        <v>22</v>
      </c>
      <c r="B11" s="271" t="s">
        <v>23</v>
      </c>
      <c r="C11" s="235" t="s">
        <v>7</v>
      </c>
      <c r="D11" s="235" t="s">
        <v>7</v>
      </c>
      <c r="E11" s="1">
        <v>9</v>
      </c>
    </row>
    <row r="12" spans="1:5">
      <c r="A12" s="58" t="s">
        <v>24</v>
      </c>
      <c r="B12" s="271" t="s">
        <v>25</v>
      </c>
      <c r="C12" s="235" t="s">
        <v>7</v>
      </c>
      <c r="D12" s="235" t="s">
        <v>7</v>
      </c>
      <c r="E12" s="1">
        <v>10</v>
      </c>
    </row>
    <row r="13" spans="1:5">
      <c r="A13" s="58" t="s">
        <v>26</v>
      </c>
      <c r="B13" s="271" t="s">
        <v>27</v>
      </c>
      <c r="C13" s="235" t="s">
        <v>7</v>
      </c>
      <c r="D13" s="235" t="s">
        <v>7</v>
      </c>
      <c r="E13" s="1">
        <v>11</v>
      </c>
    </row>
    <row r="14" spans="1:5">
      <c r="A14" s="58" t="s">
        <v>28</v>
      </c>
      <c r="B14" s="271" t="s">
        <v>29</v>
      </c>
      <c r="C14" s="235" t="s">
        <v>7</v>
      </c>
      <c r="D14" s="235" t="s">
        <v>7</v>
      </c>
      <c r="E14" s="1">
        <v>12</v>
      </c>
    </row>
    <row r="15" spans="1:5">
      <c r="A15" s="58" t="s">
        <v>30</v>
      </c>
      <c r="B15" s="271" t="s">
        <v>31</v>
      </c>
      <c r="C15" s="235" t="s">
        <v>7</v>
      </c>
      <c r="D15" s="235" t="s">
        <v>7</v>
      </c>
      <c r="E15" s="1">
        <v>13</v>
      </c>
    </row>
    <row r="16" spans="1:5">
      <c r="A16" s="58" t="s">
        <v>32</v>
      </c>
      <c r="B16" s="271" t="s">
        <v>33</v>
      </c>
      <c r="C16" s="235" t="s">
        <v>7</v>
      </c>
      <c r="D16" s="235" t="s">
        <v>7</v>
      </c>
      <c r="E16" s="1">
        <v>14</v>
      </c>
    </row>
    <row r="17" spans="1:5">
      <c r="A17" s="58" t="s">
        <v>34</v>
      </c>
      <c r="B17" s="271" t="s">
        <v>35</v>
      </c>
      <c r="C17" s="235" t="s">
        <v>7</v>
      </c>
      <c r="D17" s="235" t="s">
        <v>7</v>
      </c>
      <c r="E17" s="1">
        <v>15</v>
      </c>
    </row>
    <row r="18" spans="1:5">
      <c r="A18" s="58" t="s">
        <v>36</v>
      </c>
      <c r="B18" s="271" t="s">
        <v>37</v>
      </c>
      <c r="C18" s="235" t="s">
        <v>7</v>
      </c>
      <c r="D18" s="235" t="s">
        <v>7</v>
      </c>
      <c r="E18" s="1">
        <v>16</v>
      </c>
    </row>
    <row r="19" spans="1:5">
      <c r="A19" s="58" t="s">
        <v>38</v>
      </c>
      <c r="B19" s="271" t="s">
        <v>39</v>
      </c>
      <c r="C19" s="235" t="s">
        <v>7</v>
      </c>
      <c r="D19" s="235" t="s">
        <v>7</v>
      </c>
      <c r="E19" s="1">
        <v>17</v>
      </c>
    </row>
    <row r="20" spans="1:5">
      <c r="A20" s="58" t="s">
        <v>40</v>
      </c>
      <c r="B20" s="271" t="s">
        <v>41</v>
      </c>
      <c r="C20" s="235" t="s">
        <v>7</v>
      </c>
      <c r="D20" s="235" t="s">
        <v>7</v>
      </c>
      <c r="E20" s="1">
        <v>18</v>
      </c>
    </row>
    <row r="21" spans="1:5">
      <c r="A21" s="58" t="s">
        <v>42</v>
      </c>
      <c r="B21" s="271" t="s">
        <v>43</v>
      </c>
      <c r="C21" s="235" t="s">
        <v>7</v>
      </c>
      <c r="D21" s="235" t="s">
        <v>7</v>
      </c>
      <c r="E21" s="1">
        <v>19</v>
      </c>
    </row>
    <row r="22" spans="1:5">
      <c r="A22" s="58" t="s">
        <v>44</v>
      </c>
      <c r="B22" s="271" t="s">
        <v>45</v>
      </c>
      <c r="C22" s="235" t="s">
        <v>7</v>
      </c>
      <c r="D22" s="235" t="s">
        <v>7</v>
      </c>
      <c r="E22" s="1">
        <v>20</v>
      </c>
    </row>
    <row r="23" spans="1:5">
      <c r="A23" s="58" t="s">
        <v>46</v>
      </c>
      <c r="B23" s="271" t="s">
        <v>47</v>
      </c>
      <c r="C23" s="235" t="s">
        <v>7</v>
      </c>
      <c r="D23" s="235" t="s">
        <v>7</v>
      </c>
      <c r="E23" s="1">
        <v>21</v>
      </c>
    </row>
    <row r="24" spans="1:5">
      <c r="A24" s="58" t="s">
        <v>48</v>
      </c>
      <c r="B24" s="271" t="s">
        <v>49</v>
      </c>
      <c r="C24" s="235" t="s">
        <v>7</v>
      </c>
      <c r="D24" s="235" t="s">
        <v>7</v>
      </c>
      <c r="E24" s="1">
        <v>22</v>
      </c>
    </row>
    <row r="25" spans="1:5">
      <c r="A25" s="58" t="s">
        <v>50</v>
      </c>
      <c r="B25" s="271" t="s">
        <v>51</v>
      </c>
      <c r="C25" s="235" t="s">
        <v>7</v>
      </c>
      <c r="D25" s="235" t="s">
        <v>7</v>
      </c>
      <c r="E25" s="1">
        <v>23</v>
      </c>
    </row>
    <row r="26" spans="1:5">
      <c r="A26" s="246" t="s">
        <v>52</v>
      </c>
      <c r="B26" s="272" t="s">
        <v>53</v>
      </c>
      <c r="C26" s="247" t="s">
        <v>7</v>
      </c>
      <c r="D26" s="247" t="s">
        <v>7</v>
      </c>
      <c r="E26" s="1">
        <v>24</v>
      </c>
    </row>
    <row r="27" spans="1:5">
      <c r="A27" s="58" t="s">
        <v>54</v>
      </c>
      <c r="B27" s="87" t="s">
        <v>55</v>
      </c>
      <c r="C27" s="235" t="s">
        <v>7</v>
      </c>
      <c r="D27" s="235" t="s">
        <v>7</v>
      </c>
      <c r="E27" s="1">
        <v>25</v>
      </c>
    </row>
    <row r="28" spans="1:5">
      <c r="A28" s="58" t="s">
        <v>56</v>
      </c>
      <c r="B28" s="87" t="s">
        <v>57</v>
      </c>
      <c r="C28" s="235" t="s">
        <v>7</v>
      </c>
      <c r="D28" s="235" t="s">
        <v>7</v>
      </c>
      <c r="E28" s="1">
        <v>26</v>
      </c>
    </row>
    <row r="29" spans="1:5">
      <c r="A29" s="58" t="s">
        <v>58</v>
      </c>
      <c r="B29" s="87" t="s">
        <v>59</v>
      </c>
      <c r="C29" s="235" t="s">
        <v>7</v>
      </c>
      <c r="D29" s="235" t="s">
        <v>7</v>
      </c>
      <c r="E29" s="1">
        <v>27</v>
      </c>
    </row>
    <row r="30" spans="1:5">
      <c r="A30" s="246" t="s">
        <v>60</v>
      </c>
      <c r="B30" s="87" t="s">
        <v>61</v>
      </c>
      <c r="C30" s="235" t="s">
        <v>7</v>
      </c>
      <c r="D30" s="235" t="s">
        <v>7</v>
      </c>
      <c r="E30" s="1">
        <v>28</v>
      </c>
    </row>
    <row r="31" spans="1:5">
      <c r="A31" s="136" t="s">
        <v>62</v>
      </c>
      <c r="B31" s="275" t="s">
        <v>63</v>
      </c>
      <c r="C31" s="247" t="s">
        <v>7</v>
      </c>
      <c r="D31" s="247" t="s">
        <v>7</v>
      </c>
      <c r="E31" s="1">
        <v>29</v>
      </c>
    </row>
    <row r="32" spans="1:5">
      <c r="A32" s="274" t="s">
        <v>64</v>
      </c>
      <c r="B32" s="323" t="s">
        <v>65</v>
      </c>
      <c r="C32" s="235" t="s">
        <v>7</v>
      </c>
      <c r="D32" s="235" t="s">
        <v>7</v>
      </c>
      <c r="E32" s="1">
        <v>30</v>
      </c>
    </row>
    <row r="33" spans="1:1">
      <c r="A33" s="276"/>
    </row>
  </sheetData>
  <hyperlinks>
    <hyperlink ref="A3" location="Calificacion!A2" display="Calificacion" xr:uid="{80D238A8-3179-4541-8B6B-A0EAFDD75682}"/>
    <hyperlink ref="A4" location="Categoria!A2" display="Categoria" xr:uid="{108A8A44-2173-43C5-A38E-B314114EA467}"/>
    <hyperlink ref="A5" location="Ciudad!A2" display="Ciudad" xr:uid="{194670E6-7EA4-429F-89E8-E1697A8B5C3C}"/>
    <hyperlink ref="A6" location="Departamento!A2" display="Departamento" xr:uid="{A4CD094A-F5F2-40CC-9380-2B55F2C075D4}"/>
    <hyperlink ref="A7" location="Detalle Horario!A2" display="Detalle Horario" xr:uid="{EEF762B2-4D13-49A7-8792-4616C1AA29BA}"/>
    <hyperlink ref="A8" location="Dia!A2" display="Dia" xr:uid="{6C38CE13-DA71-4A02-A496-349C51D825A2}"/>
    <hyperlink ref="A9" location="Diagnostico!A2" display="Diagnostico" xr:uid="{EA3FAD2D-BF90-46E3-BBCD-F39FC5624B97}"/>
    <hyperlink ref="A10" location="Establecimeinto!A2" display="Establecimeinto" xr:uid="{68ADAAAC-62D5-404D-9802-931EE371AD4C}"/>
    <hyperlink ref="A12" location="Establecieminto Servicio!A2" display="Establecimiento Servicio" xr:uid="{CE583423-311F-476F-994C-076A46778E55}"/>
    <hyperlink ref="A13" location="Estado Servicio Realizado!A2" display="Estado Servicio Realizado" xr:uid="{656B9E71-D02B-46A6-8871-790283F8C172}"/>
    <hyperlink ref="A14" location="Exepcion!A2" display="Exepcion" xr:uid="{E3C7ADE9-BB5C-41B0-B241-A8D099CDE070}"/>
    <hyperlink ref="A15" location="Foto!A2" display="Foto" xr:uid="{CFA64F50-0437-449C-BF17-4C0E3D427015}"/>
    <hyperlink ref="A16" location="Horario Estableciemeinto!A2" display="Horario Estableciemeinto" xr:uid="{89FBA781-672A-436B-9950-4340EBAF9C2E}"/>
    <hyperlink ref="A17" location="Imagen!A2" display="Imagen" xr:uid="{23C2FD2E-A911-403F-8FF7-66C868D43EDB}"/>
    <hyperlink ref="A18" location="Linea!A2" display="Linea" xr:uid="{7312EA03-01D7-4A4E-9CD0-DF658BC9889A}"/>
    <hyperlink ref="A19" location="Linea Categoria!A2" display="Linea Categoria" xr:uid="{10F8A61D-4A5D-472C-9F22-7EDCD06CDB92}"/>
    <hyperlink ref="A20" location="Marca!A2" display="Marca" xr:uid="{75367246-1DFF-4973-B42F-1C3E7007073B}"/>
    <hyperlink ref="A21" location="Modelo!A2" display="Modelo" xr:uid="{EE1EE22C-3C73-45DE-B91F-A523F3A0C2B4}"/>
    <hyperlink ref="A22" location="Motocicleta!A2" display="Motocicleta" xr:uid="{87E7CFC0-DE23-4E5C-8E6C-F94486597CC0}"/>
    <hyperlink ref="A23" location="Rango Calificacion!A2" display="Rango Calificacion" xr:uid="{FB29B3E0-7021-4333-BE48-2C8407423BAC}"/>
    <hyperlink ref="A24" location="Rango Cilindraje!A2" display="Rango Cilindraje" xr:uid="{0825BBA0-985C-4DAF-AA60-E39BA63BB1D4}"/>
    <hyperlink ref="A25" location="Servicio!A2" display="Servicio" xr:uid="{CEAE30DC-52CB-4448-AB94-E504A0EE7619}"/>
    <hyperlink ref="A26" location="Servicio Realizado!A2" display="Servicio Realizado" xr:uid="{90E54F32-A52A-4723-AE6D-34187A5D927C}"/>
    <hyperlink ref="A27" location="Tipo Servicio!A2" display="Tipo Servicio" xr:uid="{AD084E7C-FC5A-494F-9E9A-B25DFEB0087F}"/>
    <hyperlink ref="A28" location="Ubicacion!A2" display="Ubicacion" xr:uid="{C7E6D4D3-A0B0-41C4-BA1D-8B98495E0402}"/>
    <hyperlink ref="A29" location="Usuario!A2" display="Usuario" xr:uid="{F0E6B9BE-3745-47F1-B99B-441C280D88F8}"/>
    <hyperlink ref="C3" location="'Calificación Muestreo'!A3" display="='Calificación Muestreo'!A3" xr:uid="{0F781682-C5EE-4F7A-B74B-7F72EEA1E002}"/>
    <hyperlink ref="D3" location="'Calificación Caracterización'!A5" display="='Calificación Caracterización'!A5" xr:uid="{EEBAF93B-8CCF-405E-84DD-135FDF110E43}"/>
    <hyperlink ref="D4" location="'Categoría Caracterización'!A5" display="='Categoría Caracterización'!A5" xr:uid="{7FC7C6E2-433D-4702-B2EA-7988F3A0463F}"/>
    <hyperlink ref="C4" location="'Categoría Muestreo'!A3" display="='Categoría Muestreo'!A3" xr:uid="{B1BD1F5A-7416-43EC-9DE9-76FB2D0C77AE}"/>
    <hyperlink ref="C5" location="'Ciudad Muestreo'!A3" display="='Ciudad Muestreo'!A3" xr:uid="{D4FD7F7B-86E1-446B-A364-BEE846F25365}"/>
    <hyperlink ref="D5" location="'Ciudad Caracterización'!A5" display="='Ciudad Caracterización'!A5" xr:uid="{D50C1D03-5478-4E4A-9C94-B5C0EFE2B5F6}"/>
    <hyperlink ref="C6" location="'Departamento Muestreo'!A3" display="='Departamento Muestreo'!A3" xr:uid="{D36ECDCB-1B81-44B0-9311-2ECDA87B605E}"/>
    <hyperlink ref="D6" location="'Departamento Caracterización '!A5" display="='Departamento Caracterización '!A5" xr:uid="{DD078025-BB99-4E97-8538-27DB7A7CFEBD}"/>
    <hyperlink ref="C7" location="'Detalle Horario Muestreo '!A3" display="='Detalle Horario Muestreo '!$A$3" xr:uid="{72CA4AC5-7CE1-4D8E-BDD0-9ABD8BACDD1B}"/>
    <hyperlink ref="D7" location="'Detalle horari Caracterización'!A5" display="='Detalle horari Caracterización'!A5" xr:uid="{7CF244D6-3F6D-4C97-91D4-BC8D4FF77389}"/>
    <hyperlink ref="D8" location="'Dia Caracterización'!A5" display="='Dia Caracterización'!A5" xr:uid="{018407B2-C635-4C60-A103-C2EE91182EC9}"/>
    <hyperlink ref="C8" location="'Dia Muestreo'!A3" display="='Dia Muestreo'!A3" xr:uid="{4E2AAA63-23F2-46A6-83E0-8BDCD53EEFF8}"/>
    <hyperlink ref="C9" location="'Diagnostico Caracterización'!A5" display="='Diagnostico Caracterización'!$A$5" xr:uid="{95162A81-4918-4CDA-B941-E4FBB987E799}"/>
    <hyperlink ref="D9" location="'Diagnostico Caracterización'!A5" display="='Diagnostico Caracterización'!$A$5" xr:uid="{16FFD9D7-2E46-4E0D-BEAB-0AF661D60A99}"/>
    <hyperlink ref="C10" location="'Establecimiento Muestreo'!A3" display="='Establecimiento Muestreo'!$A$3" xr:uid="{0D4AA48C-07E0-41A6-853C-01D1E323FAD6}"/>
    <hyperlink ref="D10" location="'Estableciemiento Caracterizació'!A5" display="='Estableciemiento Caracterizació'!$A$5" xr:uid="{CC1198A5-9BAC-42D6-A4DB-1858EB2A5149}"/>
    <hyperlink ref="C12" location="'Servicio Establ Muestreo '!A3" display="='Servicio Establ Muestreo '!A3" xr:uid="{B5957C73-1FF1-49F6-9386-7F6419B977AF}"/>
    <hyperlink ref="D12" location="'Servicio Establ Caracterización'!A5" display="='Servicio Establ Caracterización'!A5" xr:uid="{A0F81B63-2351-4CA9-89A6-E271AE002317}"/>
    <hyperlink ref="C13" location="'Estad servicio Realiz Muestreo '!A3" display="='Estad servicio Realiz Muestreo '!$A$3" xr:uid="{B4909CAD-782A-4734-A1DB-441B88D72ADE}"/>
    <hyperlink ref="D13" location="'Estad servicio RealCaracterizac'!A5" display="='Estad servicio RealCaracterizac'!$A$5" xr:uid="{76BF4246-70F8-4D85-B3ED-F2E701F2CEDE}"/>
    <hyperlink ref="C14" location="'Excepción Horario Muestreo'!A3" display="='Excepción Horario Muestreo'!$A$3" xr:uid="{18119649-B34E-4359-B7CE-727D8236FB9B}"/>
    <hyperlink ref="D14" location="'Excepción Horar Caracterización'!A5" display="='Excepción Horar Caracterización'!$A$5" xr:uid="{194241CB-4F1C-4110-AF50-A774688F8ADE}"/>
    <hyperlink ref="D15" location="'Foto Caracterizació '!A5" display="='Foto Caracterizació '!$A$5" xr:uid="{6A309CB3-21FC-4050-80F4-06CB218DB890}"/>
    <hyperlink ref="C15" location="'Foto Muestreo'!A3" display="='Foto Muestreo'!$A$3" xr:uid="{B391A706-3541-4119-9201-A2A4DC68840C}"/>
    <hyperlink ref="D16" location="'Horario Estable Caracterización'!A5" display="='Horario Estable Caracterización'!$A$5" xr:uid="{7F2D3FF3-6BA9-4A2A-AED2-ED8BBAC11D81}"/>
    <hyperlink ref="C16" location="'Horario Establecie Muestreo'!A3" display="='Horario Establecie Muestreo'!$A$3" xr:uid="{1414954F-12D8-4466-A3AD-8294D9AE7806}"/>
    <hyperlink ref="C17" location="'Imagen Muestreo '!A3" display="='Imagen Muestreo '!$A$3" xr:uid="{19D88319-7581-46B9-924E-2DEECD153AC5}"/>
    <hyperlink ref="D17" location="'Imagen  Caracterización'!A5" display="='Imagen  Caracterización'!$A$5" xr:uid="{9870409F-12D8-48DE-95D5-5A72A8B58845}"/>
    <hyperlink ref="C18" location="'Linea Muestreo'!A3" display="='Linea Muestreo'!$A$3" xr:uid="{6511C45D-2712-4533-B65E-436E5B71213E}"/>
    <hyperlink ref="D18" location="'Linea Caracterización'!A5" display="='Linea Caracterización'!$A$5" xr:uid="{D8171653-976E-4D78-B3D8-932487F434D5}"/>
    <hyperlink ref="C19" location="'Linea Categoría Muestreo'!A3" display="='Linea Categoría Muestreo'!$A$3" xr:uid="{3BB7A754-4541-4695-8965-286B4C5F8A76}"/>
    <hyperlink ref="D19" location="'Linea Categoría Caracterización'!A5" display="='Linea Categoría Caracterización'!$A$5" xr:uid="{37EA4171-AFF6-4A1D-AFEA-A06BBB25E2E0}"/>
    <hyperlink ref="C20" location="'Marca Muestreo'!A3" display="='Marca Muestreo'!$A$3" xr:uid="{0632146E-4F05-4C45-8881-F8E22F1EDBF5}"/>
    <hyperlink ref="D20" location="'Marca Caracterización'!A5" display="='Marca Caracterización'!$A$5" xr:uid="{3ACE1149-AFE8-4E6B-89C0-CFCC38B44DF7}"/>
    <hyperlink ref="C21" location="'Modelo Muestreo'!A3" display="='Modelo Muestreo'!$A$3" xr:uid="{DF126986-C49A-4DA5-844D-998E2A0106A6}"/>
    <hyperlink ref="D21" location="'Modelo Caracterización'!A5" display="='Modelo Caracterización'!$A$5" xr:uid="{14371881-6D0C-4A26-8588-C16D3320CF46}"/>
    <hyperlink ref="C22" location="'Motocicleta Muestreo'!A3" display="='Motocicleta Muestreo'!$A$3" xr:uid="{64BC116A-8395-471B-877C-B613766646FC}"/>
    <hyperlink ref="D22" location="'Motocicleta Caracterización'!A5" display="='Motocicleta Caracterización'!$A$5" xr:uid="{91FB9AEA-6C92-4391-9136-FFE2CA943746}"/>
    <hyperlink ref="C23" location="'Rango Calificación Muestreo'!A3" display="='Rango Calificación Muestreo'!$A$3" xr:uid="{5CA3634F-A518-46FF-826B-35E6CAC0EFF6}"/>
    <hyperlink ref="D23" location="'Rango Califi Caracterización'!A5" display="='Rango Califi Caracterización'!$A$5" xr:uid="{329E079B-08AB-47EF-9772-8F1237ECE1EC}"/>
    <hyperlink ref="C24" location="'Rango Cilindraje Muestreo'!A3" display="='Rango Cilindraje Muestreo'!$A$3" xr:uid="{DB4D1465-E9AD-4C90-81E7-89A099D2D970}"/>
    <hyperlink ref="D24" location="'Rango Cilindaje Caracterización'!A5" display="='Rango Cilindaje Caracterización'!$A$5" xr:uid="{A7F6AB03-6619-43C8-9677-7A92C53D19EF}"/>
    <hyperlink ref="C25" location="'Servicio Muestreo '!A3" display="='Servicio Muestreo '!$A$3" xr:uid="{9602ED2C-70F1-4698-AA77-FFD40162CFA8}"/>
    <hyperlink ref="D25" location="'Servicio Caracterización'!A5" display="='Servicio Caracterización'!$A$5" xr:uid="{EEAD5372-08B3-41AF-BD7D-877F9017E7A5}"/>
    <hyperlink ref="C26" location="'Servicio Reali Muestreo'!A3" display="='Servicio Reali Muestreo'!$A$3" xr:uid="{6729DE2C-A1B1-422B-AB88-21D28A63EECD}"/>
    <hyperlink ref="D26" location="'Servicio Reali Caracterizació'!A5" display="='Servicio Reali Caracterizació'!$A$5" xr:uid="{F01AD106-999C-4962-AC35-2A2D682A7E96}"/>
    <hyperlink ref="C27" location="'Tipo Servicio Muestreo'!A3" display="='Tipo Servicio Muestreo'!$A$3" xr:uid="{9203304D-EBCA-433B-82C9-BC56ACFF577C}"/>
    <hyperlink ref="D27" location="'Tipo Servicio Caracterización'!A5" display="='Tipo Servicio Caracterización'!$A$5" xr:uid="{ECD6B583-A73B-420E-AA23-0093BBE66972}"/>
    <hyperlink ref="C28" location="'Ubicación Muestreo'!A3" display="='Ubicación Muestreo'!$A$3" xr:uid="{7897CADB-71BC-4B39-9E34-9E6071735985}"/>
    <hyperlink ref="D28" location="'Ubicación Caracterización'!A5" display="='Ubicación Caracterización'!$A$5" xr:uid="{DE7FD77A-7575-4B20-BDD2-540558C06DB9}"/>
    <hyperlink ref="C29" location="'Usuario Muestreo'!A3" display="='Usuario Muestreo'!$A$3" xr:uid="{D6C5B088-2ACA-4207-8B39-11E3C35C9BCB}"/>
    <hyperlink ref="D29" location="'Usuario Caracterización '!A5" display="='Usuario Caracterización '!$A$5" xr:uid="{3C002B7C-FBC2-49B9-BC6D-83F101607656}"/>
    <hyperlink ref="C30" location="'tipoEstablecimiento Muestreo'!A3" display="='tipoEstablecimiento Muestreo'!$A$3" xr:uid="{7A8BF20E-1539-4CAC-8578-C644EE71DB0E}"/>
    <hyperlink ref="D30" location="'tipoEstableciemiento Caracteriz'!A5" display="='tipoEstableciemiento Caracteriz'!$A$5" xr:uid="{D55C9A56-66AD-4D09-85A1-B5F3A9DF0F3F}"/>
    <hyperlink ref="C31" location="'Sede Muestreo'!A3" display="='Sede Muestreo'!$A$3" xr:uid="{3C72EA47-C4D6-4D1A-9D13-49D1B9BEA49A}"/>
    <hyperlink ref="D31" location="'Sede Caracterización'!A5" display="='Sede Caracterización'!$A$5" xr:uid="{42B46DD9-4C75-465F-9808-DCCBFF75E757}"/>
    <hyperlink ref="C11" location="'Representante Sede Muestreo'!A3" display="='Representante Sede Muestreo'!$A$3" xr:uid="{DAC6ACC8-4C6A-431D-BD27-377B2894772C}"/>
    <hyperlink ref="D11" location="'Representante Sede Caracterizac'!A5" display="='Representante Sede Caracterizac'!$A$5" xr:uid="{18A16915-74CF-4635-BF8B-8F09B093E9BD}"/>
    <hyperlink ref="C32" location="'Trancision Est Serv Real Muestr'!A3" display="='Trancision Est Serv Real Muestr'!$A$3" xr:uid="{7B578E9C-A48F-4713-8F95-415C3BD02396}"/>
    <hyperlink ref="D32" location="'Trancision Esta Serv Real Carac'!A5" display="='Trancision Esta Serv Real Carac'!$A$5" xr:uid="{D2A00E42-74D1-47FC-833C-3F3FDEE57C83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8BCC-F866-475D-8985-A9A145D8938C}">
  <dimension ref="A2:V515"/>
  <sheetViews>
    <sheetView topLeftCell="C1" workbookViewId="0">
      <selection activeCell="C36" sqref="C36"/>
    </sheetView>
  </sheetViews>
  <sheetFormatPr defaultRowHeight="15"/>
  <cols>
    <col min="1" max="1" width="29.140625" bestFit="1" customWidth="1"/>
    <col min="2" max="2" width="14.5703125" bestFit="1" customWidth="1"/>
    <col min="3" max="3" width="10" bestFit="1" customWidth="1"/>
    <col min="4" max="4" width="11" bestFit="1" customWidth="1"/>
    <col min="5" max="5" width="32.140625" bestFit="1" customWidth="1"/>
    <col min="6" max="6" width="14.7109375" bestFit="1" customWidth="1"/>
    <col min="7" max="7" width="12" bestFit="1" customWidth="1"/>
    <col min="8" max="8" width="14.42578125" bestFit="1" customWidth="1"/>
    <col min="10" max="10" width="40.140625" bestFit="1" customWidth="1"/>
    <col min="11" max="13" width="9.42578125" bestFit="1" customWidth="1"/>
    <col min="22" max="22" width="40.140625" bestFit="1" customWidth="1"/>
    <col min="23" max="23" width="9.140625" bestFit="1" customWidth="1"/>
  </cols>
  <sheetData>
    <row r="2" spans="1:21">
      <c r="A2" s="66" t="s">
        <v>66</v>
      </c>
      <c r="B2" s="66" t="s">
        <v>67</v>
      </c>
      <c r="C2" s="66" t="s">
        <v>68</v>
      </c>
      <c r="D2" s="66" t="s">
        <v>69</v>
      </c>
      <c r="E2" s="66" t="s">
        <v>70</v>
      </c>
      <c r="F2" s="66" t="s">
        <v>71</v>
      </c>
      <c r="G2" s="66" t="s">
        <v>72</v>
      </c>
      <c r="H2" s="66" t="s">
        <v>73</v>
      </c>
      <c r="I2" s="143" t="s">
        <v>74</v>
      </c>
    </row>
    <row r="3" spans="1:21">
      <c r="A3" t="s">
        <v>75</v>
      </c>
      <c r="B3">
        <v>0</v>
      </c>
      <c r="C3">
        <v>1</v>
      </c>
      <c r="D3" s="59">
        <v>50</v>
      </c>
      <c r="E3" t="s">
        <v>76</v>
      </c>
      <c r="F3" t="s">
        <v>77</v>
      </c>
      <c r="H3" t="s">
        <v>78</v>
      </c>
    </row>
    <row r="4" spans="1:21">
      <c r="A4" t="s">
        <v>79</v>
      </c>
      <c r="B4">
        <v>1</v>
      </c>
      <c r="C4">
        <v>2</v>
      </c>
      <c r="D4" s="59">
        <v>201</v>
      </c>
      <c r="E4" t="s">
        <v>80</v>
      </c>
      <c r="H4" t="s">
        <v>81</v>
      </c>
      <c r="J4" s="137" t="s">
        <v>82</v>
      </c>
      <c r="K4" s="138">
        <v>0.1</v>
      </c>
      <c r="L4" s="138">
        <v>0.2</v>
      </c>
      <c r="M4" s="139">
        <v>0.3</v>
      </c>
    </row>
    <row r="5" spans="1:21">
      <c r="A5" t="s">
        <v>83</v>
      </c>
      <c r="B5">
        <v>2</v>
      </c>
      <c r="C5">
        <v>3</v>
      </c>
      <c r="D5" s="59">
        <v>401</v>
      </c>
      <c r="E5" t="s">
        <v>84</v>
      </c>
      <c r="J5" s="158">
        <v>25</v>
      </c>
      <c r="K5" s="136">
        <f>ROUNDUP($J$5*K4,0)</f>
        <v>3</v>
      </c>
      <c r="L5" s="136">
        <f>ROUNDUP($J$5*L4,0)</f>
        <v>5</v>
      </c>
      <c r="M5" s="136">
        <f>ROUNDUP($J$5*M4,0)</f>
        <v>8</v>
      </c>
    </row>
    <row r="6" spans="1:21">
      <c r="A6" t="s">
        <v>85</v>
      </c>
      <c r="B6">
        <v>3</v>
      </c>
      <c r="C6">
        <v>4</v>
      </c>
      <c r="D6" s="59">
        <v>200</v>
      </c>
      <c r="E6" t="s">
        <v>86</v>
      </c>
      <c r="J6" s="141">
        <v>7</v>
      </c>
      <c r="K6" s="142">
        <f>ROUND($J$6*K4,0)</f>
        <v>1</v>
      </c>
      <c r="L6" s="142">
        <f>ROUND($J$6*L4,0)</f>
        <v>1</v>
      </c>
      <c r="M6" s="142">
        <f>ROUND($J$6*M4,0)</f>
        <v>2</v>
      </c>
    </row>
    <row r="7" spans="1:21">
      <c r="A7" t="s">
        <v>87</v>
      </c>
      <c r="B7">
        <v>4</v>
      </c>
      <c r="C7">
        <v>5</v>
      </c>
      <c r="D7" s="59">
        <v>400</v>
      </c>
      <c r="E7" t="s">
        <v>88</v>
      </c>
    </row>
    <row r="8" spans="1:21">
      <c r="A8" t="s">
        <v>89</v>
      </c>
      <c r="B8">
        <v>5</v>
      </c>
      <c r="C8">
        <v>6</v>
      </c>
      <c r="D8" s="59">
        <v>3000</v>
      </c>
      <c r="E8" t="s">
        <v>90</v>
      </c>
    </row>
    <row r="9" spans="1:21">
      <c r="A9" t="s">
        <v>91</v>
      </c>
      <c r="B9">
        <v>6</v>
      </c>
      <c r="C9">
        <v>7</v>
      </c>
      <c r="D9">
        <v>1</v>
      </c>
      <c r="E9" t="s">
        <v>92</v>
      </c>
      <c r="U9" t="s">
        <v>93</v>
      </c>
    </row>
    <row r="10" spans="1:21">
      <c r="A10" t="s">
        <v>94</v>
      </c>
      <c r="B10">
        <v>7</v>
      </c>
      <c r="C10">
        <v>8</v>
      </c>
      <c r="D10">
        <v>2</v>
      </c>
      <c r="E10" t="s">
        <v>74</v>
      </c>
      <c r="U10" t="s">
        <v>95</v>
      </c>
    </row>
    <row r="11" spans="1:21">
      <c r="A11" t="s">
        <v>96</v>
      </c>
      <c r="B11">
        <v>8</v>
      </c>
      <c r="C11">
        <v>9</v>
      </c>
      <c r="D11">
        <v>3</v>
      </c>
      <c r="E11" t="s">
        <v>97</v>
      </c>
      <c r="U11" t="s">
        <v>98</v>
      </c>
    </row>
    <row r="12" spans="1:21">
      <c r="A12" t="s">
        <v>99</v>
      </c>
      <c r="B12">
        <v>9</v>
      </c>
      <c r="C12">
        <v>10</v>
      </c>
      <c r="D12">
        <v>4</v>
      </c>
      <c r="E12" t="s">
        <v>100</v>
      </c>
      <c r="U12" t="s">
        <v>101</v>
      </c>
    </row>
    <row r="13" spans="1:21">
      <c r="A13" t="s">
        <v>102</v>
      </c>
      <c r="B13">
        <v>10</v>
      </c>
      <c r="C13">
        <v>11</v>
      </c>
      <c r="D13">
        <v>5</v>
      </c>
      <c r="E13" t="s">
        <v>103</v>
      </c>
      <c r="U13" t="s">
        <v>104</v>
      </c>
    </row>
    <row r="14" spans="1:21">
      <c r="A14" t="s">
        <v>74</v>
      </c>
      <c r="B14">
        <v>11</v>
      </c>
      <c r="C14">
        <v>12</v>
      </c>
      <c r="D14">
        <v>0</v>
      </c>
      <c r="E14" t="s">
        <v>105</v>
      </c>
      <c r="U14" t="s">
        <v>106</v>
      </c>
    </row>
    <row r="15" spans="1:21">
      <c r="A15" t="s">
        <v>107</v>
      </c>
      <c r="B15">
        <v>12</v>
      </c>
      <c r="C15">
        <v>13</v>
      </c>
      <c r="E15" t="s">
        <v>108</v>
      </c>
      <c r="U15" t="s">
        <v>109</v>
      </c>
    </row>
    <row r="16" spans="1:21">
      <c r="A16" t="s">
        <v>110</v>
      </c>
      <c r="B16">
        <v>13</v>
      </c>
      <c r="C16">
        <v>14</v>
      </c>
      <c r="E16" t="s">
        <v>111</v>
      </c>
      <c r="U16" t="s">
        <v>112</v>
      </c>
    </row>
    <row r="17" spans="1:22">
      <c r="A17" t="s">
        <v>113</v>
      </c>
      <c r="B17">
        <v>14</v>
      </c>
      <c r="C17">
        <v>15</v>
      </c>
      <c r="E17" t="s">
        <v>114</v>
      </c>
      <c r="U17" t="s">
        <v>115</v>
      </c>
    </row>
    <row r="18" spans="1:22">
      <c r="A18" t="s">
        <v>116</v>
      </c>
      <c r="B18">
        <v>15</v>
      </c>
      <c r="C18">
        <v>28</v>
      </c>
      <c r="E18" t="s">
        <v>117</v>
      </c>
      <c r="U18" t="s">
        <v>118</v>
      </c>
    </row>
    <row r="19" spans="1:22">
      <c r="A19" t="s">
        <v>119</v>
      </c>
      <c r="B19">
        <v>16</v>
      </c>
      <c r="C19">
        <v>90</v>
      </c>
      <c r="E19" s="131" t="s">
        <v>120</v>
      </c>
      <c r="U19" t="s">
        <v>121</v>
      </c>
    </row>
    <row r="20" spans="1:22">
      <c r="A20" t="s">
        <v>122</v>
      </c>
      <c r="B20">
        <v>17</v>
      </c>
      <c r="C20">
        <v>-90</v>
      </c>
      <c r="E20" s="131" t="s">
        <v>123</v>
      </c>
      <c r="U20" t="s">
        <v>124</v>
      </c>
    </row>
    <row r="21" spans="1:22">
      <c r="A21" t="s">
        <v>125</v>
      </c>
      <c r="B21">
        <v>18</v>
      </c>
      <c r="C21">
        <v>180</v>
      </c>
      <c r="U21" t="s">
        <v>126</v>
      </c>
      <c r="V21" s="75"/>
    </row>
    <row r="22" spans="1:22">
      <c r="A22" t="s">
        <v>127</v>
      </c>
      <c r="B22">
        <v>19</v>
      </c>
      <c r="C22">
        <v>-180</v>
      </c>
      <c r="U22" t="s">
        <v>128</v>
      </c>
      <c r="V22" s="75"/>
    </row>
    <row r="23" spans="1:22">
      <c r="A23" t="s">
        <v>129</v>
      </c>
      <c r="B23">
        <v>20</v>
      </c>
      <c r="U23" t="s">
        <v>130</v>
      </c>
      <c r="V23" s="75"/>
    </row>
    <row r="24" spans="1:22">
      <c r="A24" t="s">
        <v>131</v>
      </c>
      <c r="B24">
        <v>21</v>
      </c>
      <c r="U24" t="s">
        <v>132</v>
      </c>
      <c r="V24" s="75"/>
    </row>
    <row r="25" spans="1:22">
      <c r="A25" t="s">
        <v>133</v>
      </c>
      <c r="B25">
        <v>22</v>
      </c>
      <c r="U25" t="s">
        <v>134</v>
      </c>
      <c r="V25" s="75"/>
    </row>
    <row r="26" spans="1:22">
      <c r="A26" t="s">
        <v>135</v>
      </c>
      <c r="B26">
        <v>23</v>
      </c>
      <c r="U26" t="s">
        <v>136</v>
      </c>
      <c r="V26" s="75"/>
    </row>
    <row r="27" spans="1:22">
      <c r="A27" t="s">
        <v>137</v>
      </c>
      <c r="B27">
        <v>24</v>
      </c>
      <c r="U27" t="s">
        <v>138</v>
      </c>
      <c r="V27" s="75"/>
    </row>
    <row r="28" spans="1:22">
      <c r="A28" t="s">
        <v>139</v>
      </c>
      <c r="B28">
        <v>25</v>
      </c>
      <c r="U28" t="s">
        <v>140</v>
      </c>
      <c r="V28" s="75"/>
    </row>
    <row r="29" spans="1:22">
      <c r="A29" t="s">
        <v>141</v>
      </c>
      <c r="B29">
        <v>26</v>
      </c>
      <c r="U29" t="s">
        <v>142</v>
      </c>
      <c r="V29" s="75"/>
    </row>
    <row r="30" spans="1:22">
      <c r="A30" t="s">
        <v>143</v>
      </c>
      <c r="B30">
        <v>27</v>
      </c>
      <c r="U30" t="s">
        <v>144</v>
      </c>
      <c r="V30" s="75"/>
    </row>
    <row r="31" spans="1:22">
      <c r="A31" t="s">
        <v>145</v>
      </c>
      <c r="B31">
        <v>28</v>
      </c>
      <c r="U31" t="s">
        <v>146</v>
      </c>
      <c r="V31" s="75"/>
    </row>
    <row r="32" spans="1:22">
      <c r="A32" t="s">
        <v>147</v>
      </c>
      <c r="B32">
        <v>29</v>
      </c>
      <c r="U32" t="s">
        <v>148</v>
      </c>
      <c r="V32" s="75"/>
    </row>
    <row r="33" spans="1:22">
      <c r="A33" t="s">
        <v>149</v>
      </c>
      <c r="B33">
        <v>30</v>
      </c>
      <c r="U33" t="s">
        <v>150</v>
      </c>
      <c r="V33" s="75"/>
    </row>
    <row r="34" spans="1:22">
      <c r="A34" t="s">
        <v>151</v>
      </c>
      <c r="B34">
        <v>31</v>
      </c>
      <c r="U34" t="s">
        <v>152</v>
      </c>
      <c r="V34" s="75"/>
    </row>
    <row r="35" spans="1:22">
      <c r="A35" t="s">
        <v>153</v>
      </c>
      <c r="B35">
        <v>32</v>
      </c>
      <c r="U35" t="s">
        <v>154</v>
      </c>
      <c r="V35" s="75"/>
    </row>
    <row r="36" spans="1:22">
      <c r="A36" t="s">
        <v>155</v>
      </c>
      <c r="B36">
        <v>33</v>
      </c>
      <c r="U36" t="s">
        <v>156</v>
      </c>
      <c r="V36" s="75"/>
    </row>
    <row r="37" spans="1:22">
      <c r="A37" t="s">
        <v>157</v>
      </c>
      <c r="B37">
        <v>34</v>
      </c>
      <c r="U37" t="s">
        <v>158</v>
      </c>
      <c r="V37" s="75"/>
    </row>
    <row r="38" spans="1:22">
      <c r="A38" t="s">
        <v>159</v>
      </c>
      <c r="B38">
        <v>35</v>
      </c>
      <c r="U38" t="s">
        <v>160</v>
      </c>
      <c r="V38" s="75"/>
    </row>
    <row r="39" spans="1:22">
      <c r="A39" t="s">
        <v>161</v>
      </c>
      <c r="B39">
        <v>36</v>
      </c>
      <c r="U39" t="s">
        <v>162</v>
      </c>
      <c r="V39" s="75"/>
    </row>
    <row r="40" spans="1:22">
      <c r="A40" t="s">
        <v>163</v>
      </c>
      <c r="B40">
        <v>37</v>
      </c>
      <c r="U40" t="s">
        <v>164</v>
      </c>
      <c r="V40" s="75"/>
    </row>
    <row r="41" spans="1:22">
      <c r="A41" t="s">
        <v>165</v>
      </c>
      <c r="B41">
        <v>38</v>
      </c>
      <c r="U41" t="s">
        <v>166</v>
      </c>
      <c r="V41" s="76"/>
    </row>
    <row r="42" spans="1:22">
      <c r="A42" t="s">
        <v>167</v>
      </c>
      <c r="B42">
        <v>39</v>
      </c>
      <c r="U42" t="s">
        <v>168</v>
      </c>
      <c r="V42" s="76"/>
    </row>
    <row r="43" spans="1:22">
      <c r="A43" t="s">
        <v>169</v>
      </c>
      <c r="B43">
        <v>40</v>
      </c>
      <c r="U43" t="s">
        <v>170</v>
      </c>
      <c r="V43" s="76"/>
    </row>
    <row r="44" spans="1:22">
      <c r="B44">
        <v>41</v>
      </c>
      <c r="U44" t="s">
        <v>171</v>
      </c>
      <c r="V44" s="76"/>
    </row>
    <row r="45" spans="1:22">
      <c r="B45">
        <v>42</v>
      </c>
      <c r="U45" t="s">
        <v>172</v>
      </c>
      <c r="V45" s="76"/>
    </row>
    <row r="46" spans="1:22">
      <c r="B46">
        <v>43</v>
      </c>
      <c r="U46" t="s">
        <v>173</v>
      </c>
      <c r="V46" s="76"/>
    </row>
    <row r="47" spans="1:22">
      <c r="B47">
        <v>44</v>
      </c>
      <c r="U47" t="s">
        <v>174</v>
      </c>
      <c r="V47" s="76"/>
    </row>
    <row r="48" spans="1:22">
      <c r="B48">
        <v>45</v>
      </c>
      <c r="U48" t="s">
        <v>175</v>
      </c>
      <c r="V48" s="76"/>
    </row>
    <row r="49" spans="2:22">
      <c r="B49">
        <v>46</v>
      </c>
      <c r="U49" t="s">
        <v>176</v>
      </c>
      <c r="V49" s="76"/>
    </row>
    <row r="50" spans="2:22">
      <c r="B50">
        <v>47</v>
      </c>
      <c r="U50" t="s">
        <v>177</v>
      </c>
      <c r="V50" s="76"/>
    </row>
    <row r="51" spans="2:22">
      <c r="B51">
        <v>48</v>
      </c>
      <c r="U51" t="s">
        <v>178</v>
      </c>
      <c r="V51" s="76"/>
    </row>
    <row r="52" spans="2:22">
      <c r="B52">
        <v>49</v>
      </c>
      <c r="U52" t="s">
        <v>179</v>
      </c>
      <c r="V52" s="76"/>
    </row>
    <row r="53" spans="2:22">
      <c r="B53">
        <v>50</v>
      </c>
      <c r="U53" t="s">
        <v>180</v>
      </c>
      <c r="V53" s="76"/>
    </row>
    <row r="54" spans="2:22">
      <c r="B54">
        <v>51</v>
      </c>
      <c r="U54" t="s">
        <v>181</v>
      </c>
      <c r="V54" s="76"/>
    </row>
    <row r="55" spans="2:22">
      <c r="B55">
        <v>52</v>
      </c>
      <c r="U55" t="s">
        <v>182</v>
      </c>
      <c r="V55" s="76"/>
    </row>
    <row r="56" spans="2:22">
      <c r="B56">
        <v>53</v>
      </c>
      <c r="U56" t="s">
        <v>183</v>
      </c>
      <c r="V56" s="76" t="s">
        <v>184</v>
      </c>
    </row>
    <row r="57" spans="2:22">
      <c r="B57">
        <v>54</v>
      </c>
      <c r="U57" t="s">
        <v>185</v>
      </c>
      <c r="V57" s="76" t="s">
        <v>186</v>
      </c>
    </row>
    <row r="58" spans="2:22">
      <c r="B58">
        <v>55</v>
      </c>
      <c r="U58" t="s">
        <v>187</v>
      </c>
      <c r="V58" s="76" t="s">
        <v>188</v>
      </c>
    </row>
    <row r="59" spans="2:22">
      <c r="B59">
        <v>56</v>
      </c>
      <c r="U59" t="s">
        <v>189</v>
      </c>
      <c r="V59" s="76" t="s">
        <v>190</v>
      </c>
    </row>
    <row r="60" spans="2:22">
      <c r="B60">
        <v>57</v>
      </c>
      <c r="U60" t="s">
        <v>191</v>
      </c>
      <c r="V60" s="76" t="s">
        <v>192</v>
      </c>
    </row>
    <row r="61" spans="2:22">
      <c r="B61">
        <v>58</v>
      </c>
      <c r="U61" t="s">
        <v>193</v>
      </c>
      <c r="V61" s="77"/>
    </row>
    <row r="62" spans="2:22">
      <c r="B62">
        <v>59</v>
      </c>
      <c r="U62" t="s">
        <v>194</v>
      </c>
      <c r="V62" s="77"/>
    </row>
    <row r="63" spans="2:22">
      <c r="B63">
        <v>60</v>
      </c>
      <c r="U63" t="s">
        <v>195</v>
      </c>
      <c r="V63" s="77"/>
    </row>
    <row r="64" spans="2:22">
      <c r="B64">
        <v>61</v>
      </c>
      <c r="U64" t="s">
        <v>196</v>
      </c>
      <c r="V64" s="77"/>
    </row>
    <row r="65" spans="2:22">
      <c r="B65">
        <v>62</v>
      </c>
      <c r="U65" t="s">
        <v>197</v>
      </c>
      <c r="V65" s="77"/>
    </row>
    <row r="66" spans="2:22">
      <c r="B66">
        <v>63</v>
      </c>
      <c r="U66" t="s">
        <v>198</v>
      </c>
      <c r="V66" s="77"/>
    </row>
    <row r="67" spans="2:22">
      <c r="B67">
        <v>64</v>
      </c>
      <c r="U67" t="s">
        <v>199</v>
      </c>
      <c r="V67" s="77"/>
    </row>
    <row r="68" spans="2:22">
      <c r="B68">
        <v>65</v>
      </c>
      <c r="U68" t="s">
        <v>200</v>
      </c>
      <c r="V68" s="77"/>
    </row>
    <row r="69" spans="2:22">
      <c r="B69">
        <v>66</v>
      </c>
      <c r="U69" t="s">
        <v>201</v>
      </c>
      <c r="V69" s="77"/>
    </row>
    <row r="70" spans="2:22">
      <c r="B70">
        <v>67</v>
      </c>
      <c r="U70" t="s">
        <v>202</v>
      </c>
      <c r="V70" s="77"/>
    </row>
    <row r="71" spans="2:22">
      <c r="B71">
        <v>68</v>
      </c>
      <c r="U71" t="s">
        <v>203</v>
      </c>
      <c r="V71" s="77"/>
    </row>
    <row r="72" spans="2:22">
      <c r="B72">
        <v>69</v>
      </c>
      <c r="U72" t="s">
        <v>204</v>
      </c>
      <c r="V72" s="77"/>
    </row>
    <row r="73" spans="2:22">
      <c r="B73">
        <v>70</v>
      </c>
      <c r="U73" t="s">
        <v>205</v>
      </c>
      <c r="V73" s="77"/>
    </row>
    <row r="74" spans="2:22">
      <c r="B74">
        <v>71</v>
      </c>
      <c r="U74" t="s">
        <v>206</v>
      </c>
      <c r="V74" s="77"/>
    </row>
    <row r="75" spans="2:22">
      <c r="B75">
        <v>72</v>
      </c>
      <c r="U75" t="s">
        <v>207</v>
      </c>
      <c r="V75" s="78"/>
    </row>
    <row r="76" spans="2:22">
      <c r="B76">
        <v>73</v>
      </c>
      <c r="U76" t="s">
        <v>208</v>
      </c>
      <c r="V76" s="78"/>
    </row>
    <row r="77" spans="2:22">
      <c r="B77">
        <v>74</v>
      </c>
      <c r="U77" t="s">
        <v>209</v>
      </c>
      <c r="V77" s="78"/>
    </row>
    <row r="78" spans="2:22">
      <c r="B78">
        <v>75</v>
      </c>
      <c r="U78" t="s">
        <v>210</v>
      </c>
      <c r="V78" s="78"/>
    </row>
    <row r="79" spans="2:22">
      <c r="B79">
        <v>76</v>
      </c>
      <c r="U79" t="s">
        <v>211</v>
      </c>
      <c r="V79" s="78"/>
    </row>
    <row r="80" spans="2:22">
      <c r="B80">
        <v>77</v>
      </c>
      <c r="U80" t="s">
        <v>212</v>
      </c>
      <c r="V80" s="78"/>
    </row>
    <row r="81" spans="2:22">
      <c r="B81">
        <v>78</v>
      </c>
      <c r="U81" t="s">
        <v>213</v>
      </c>
      <c r="V81" s="78"/>
    </row>
    <row r="82" spans="2:22">
      <c r="B82">
        <v>79</v>
      </c>
      <c r="U82" t="s">
        <v>214</v>
      </c>
      <c r="V82" s="78"/>
    </row>
    <row r="83" spans="2:22">
      <c r="B83">
        <v>80</v>
      </c>
      <c r="U83" t="s">
        <v>215</v>
      </c>
      <c r="V83" s="78"/>
    </row>
    <row r="84" spans="2:22">
      <c r="B84">
        <v>81</v>
      </c>
      <c r="U84" t="s">
        <v>216</v>
      </c>
      <c r="V84" s="78"/>
    </row>
    <row r="85" spans="2:22">
      <c r="B85">
        <v>82</v>
      </c>
      <c r="U85" t="s">
        <v>217</v>
      </c>
      <c r="V85" s="78"/>
    </row>
    <row r="86" spans="2:22">
      <c r="B86">
        <v>83</v>
      </c>
      <c r="U86" t="s">
        <v>218</v>
      </c>
      <c r="V86" s="78"/>
    </row>
    <row r="87" spans="2:22">
      <c r="B87">
        <v>84</v>
      </c>
      <c r="U87" t="s">
        <v>219</v>
      </c>
      <c r="V87" s="78"/>
    </row>
    <row r="88" spans="2:22">
      <c r="B88">
        <v>85</v>
      </c>
      <c r="U88" t="s">
        <v>220</v>
      </c>
      <c r="V88" s="78"/>
    </row>
    <row r="89" spans="2:22">
      <c r="B89">
        <v>86</v>
      </c>
      <c r="U89" t="s">
        <v>221</v>
      </c>
      <c r="V89" s="78"/>
    </row>
    <row r="90" spans="2:22">
      <c r="B90">
        <v>87</v>
      </c>
      <c r="U90" t="s">
        <v>222</v>
      </c>
      <c r="V90" s="78"/>
    </row>
    <row r="91" spans="2:22">
      <c r="B91">
        <v>88</v>
      </c>
      <c r="U91" t="s">
        <v>223</v>
      </c>
      <c r="V91" s="78"/>
    </row>
    <row r="92" spans="2:22">
      <c r="B92">
        <v>89</v>
      </c>
      <c r="U92" t="s">
        <v>224</v>
      </c>
      <c r="V92" s="78"/>
    </row>
    <row r="93" spans="2:22">
      <c r="B93">
        <v>90</v>
      </c>
      <c r="U93" t="s">
        <v>225</v>
      </c>
      <c r="V93" s="78"/>
    </row>
    <row r="94" spans="2:22">
      <c r="B94">
        <v>91</v>
      </c>
      <c r="U94" t="s">
        <v>226</v>
      </c>
      <c r="V94" s="78"/>
    </row>
    <row r="95" spans="2:22">
      <c r="B95">
        <v>92</v>
      </c>
      <c r="U95" t="s">
        <v>227</v>
      </c>
      <c r="V95" s="78"/>
    </row>
    <row r="96" spans="2:22">
      <c r="B96">
        <v>93</v>
      </c>
      <c r="U96" t="s">
        <v>228</v>
      </c>
      <c r="V96" s="78"/>
    </row>
    <row r="97" spans="2:22">
      <c r="B97">
        <v>94</v>
      </c>
      <c r="U97" t="s">
        <v>229</v>
      </c>
      <c r="V97" s="78"/>
    </row>
    <row r="98" spans="2:22">
      <c r="B98">
        <v>95</v>
      </c>
      <c r="U98" t="s">
        <v>230</v>
      </c>
      <c r="V98" s="78"/>
    </row>
    <row r="99" spans="2:22">
      <c r="B99">
        <v>96</v>
      </c>
      <c r="U99" t="s">
        <v>231</v>
      </c>
      <c r="V99" s="78"/>
    </row>
    <row r="100" spans="2:22">
      <c r="B100">
        <v>97</v>
      </c>
      <c r="U100" t="s">
        <v>232</v>
      </c>
      <c r="V100" s="78"/>
    </row>
    <row r="101" spans="2:22">
      <c r="B101">
        <v>98</v>
      </c>
      <c r="U101" t="s">
        <v>233</v>
      </c>
      <c r="V101" s="79"/>
    </row>
    <row r="102" spans="2:22">
      <c r="B102">
        <v>99</v>
      </c>
      <c r="U102" t="s">
        <v>234</v>
      </c>
      <c r="V102" s="79"/>
    </row>
    <row r="103" spans="2:22">
      <c r="B103">
        <v>100</v>
      </c>
      <c r="U103" t="s">
        <v>235</v>
      </c>
      <c r="V103" s="79"/>
    </row>
    <row r="104" spans="2:22">
      <c r="B104">
        <v>101</v>
      </c>
      <c r="U104" t="s">
        <v>236</v>
      </c>
      <c r="V104" s="79"/>
    </row>
    <row r="105" spans="2:22">
      <c r="B105">
        <v>102</v>
      </c>
      <c r="U105" t="s">
        <v>237</v>
      </c>
      <c r="V105" s="79"/>
    </row>
    <row r="106" spans="2:22">
      <c r="B106">
        <v>103</v>
      </c>
      <c r="U106" t="s">
        <v>238</v>
      </c>
      <c r="V106" s="79" t="s">
        <v>239</v>
      </c>
    </row>
    <row r="107" spans="2:22">
      <c r="B107">
        <v>104</v>
      </c>
      <c r="U107" t="s">
        <v>240</v>
      </c>
      <c r="V107" s="79" t="s">
        <v>241</v>
      </c>
    </row>
    <row r="108" spans="2:22">
      <c r="B108">
        <v>105</v>
      </c>
      <c r="U108" t="s">
        <v>242</v>
      </c>
      <c r="V108" s="79" t="s">
        <v>243</v>
      </c>
    </row>
    <row r="109" spans="2:22">
      <c r="B109">
        <v>106</v>
      </c>
      <c r="U109" t="s">
        <v>244</v>
      </c>
      <c r="V109" s="79" t="s">
        <v>245</v>
      </c>
    </row>
    <row r="110" spans="2:22">
      <c r="B110">
        <v>107</v>
      </c>
      <c r="U110" t="s">
        <v>246</v>
      </c>
      <c r="V110" s="79" t="s">
        <v>247</v>
      </c>
    </row>
    <row r="111" spans="2:22">
      <c r="B111">
        <v>108</v>
      </c>
      <c r="U111" t="s">
        <v>248</v>
      </c>
      <c r="V111" s="79" t="s">
        <v>249</v>
      </c>
    </row>
    <row r="112" spans="2:22">
      <c r="B112">
        <v>109</v>
      </c>
      <c r="U112" t="s">
        <v>250</v>
      </c>
      <c r="V112" s="79" t="s">
        <v>251</v>
      </c>
    </row>
    <row r="113" spans="2:22">
      <c r="B113">
        <v>110</v>
      </c>
      <c r="U113" t="s">
        <v>252</v>
      </c>
      <c r="V113" s="79" t="s">
        <v>253</v>
      </c>
    </row>
    <row r="114" spans="2:22">
      <c r="B114">
        <v>111</v>
      </c>
      <c r="U114" t="s">
        <v>254</v>
      </c>
      <c r="V114" s="79" t="s">
        <v>255</v>
      </c>
    </row>
    <row r="115" spans="2:22">
      <c r="B115">
        <v>112</v>
      </c>
      <c r="U115" t="s">
        <v>256</v>
      </c>
      <c r="V115" s="79" t="s">
        <v>257</v>
      </c>
    </row>
    <row r="116" spans="2:22">
      <c r="B116">
        <v>113</v>
      </c>
      <c r="U116" t="s">
        <v>258</v>
      </c>
      <c r="V116" s="79" t="s">
        <v>259</v>
      </c>
    </row>
    <row r="117" spans="2:22">
      <c r="B117">
        <v>114</v>
      </c>
      <c r="U117" t="s">
        <v>260</v>
      </c>
      <c r="V117" s="79" t="s">
        <v>261</v>
      </c>
    </row>
    <row r="118" spans="2:22">
      <c r="B118">
        <v>115</v>
      </c>
      <c r="U118" t="s">
        <v>262</v>
      </c>
      <c r="V118" s="79" t="s">
        <v>263</v>
      </c>
    </row>
    <row r="119" spans="2:22">
      <c r="B119">
        <v>116</v>
      </c>
      <c r="U119" t="s">
        <v>264</v>
      </c>
      <c r="V119" s="79" t="s">
        <v>265</v>
      </c>
    </row>
    <row r="120" spans="2:22">
      <c r="B120">
        <v>117</v>
      </c>
      <c r="U120" t="s">
        <v>266</v>
      </c>
      <c r="V120" s="79" t="s">
        <v>267</v>
      </c>
    </row>
    <row r="121" spans="2:22">
      <c r="B121">
        <v>118</v>
      </c>
      <c r="U121" t="s">
        <v>268</v>
      </c>
      <c r="V121" s="79" t="s">
        <v>255</v>
      </c>
    </row>
    <row r="122" spans="2:22">
      <c r="B122">
        <v>119</v>
      </c>
      <c r="U122" t="s">
        <v>269</v>
      </c>
      <c r="V122" s="79" t="s">
        <v>270</v>
      </c>
    </row>
    <row r="123" spans="2:22">
      <c r="B123">
        <v>120</v>
      </c>
      <c r="U123" t="s">
        <v>271</v>
      </c>
      <c r="V123" s="79" t="s">
        <v>272</v>
      </c>
    </row>
    <row r="124" spans="2:22">
      <c r="B124">
        <v>121</v>
      </c>
      <c r="U124" t="s">
        <v>273</v>
      </c>
      <c r="V124" s="79" t="s">
        <v>274</v>
      </c>
    </row>
    <row r="125" spans="2:22">
      <c r="B125">
        <v>122</v>
      </c>
      <c r="U125" t="s">
        <v>275</v>
      </c>
      <c r="V125" s="79" t="s">
        <v>263</v>
      </c>
    </row>
    <row r="126" spans="2:22">
      <c r="B126">
        <v>123</v>
      </c>
      <c r="U126" t="s">
        <v>276</v>
      </c>
      <c r="V126" s="79" t="s">
        <v>265</v>
      </c>
    </row>
    <row r="127" spans="2:22">
      <c r="B127">
        <v>124</v>
      </c>
      <c r="U127" t="s">
        <v>277</v>
      </c>
      <c r="V127" s="79" t="s">
        <v>267</v>
      </c>
    </row>
    <row r="128" spans="2:22">
      <c r="B128">
        <v>125</v>
      </c>
      <c r="U128" t="s">
        <v>278</v>
      </c>
      <c r="V128" s="79" t="s">
        <v>255</v>
      </c>
    </row>
    <row r="129" spans="2:22">
      <c r="B129">
        <v>126</v>
      </c>
      <c r="U129" t="s">
        <v>279</v>
      </c>
      <c r="V129" s="79" t="s">
        <v>280</v>
      </c>
    </row>
    <row r="130" spans="2:22">
      <c r="B130">
        <v>127</v>
      </c>
      <c r="U130" t="s">
        <v>281</v>
      </c>
      <c r="V130" s="79" t="s">
        <v>282</v>
      </c>
    </row>
    <row r="131" spans="2:22">
      <c r="B131">
        <v>128</v>
      </c>
      <c r="U131" t="s">
        <v>283</v>
      </c>
      <c r="V131" s="79" t="s">
        <v>284</v>
      </c>
    </row>
    <row r="132" spans="2:22">
      <c r="B132">
        <v>129</v>
      </c>
      <c r="U132" t="s">
        <v>285</v>
      </c>
      <c r="V132" s="79" t="s">
        <v>263</v>
      </c>
    </row>
    <row r="133" spans="2:22">
      <c r="B133">
        <v>130</v>
      </c>
      <c r="U133" t="s">
        <v>286</v>
      </c>
      <c r="V133" s="79" t="s">
        <v>265</v>
      </c>
    </row>
    <row r="134" spans="2:22">
      <c r="B134">
        <v>131</v>
      </c>
      <c r="U134" t="s">
        <v>287</v>
      </c>
      <c r="V134" s="79" t="s">
        <v>267</v>
      </c>
    </row>
    <row r="135" spans="2:22">
      <c r="B135">
        <v>132</v>
      </c>
      <c r="U135" t="s">
        <v>288</v>
      </c>
      <c r="V135" s="79" t="s">
        <v>255</v>
      </c>
    </row>
    <row r="136" spans="2:22">
      <c r="B136">
        <v>133</v>
      </c>
      <c r="U136" t="s">
        <v>289</v>
      </c>
      <c r="V136" s="79" t="s">
        <v>290</v>
      </c>
    </row>
    <row r="137" spans="2:22">
      <c r="B137">
        <v>134</v>
      </c>
      <c r="U137" t="s">
        <v>291</v>
      </c>
      <c r="V137" s="79" t="s">
        <v>292</v>
      </c>
    </row>
    <row r="138" spans="2:22">
      <c r="B138">
        <v>135</v>
      </c>
      <c r="U138" t="s">
        <v>293</v>
      </c>
      <c r="V138" s="79" t="s">
        <v>294</v>
      </c>
    </row>
    <row r="139" spans="2:22">
      <c r="B139">
        <v>136</v>
      </c>
      <c r="U139" t="s">
        <v>295</v>
      </c>
      <c r="V139" s="79" t="s">
        <v>263</v>
      </c>
    </row>
    <row r="140" spans="2:22">
      <c r="B140">
        <v>137</v>
      </c>
      <c r="U140" t="s">
        <v>296</v>
      </c>
      <c r="V140" s="79" t="s">
        <v>265</v>
      </c>
    </row>
    <row r="141" spans="2:22">
      <c r="B141">
        <v>138</v>
      </c>
      <c r="U141" t="s">
        <v>297</v>
      </c>
      <c r="V141" s="79" t="s">
        <v>267</v>
      </c>
    </row>
    <row r="142" spans="2:22">
      <c r="B142">
        <v>139</v>
      </c>
      <c r="U142" t="s">
        <v>298</v>
      </c>
      <c r="V142" s="79" t="s">
        <v>255</v>
      </c>
    </row>
    <row r="143" spans="2:22">
      <c r="B143">
        <v>140</v>
      </c>
      <c r="U143" t="s">
        <v>299</v>
      </c>
      <c r="V143" s="79" t="s">
        <v>300</v>
      </c>
    </row>
    <row r="144" spans="2:22">
      <c r="B144">
        <v>141</v>
      </c>
      <c r="U144" t="s">
        <v>301</v>
      </c>
      <c r="V144" s="79" t="s">
        <v>302</v>
      </c>
    </row>
    <row r="145" spans="2:22">
      <c r="B145">
        <v>142</v>
      </c>
      <c r="U145" t="s">
        <v>303</v>
      </c>
      <c r="V145" s="79" t="s">
        <v>304</v>
      </c>
    </row>
    <row r="146" spans="2:22">
      <c r="B146">
        <v>143</v>
      </c>
      <c r="U146" t="s">
        <v>305</v>
      </c>
      <c r="V146" s="79" t="s">
        <v>263</v>
      </c>
    </row>
    <row r="147" spans="2:22">
      <c r="B147">
        <v>144</v>
      </c>
      <c r="U147" t="s">
        <v>306</v>
      </c>
      <c r="V147" s="79" t="s">
        <v>265</v>
      </c>
    </row>
    <row r="148" spans="2:22">
      <c r="B148">
        <v>145</v>
      </c>
      <c r="U148" t="s">
        <v>307</v>
      </c>
      <c r="V148" s="81"/>
    </row>
    <row r="149" spans="2:22">
      <c r="B149">
        <v>146</v>
      </c>
      <c r="U149" t="s">
        <v>308</v>
      </c>
      <c r="V149" s="80"/>
    </row>
    <row r="150" spans="2:22">
      <c r="B150">
        <v>147</v>
      </c>
      <c r="U150" t="s">
        <v>309</v>
      </c>
      <c r="V150" s="80"/>
    </row>
    <row r="151" spans="2:22">
      <c r="B151">
        <v>148</v>
      </c>
      <c r="U151" t="s">
        <v>310</v>
      </c>
      <c r="V151" s="80"/>
    </row>
    <row r="152" spans="2:22">
      <c r="B152">
        <v>149</v>
      </c>
      <c r="U152" t="s">
        <v>311</v>
      </c>
      <c r="V152" s="80"/>
    </row>
    <row r="153" spans="2:22">
      <c r="B153">
        <v>150</v>
      </c>
      <c r="U153" t="s">
        <v>312</v>
      </c>
      <c r="V153" s="80"/>
    </row>
    <row r="154" spans="2:22">
      <c r="B154">
        <v>151</v>
      </c>
      <c r="U154" t="s">
        <v>313</v>
      </c>
      <c r="V154" s="80"/>
    </row>
    <row r="155" spans="2:22">
      <c r="B155">
        <v>152</v>
      </c>
      <c r="U155" t="s">
        <v>314</v>
      </c>
      <c r="V155" s="80"/>
    </row>
    <row r="156" spans="2:22">
      <c r="B156">
        <v>153</v>
      </c>
      <c r="U156" t="s">
        <v>315</v>
      </c>
      <c r="V156" s="80"/>
    </row>
    <row r="157" spans="2:22">
      <c r="B157">
        <v>154</v>
      </c>
      <c r="U157" t="s">
        <v>316</v>
      </c>
      <c r="V157" s="80"/>
    </row>
    <row r="158" spans="2:22">
      <c r="B158">
        <v>155</v>
      </c>
      <c r="U158" t="s">
        <v>317</v>
      </c>
      <c r="V158" s="80"/>
    </row>
    <row r="159" spans="2:22">
      <c r="B159">
        <v>156</v>
      </c>
      <c r="U159" t="s">
        <v>318</v>
      </c>
      <c r="V159" s="80"/>
    </row>
    <row r="160" spans="2:22">
      <c r="B160">
        <v>157</v>
      </c>
      <c r="U160" t="s">
        <v>319</v>
      </c>
      <c r="V160" s="80"/>
    </row>
    <row r="161" spans="2:21">
      <c r="B161">
        <v>158</v>
      </c>
      <c r="U161" t="s">
        <v>320</v>
      </c>
    </row>
    <row r="162" spans="2:21">
      <c r="B162">
        <v>159</v>
      </c>
      <c r="U162" t="s">
        <v>321</v>
      </c>
    </row>
    <row r="163" spans="2:21">
      <c r="B163">
        <v>160</v>
      </c>
      <c r="U163" t="s">
        <v>322</v>
      </c>
    </row>
    <row r="164" spans="2:21">
      <c r="B164">
        <v>161</v>
      </c>
      <c r="U164" t="s">
        <v>323</v>
      </c>
    </row>
    <row r="165" spans="2:21">
      <c r="B165">
        <v>162</v>
      </c>
      <c r="U165" t="s">
        <v>324</v>
      </c>
    </row>
    <row r="166" spans="2:21">
      <c r="B166">
        <v>163</v>
      </c>
      <c r="U166" t="s">
        <v>325</v>
      </c>
    </row>
    <row r="167" spans="2:21">
      <c r="B167">
        <v>164</v>
      </c>
      <c r="U167" t="s">
        <v>326</v>
      </c>
    </row>
    <row r="168" spans="2:21">
      <c r="B168">
        <v>165</v>
      </c>
      <c r="U168" t="s">
        <v>327</v>
      </c>
    </row>
    <row r="169" spans="2:21">
      <c r="B169">
        <v>166</v>
      </c>
      <c r="U169" t="s">
        <v>328</v>
      </c>
    </row>
    <row r="170" spans="2:21">
      <c r="B170">
        <v>167</v>
      </c>
      <c r="U170" t="s">
        <v>329</v>
      </c>
    </row>
    <row r="171" spans="2:21">
      <c r="B171">
        <v>168</v>
      </c>
      <c r="U171" t="s">
        <v>330</v>
      </c>
    </row>
    <row r="172" spans="2:21">
      <c r="B172">
        <v>169</v>
      </c>
      <c r="U172" t="s">
        <v>331</v>
      </c>
    </row>
    <row r="173" spans="2:21">
      <c r="B173">
        <v>170</v>
      </c>
      <c r="U173" t="s">
        <v>332</v>
      </c>
    </row>
    <row r="174" spans="2:21">
      <c r="B174">
        <v>171</v>
      </c>
      <c r="U174" t="s">
        <v>333</v>
      </c>
    </row>
    <row r="175" spans="2:21">
      <c r="B175">
        <v>172</v>
      </c>
      <c r="U175" t="s">
        <v>334</v>
      </c>
    </row>
    <row r="176" spans="2:21">
      <c r="B176">
        <v>173</v>
      </c>
      <c r="U176" t="s">
        <v>335</v>
      </c>
    </row>
    <row r="177" spans="2:21">
      <c r="B177">
        <v>174</v>
      </c>
      <c r="U177" t="s">
        <v>336</v>
      </c>
    </row>
    <row r="178" spans="2:21">
      <c r="B178">
        <v>175</v>
      </c>
      <c r="U178" t="s">
        <v>337</v>
      </c>
    </row>
    <row r="179" spans="2:21">
      <c r="B179">
        <v>176</v>
      </c>
      <c r="U179" t="s">
        <v>338</v>
      </c>
    </row>
    <row r="180" spans="2:21">
      <c r="B180">
        <v>177</v>
      </c>
      <c r="U180" t="s">
        <v>339</v>
      </c>
    </row>
    <row r="181" spans="2:21">
      <c r="B181">
        <v>178</v>
      </c>
      <c r="U181" t="s">
        <v>340</v>
      </c>
    </row>
    <row r="182" spans="2:21">
      <c r="B182">
        <v>179</v>
      </c>
      <c r="U182" t="s">
        <v>341</v>
      </c>
    </row>
    <row r="183" spans="2:21">
      <c r="B183">
        <v>180</v>
      </c>
      <c r="U183" t="s">
        <v>342</v>
      </c>
    </row>
    <row r="184" spans="2:21">
      <c r="B184">
        <v>181</v>
      </c>
      <c r="U184" t="s">
        <v>343</v>
      </c>
    </row>
    <row r="185" spans="2:21">
      <c r="B185">
        <v>182</v>
      </c>
      <c r="U185" t="s">
        <v>344</v>
      </c>
    </row>
    <row r="186" spans="2:21">
      <c r="B186">
        <v>183</v>
      </c>
      <c r="U186" t="s">
        <v>345</v>
      </c>
    </row>
    <row r="187" spans="2:21">
      <c r="B187">
        <v>184</v>
      </c>
      <c r="U187" t="s">
        <v>346</v>
      </c>
    </row>
    <row r="188" spans="2:21">
      <c r="B188">
        <v>185</v>
      </c>
      <c r="U188" t="s">
        <v>347</v>
      </c>
    </row>
    <row r="189" spans="2:21">
      <c r="B189">
        <v>186</v>
      </c>
      <c r="U189" t="s">
        <v>348</v>
      </c>
    </row>
    <row r="190" spans="2:21">
      <c r="B190">
        <v>187</v>
      </c>
      <c r="U190" t="s">
        <v>349</v>
      </c>
    </row>
    <row r="191" spans="2:21">
      <c r="B191">
        <v>188</v>
      </c>
      <c r="U191" t="s">
        <v>350</v>
      </c>
    </row>
    <row r="192" spans="2:21">
      <c r="B192">
        <v>189</v>
      </c>
      <c r="U192" t="s">
        <v>351</v>
      </c>
    </row>
    <row r="193" spans="2:22">
      <c r="B193">
        <v>190</v>
      </c>
      <c r="U193" t="s">
        <v>352</v>
      </c>
    </row>
    <row r="194" spans="2:22">
      <c r="B194">
        <v>191</v>
      </c>
      <c r="U194" t="s">
        <v>353</v>
      </c>
    </row>
    <row r="195" spans="2:22">
      <c r="B195">
        <v>192</v>
      </c>
      <c r="U195" t="s">
        <v>354</v>
      </c>
    </row>
    <row r="196" spans="2:22">
      <c r="B196">
        <v>193</v>
      </c>
      <c r="U196" t="s">
        <v>355</v>
      </c>
      <c r="V196" s="73"/>
    </row>
    <row r="197" spans="2:22">
      <c r="B197">
        <v>194</v>
      </c>
      <c r="U197" t="s">
        <v>356</v>
      </c>
    </row>
    <row r="198" spans="2:22">
      <c r="B198">
        <v>195</v>
      </c>
      <c r="U198" t="s">
        <v>357</v>
      </c>
    </row>
    <row r="199" spans="2:22">
      <c r="B199">
        <v>196</v>
      </c>
      <c r="U199" t="s">
        <v>358</v>
      </c>
    </row>
    <row r="200" spans="2:22">
      <c r="B200">
        <v>197</v>
      </c>
      <c r="U200" t="s">
        <v>359</v>
      </c>
    </row>
    <row r="201" spans="2:22">
      <c r="B201">
        <v>198</v>
      </c>
    </row>
    <row r="202" spans="2:22">
      <c r="B202">
        <v>199</v>
      </c>
    </row>
    <row r="203" spans="2:22">
      <c r="B203">
        <v>200</v>
      </c>
    </row>
    <row r="204" spans="2:22">
      <c r="B204">
        <v>201</v>
      </c>
    </row>
    <row r="205" spans="2:22">
      <c r="B205">
        <v>202</v>
      </c>
    </row>
    <row r="206" spans="2:22">
      <c r="B206">
        <v>203</v>
      </c>
    </row>
    <row r="207" spans="2:22">
      <c r="B207">
        <v>204</v>
      </c>
    </row>
    <row r="208" spans="2:22">
      <c r="B208">
        <v>205</v>
      </c>
    </row>
    <row r="209" spans="2:2">
      <c r="B209">
        <v>206</v>
      </c>
    </row>
    <row r="210" spans="2:2">
      <c r="B210">
        <v>207</v>
      </c>
    </row>
    <row r="211" spans="2:2">
      <c r="B211">
        <v>208</v>
      </c>
    </row>
    <row r="212" spans="2:2">
      <c r="B212">
        <v>209</v>
      </c>
    </row>
    <row r="213" spans="2:2">
      <c r="B213">
        <v>210</v>
      </c>
    </row>
    <row r="214" spans="2:2">
      <c r="B214">
        <v>211</v>
      </c>
    </row>
    <row r="215" spans="2:2">
      <c r="B215">
        <v>212</v>
      </c>
    </row>
    <row r="216" spans="2:2">
      <c r="B216">
        <v>213</v>
      </c>
    </row>
    <row r="217" spans="2:2">
      <c r="B217">
        <v>214</v>
      </c>
    </row>
    <row r="218" spans="2:2">
      <c r="B218">
        <v>215</v>
      </c>
    </row>
    <row r="219" spans="2:2">
      <c r="B219">
        <v>216</v>
      </c>
    </row>
    <row r="220" spans="2:2">
      <c r="B220">
        <v>217</v>
      </c>
    </row>
    <row r="221" spans="2:2">
      <c r="B221">
        <v>218</v>
      </c>
    </row>
    <row r="222" spans="2:2">
      <c r="B222">
        <v>219</v>
      </c>
    </row>
    <row r="223" spans="2:2">
      <c r="B223">
        <v>220</v>
      </c>
    </row>
    <row r="224" spans="2:2">
      <c r="B224">
        <v>221</v>
      </c>
    </row>
    <row r="225" spans="2:2">
      <c r="B225">
        <v>222</v>
      </c>
    </row>
    <row r="226" spans="2:2">
      <c r="B226">
        <v>223</v>
      </c>
    </row>
    <row r="227" spans="2:2">
      <c r="B227">
        <v>224</v>
      </c>
    </row>
    <row r="228" spans="2:2">
      <c r="B228">
        <v>225</v>
      </c>
    </row>
    <row r="229" spans="2:2">
      <c r="B229">
        <v>226</v>
      </c>
    </row>
    <row r="230" spans="2:2">
      <c r="B230">
        <v>227</v>
      </c>
    </row>
    <row r="231" spans="2:2">
      <c r="B231">
        <v>228</v>
      </c>
    </row>
    <row r="232" spans="2:2">
      <c r="B232">
        <v>229</v>
      </c>
    </row>
    <row r="233" spans="2:2">
      <c r="B233">
        <v>230</v>
      </c>
    </row>
    <row r="234" spans="2:2">
      <c r="B234">
        <v>231</v>
      </c>
    </row>
    <row r="235" spans="2:2">
      <c r="B235">
        <v>232</v>
      </c>
    </row>
    <row r="236" spans="2:2">
      <c r="B236">
        <v>233</v>
      </c>
    </row>
    <row r="237" spans="2:2">
      <c r="B237">
        <v>234</v>
      </c>
    </row>
    <row r="238" spans="2:2">
      <c r="B238">
        <v>235</v>
      </c>
    </row>
    <row r="239" spans="2:2">
      <c r="B239">
        <v>236</v>
      </c>
    </row>
    <row r="240" spans="2:2">
      <c r="B240">
        <v>237</v>
      </c>
    </row>
    <row r="241" spans="2:2">
      <c r="B241">
        <v>238</v>
      </c>
    </row>
    <row r="242" spans="2:2">
      <c r="B242">
        <v>239</v>
      </c>
    </row>
    <row r="243" spans="2:2">
      <c r="B243">
        <v>240</v>
      </c>
    </row>
    <row r="244" spans="2:2">
      <c r="B244">
        <v>241</v>
      </c>
    </row>
    <row r="245" spans="2:2">
      <c r="B245">
        <v>242</v>
      </c>
    </row>
    <row r="246" spans="2:2">
      <c r="B246">
        <v>243</v>
      </c>
    </row>
    <row r="247" spans="2:2">
      <c r="B247">
        <v>244</v>
      </c>
    </row>
    <row r="248" spans="2:2">
      <c r="B248">
        <v>245</v>
      </c>
    </row>
    <row r="249" spans="2:2">
      <c r="B249">
        <v>246</v>
      </c>
    </row>
    <row r="250" spans="2:2">
      <c r="B250">
        <v>247</v>
      </c>
    </row>
    <row r="251" spans="2:2">
      <c r="B251">
        <v>248</v>
      </c>
    </row>
    <row r="252" spans="2:2">
      <c r="B252">
        <v>249</v>
      </c>
    </row>
    <row r="253" spans="2:2">
      <c r="B253">
        <v>250</v>
      </c>
    </row>
    <row r="254" spans="2:2">
      <c r="B254">
        <v>251</v>
      </c>
    </row>
    <row r="255" spans="2:2">
      <c r="B255">
        <v>252</v>
      </c>
    </row>
    <row r="256" spans="2:2">
      <c r="B256">
        <v>253</v>
      </c>
    </row>
    <row r="257" spans="2:2">
      <c r="B257">
        <v>254</v>
      </c>
    </row>
    <row r="258" spans="2:2">
      <c r="B258">
        <v>255</v>
      </c>
    </row>
    <row r="259" spans="2:2">
      <c r="B259">
        <v>256</v>
      </c>
    </row>
    <row r="260" spans="2:2">
      <c r="B260">
        <v>257</v>
      </c>
    </row>
    <row r="261" spans="2:2">
      <c r="B261">
        <v>258</v>
      </c>
    </row>
    <row r="262" spans="2:2">
      <c r="B262">
        <v>259</v>
      </c>
    </row>
    <row r="263" spans="2:2">
      <c r="B263">
        <v>260</v>
      </c>
    </row>
    <row r="264" spans="2:2">
      <c r="B264">
        <v>261</v>
      </c>
    </row>
    <row r="265" spans="2:2">
      <c r="B265">
        <v>262</v>
      </c>
    </row>
    <row r="266" spans="2:2">
      <c r="B266">
        <v>263</v>
      </c>
    </row>
    <row r="267" spans="2:2">
      <c r="B267">
        <v>264</v>
      </c>
    </row>
    <row r="268" spans="2:2">
      <c r="B268">
        <v>265</v>
      </c>
    </row>
    <row r="269" spans="2:2">
      <c r="B269">
        <v>266</v>
      </c>
    </row>
    <row r="270" spans="2:2">
      <c r="B270">
        <v>267</v>
      </c>
    </row>
    <row r="271" spans="2:2">
      <c r="B271">
        <v>268</v>
      </c>
    </row>
    <row r="272" spans="2:2">
      <c r="B272">
        <v>269</v>
      </c>
    </row>
    <row r="273" spans="2:2">
      <c r="B273">
        <v>270</v>
      </c>
    </row>
    <row r="274" spans="2:2">
      <c r="B274">
        <v>271</v>
      </c>
    </row>
    <row r="275" spans="2:2">
      <c r="B275">
        <v>272</v>
      </c>
    </row>
    <row r="276" spans="2:2">
      <c r="B276">
        <v>273</v>
      </c>
    </row>
    <row r="277" spans="2:2">
      <c r="B277">
        <v>274</v>
      </c>
    </row>
    <row r="278" spans="2:2">
      <c r="B278">
        <v>275</v>
      </c>
    </row>
    <row r="279" spans="2:2">
      <c r="B279">
        <v>276</v>
      </c>
    </row>
    <row r="280" spans="2:2">
      <c r="B280">
        <v>277</v>
      </c>
    </row>
    <row r="281" spans="2:2">
      <c r="B281">
        <v>278</v>
      </c>
    </row>
    <row r="282" spans="2:2">
      <c r="B282">
        <v>279</v>
      </c>
    </row>
    <row r="283" spans="2:2">
      <c r="B283">
        <v>280</v>
      </c>
    </row>
    <row r="284" spans="2:2">
      <c r="B284">
        <v>281</v>
      </c>
    </row>
    <row r="285" spans="2:2">
      <c r="B285">
        <v>282</v>
      </c>
    </row>
    <row r="286" spans="2:2">
      <c r="B286">
        <v>283</v>
      </c>
    </row>
    <row r="287" spans="2:2">
      <c r="B287">
        <v>284</v>
      </c>
    </row>
    <row r="288" spans="2:2">
      <c r="B288">
        <v>285</v>
      </c>
    </row>
    <row r="289" spans="2:2">
      <c r="B289">
        <v>286</v>
      </c>
    </row>
    <row r="290" spans="2:2">
      <c r="B290">
        <v>287</v>
      </c>
    </row>
    <row r="291" spans="2:2">
      <c r="B291">
        <v>288</v>
      </c>
    </row>
    <row r="292" spans="2:2">
      <c r="B292">
        <v>289</v>
      </c>
    </row>
    <row r="293" spans="2:2">
      <c r="B293">
        <v>290</v>
      </c>
    </row>
    <row r="294" spans="2:2">
      <c r="B294">
        <v>291</v>
      </c>
    </row>
    <row r="295" spans="2:2">
      <c r="B295">
        <v>292</v>
      </c>
    </row>
    <row r="296" spans="2:2">
      <c r="B296">
        <v>293</v>
      </c>
    </row>
    <row r="297" spans="2:2">
      <c r="B297">
        <v>294</v>
      </c>
    </row>
    <row r="298" spans="2:2">
      <c r="B298">
        <v>295</v>
      </c>
    </row>
    <row r="299" spans="2:2">
      <c r="B299">
        <v>296</v>
      </c>
    </row>
    <row r="300" spans="2:2">
      <c r="B300">
        <v>297</v>
      </c>
    </row>
    <row r="301" spans="2:2">
      <c r="B301">
        <v>298</v>
      </c>
    </row>
    <row r="302" spans="2:2">
      <c r="B302">
        <v>299</v>
      </c>
    </row>
    <row r="303" spans="2:2">
      <c r="B303">
        <v>300</v>
      </c>
    </row>
    <row r="304" spans="2:2">
      <c r="B304">
        <v>301</v>
      </c>
    </row>
    <row r="305" spans="2:2">
      <c r="B305">
        <v>302</v>
      </c>
    </row>
    <row r="306" spans="2:2">
      <c r="B306">
        <v>303</v>
      </c>
    </row>
    <row r="307" spans="2:2">
      <c r="B307">
        <v>304</v>
      </c>
    </row>
    <row r="308" spans="2:2">
      <c r="B308">
        <v>305</v>
      </c>
    </row>
    <row r="309" spans="2:2">
      <c r="B309">
        <v>306</v>
      </c>
    </row>
    <row r="310" spans="2:2">
      <c r="B310">
        <v>307</v>
      </c>
    </row>
    <row r="311" spans="2:2">
      <c r="B311">
        <v>308</v>
      </c>
    </row>
    <row r="312" spans="2:2">
      <c r="B312">
        <v>309</v>
      </c>
    </row>
    <row r="313" spans="2:2">
      <c r="B313">
        <v>310</v>
      </c>
    </row>
    <row r="314" spans="2:2">
      <c r="B314">
        <v>311</v>
      </c>
    </row>
    <row r="315" spans="2:2">
      <c r="B315">
        <v>312</v>
      </c>
    </row>
    <row r="316" spans="2:2">
      <c r="B316">
        <v>313</v>
      </c>
    </row>
    <row r="317" spans="2:2">
      <c r="B317">
        <v>314</v>
      </c>
    </row>
    <row r="318" spans="2:2">
      <c r="B318">
        <v>315</v>
      </c>
    </row>
    <row r="319" spans="2:2">
      <c r="B319">
        <v>316</v>
      </c>
    </row>
    <row r="320" spans="2:2">
      <c r="B320">
        <v>317</v>
      </c>
    </row>
    <row r="321" spans="2:2">
      <c r="B321">
        <v>318</v>
      </c>
    </row>
    <row r="322" spans="2:2">
      <c r="B322">
        <v>319</v>
      </c>
    </row>
    <row r="323" spans="2:2">
      <c r="B323">
        <v>320</v>
      </c>
    </row>
    <row r="324" spans="2:2">
      <c r="B324">
        <v>321</v>
      </c>
    </row>
    <row r="325" spans="2:2">
      <c r="B325">
        <v>322</v>
      </c>
    </row>
    <row r="326" spans="2:2">
      <c r="B326">
        <v>323</v>
      </c>
    </row>
    <row r="327" spans="2:2">
      <c r="B327">
        <v>324</v>
      </c>
    </row>
    <row r="328" spans="2:2">
      <c r="B328">
        <v>325</v>
      </c>
    </row>
    <row r="329" spans="2:2">
      <c r="B329">
        <v>326</v>
      </c>
    </row>
    <row r="330" spans="2:2">
      <c r="B330">
        <v>327</v>
      </c>
    </row>
    <row r="331" spans="2:2">
      <c r="B331">
        <v>328</v>
      </c>
    </row>
    <row r="332" spans="2:2">
      <c r="B332">
        <v>329</v>
      </c>
    </row>
    <row r="333" spans="2:2">
      <c r="B333">
        <v>330</v>
      </c>
    </row>
    <row r="334" spans="2:2">
      <c r="B334">
        <v>331</v>
      </c>
    </row>
    <row r="335" spans="2:2">
      <c r="B335">
        <v>332</v>
      </c>
    </row>
    <row r="336" spans="2:2">
      <c r="B336">
        <v>333</v>
      </c>
    </row>
    <row r="337" spans="2:2">
      <c r="B337">
        <v>334</v>
      </c>
    </row>
    <row r="338" spans="2:2">
      <c r="B338">
        <v>335</v>
      </c>
    </row>
    <row r="339" spans="2:2">
      <c r="B339">
        <v>336</v>
      </c>
    </row>
    <row r="340" spans="2:2">
      <c r="B340">
        <v>337</v>
      </c>
    </row>
    <row r="341" spans="2:2">
      <c r="B341">
        <v>338</v>
      </c>
    </row>
    <row r="342" spans="2:2">
      <c r="B342">
        <v>339</v>
      </c>
    </row>
    <row r="343" spans="2:2">
      <c r="B343">
        <v>340</v>
      </c>
    </row>
    <row r="344" spans="2:2">
      <c r="B344">
        <v>341</v>
      </c>
    </row>
    <row r="345" spans="2:2">
      <c r="B345">
        <v>342</v>
      </c>
    </row>
    <row r="346" spans="2:2">
      <c r="B346">
        <v>343</v>
      </c>
    </row>
    <row r="347" spans="2:2">
      <c r="B347">
        <v>344</v>
      </c>
    </row>
    <row r="348" spans="2:2">
      <c r="B348">
        <v>345</v>
      </c>
    </row>
    <row r="349" spans="2:2">
      <c r="B349">
        <v>346</v>
      </c>
    </row>
    <row r="350" spans="2:2">
      <c r="B350">
        <v>347</v>
      </c>
    </row>
    <row r="351" spans="2:2">
      <c r="B351">
        <v>348</v>
      </c>
    </row>
    <row r="352" spans="2:2">
      <c r="B352">
        <v>349</v>
      </c>
    </row>
    <row r="353" spans="2:2">
      <c r="B353">
        <v>350</v>
      </c>
    </row>
    <row r="354" spans="2:2">
      <c r="B354">
        <v>351</v>
      </c>
    </row>
    <row r="355" spans="2:2">
      <c r="B355">
        <v>352</v>
      </c>
    </row>
    <row r="356" spans="2:2">
      <c r="B356">
        <v>353</v>
      </c>
    </row>
    <row r="357" spans="2:2">
      <c r="B357">
        <v>354</v>
      </c>
    </row>
    <row r="358" spans="2:2">
      <c r="B358">
        <v>355</v>
      </c>
    </row>
    <row r="359" spans="2:2">
      <c r="B359">
        <v>356</v>
      </c>
    </row>
    <row r="360" spans="2:2">
      <c r="B360">
        <v>357</v>
      </c>
    </row>
    <row r="361" spans="2:2">
      <c r="B361">
        <v>358</v>
      </c>
    </row>
    <row r="362" spans="2:2">
      <c r="B362">
        <v>359</v>
      </c>
    </row>
    <row r="363" spans="2:2">
      <c r="B363">
        <v>360</v>
      </c>
    </row>
    <row r="364" spans="2:2">
      <c r="B364">
        <v>361</v>
      </c>
    </row>
    <row r="365" spans="2:2">
      <c r="B365">
        <v>362</v>
      </c>
    </row>
    <row r="366" spans="2:2">
      <c r="B366">
        <v>363</v>
      </c>
    </row>
    <row r="367" spans="2:2">
      <c r="B367">
        <v>364</v>
      </c>
    </row>
    <row r="368" spans="2:2">
      <c r="B368">
        <v>365</v>
      </c>
    </row>
    <row r="369" spans="2:2">
      <c r="B369">
        <v>366</v>
      </c>
    </row>
    <row r="370" spans="2:2">
      <c r="B370">
        <v>367</v>
      </c>
    </row>
    <row r="371" spans="2:2">
      <c r="B371">
        <v>368</v>
      </c>
    </row>
    <row r="372" spans="2:2">
      <c r="B372">
        <v>369</v>
      </c>
    </row>
    <row r="373" spans="2:2">
      <c r="B373">
        <v>370</v>
      </c>
    </row>
    <row r="374" spans="2:2">
      <c r="B374">
        <v>371</v>
      </c>
    </row>
    <row r="375" spans="2:2">
      <c r="B375">
        <v>372</v>
      </c>
    </row>
    <row r="376" spans="2:2">
      <c r="B376">
        <v>373</v>
      </c>
    </row>
    <row r="377" spans="2:2">
      <c r="B377">
        <v>374</v>
      </c>
    </row>
    <row r="378" spans="2:2">
      <c r="B378">
        <v>375</v>
      </c>
    </row>
    <row r="379" spans="2:2">
      <c r="B379">
        <v>376</v>
      </c>
    </row>
    <row r="380" spans="2:2">
      <c r="B380">
        <v>377</v>
      </c>
    </row>
    <row r="381" spans="2:2">
      <c r="B381">
        <v>378</v>
      </c>
    </row>
    <row r="382" spans="2:2">
      <c r="B382">
        <v>379</v>
      </c>
    </row>
    <row r="383" spans="2:2">
      <c r="B383">
        <v>380</v>
      </c>
    </row>
    <row r="384" spans="2:2">
      <c r="B384">
        <v>381</v>
      </c>
    </row>
    <row r="385" spans="2:2">
      <c r="B385">
        <v>382</v>
      </c>
    </row>
    <row r="386" spans="2:2">
      <c r="B386">
        <v>383</v>
      </c>
    </row>
    <row r="387" spans="2:2">
      <c r="B387">
        <v>384</v>
      </c>
    </row>
    <row r="388" spans="2:2">
      <c r="B388">
        <v>385</v>
      </c>
    </row>
    <row r="389" spans="2:2">
      <c r="B389">
        <v>386</v>
      </c>
    </row>
    <row r="390" spans="2:2">
      <c r="B390">
        <v>387</v>
      </c>
    </row>
    <row r="391" spans="2:2">
      <c r="B391">
        <v>388</v>
      </c>
    </row>
    <row r="392" spans="2:2">
      <c r="B392">
        <v>389</v>
      </c>
    </row>
    <row r="393" spans="2:2">
      <c r="B393">
        <v>390</v>
      </c>
    </row>
    <row r="394" spans="2:2">
      <c r="B394">
        <v>391</v>
      </c>
    </row>
    <row r="395" spans="2:2">
      <c r="B395">
        <v>392</v>
      </c>
    </row>
    <row r="396" spans="2:2">
      <c r="B396">
        <v>393</v>
      </c>
    </row>
    <row r="397" spans="2:2">
      <c r="B397">
        <v>394</v>
      </c>
    </row>
    <row r="398" spans="2:2">
      <c r="B398">
        <v>395</v>
      </c>
    </row>
    <row r="399" spans="2:2">
      <c r="B399">
        <v>396</v>
      </c>
    </row>
    <row r="400" spans="2:2">
      <c r="B400">
        <v>397</v>
      </c>
    </row>
    <row r="401" spans="2:2">
      <c r="B401">
        <v>398</v>
      </c>
    </row>
    <row r="402" spans="2:2">
      <c r="B402">
        <v>399</v>
      </c>
    </row>
    <row r="403" spans="2:2">
      <c r="B403">
        <v>400</v>
      </c>
    </row>
    <row r="404" spans="2:2">
      <c r="B404">
        <v>401</v>
      </c>
    </row>
    <row r="405" spans="2:2">
      <c r="B405">
        <v>402</v>
      </c>
    </row>
    <row r="406" spans="2:2">
      <c r="B406">
        <v>403</v>
      </c>
    </row>
    <row r="407" spans="2:2">
      <c r="B407">
        <v>404</v>
      </c>
    </row>
    <row r="408" spans="2:2">
      <c r="B408">
        <v>405</v>
      </c>
    </row>
    <row r="409" spans="2:2">
      <c r="B409">
        <v>406</v>
      </c>
    </row>
    <row r="410" spans="2:2">
      <c r="B410">
        <v>407</v>
      </c>
    </row>
    <row r="411" spans="2:2">
      <c r="B411">
        <v>408</v>
      </c>
    </row>
    <row r="412" spans="2:2">
      <c r="B412">
        <v>409</v>
      </c>
    </row>
    <row r="413" spans="2:2">
      <c r="B413">
        <v>410</v>
      </c>
    </row>
    <row r="414" spans="2:2">
      <c r="B414">
        <v>411</v>
      </c>
    </row>
    <row r="415" spans="2:2">
      <c r="B415">
        <v>412</v>
      </c>
    </row>
    <row r="416" spans="2:2">
      <c r="B416">
        <v>413</v>
      </c>
    </row>
    <row r="417" spans="2:2">
      <c r="B417">
        <v>414</v>
      </c>
    </row>
    <row r="418" spans="2:2">
      <c r="B418">
        <v>415</v>
      </c>
    </row>
    <row r="419" spans="2:2">
      <c r="B419">
        <v>416</v>
      </c>
    </row>
    <row r="420" spans="2:2">
      <c r="B420">
        <v>417</v>
      </c>
    </row>
    <row r="421" spans="2:2">
      <c r="B421">
        <v>418</v>
      </c>
    </row>
    <row r="422" spans="2:2">
      <c r="B422">
        <v>419</v>
      </c>
    </row>
    <row r="423" spans="2:2">
      <c r="B423">
        <v>420</v>
      </c>
    </row>
    <row r="424" spans="2:2">
      <c r="B424">
        <v>421</v>
      </c>
    </row>
    <row r="425" spans="2:2">
      <c r="B425">
        <v>422</v>
      </c>
    </row>
    <row r="426" spans="2:2">
      <c r="B426">
        <v>423</v>
      </c>
    </row>
    <row r="427" spans="2:2">
      <c r="B427">
        <v>424</v>
      </c>
    </row>
    <row r="428" spans="2:2">
      <c r="B428">
        <v>425</v>
      </c>
    </row>
    <row r="429" spans="2:2">
      <c r="B429">
        <v>426</v>
      </c>
    </row>
    <row r="430" spans="2:2">
      <c r="B430">
        <v>427</v>
      </c>
    </row>
    <row r="431" spans="2:2">
      <c r="B431">
        <v>428</v>
      </c>
    </row>
    <row r="432" spans="2:2">
      <c r="B432">
        <v>429</v>
      </c>
    </row>
    <row r="433" spans="2:2">
      <c r="B433">
        <v>430</v>
      </c>
    </row>
    <row r="434" spans="2:2">
      <c r="B434">
        <v>431</v>
      </c>
    </row>
    <row r="435" spans="2:2">
      <c r="B435">
        <v>432</v>
      </c>
    </row>
    <row r="436" spans="2:2">
      <c r="B436">
        <v>433</v>
      </c>
    </row>
    <row r="437" spans="2:2">
      <c r="B437">
        <v>434</v>
      </c>
    </row>
    <row r="438" spans="2:2">
      <c r="B438">
        <v>435</v>
      </c>
    </row>
    <row r="439" spans="2:2">
      <c r="B439">
        <v>436</v>
      </c>
    </row>
    <row r="440" spans="2:2">
      <c r="B440">
        <v>437</v>
      </c>
    </row>
    <row r="441" spans="2:2">
      <c r="B441">
        <v>438</v>
      </c>
    </row>
    <row r="442" spans="2:2">
      <c r="B442">
        <v>439</v>
      </c>
    </row>
    <row r="443" spans="2:2">
      <c r="B443">
        <v>440</v>
      </c>
    </row>
    <row r="444" spans="2:2">
      <c r="B444">
        <v>441</v>
      </c>
    </row>
    <row r="445" spans="2:2">
      <c r="B445">
        <v>442</v>
      </c>
    </row>
    <row r="446" spans="2:2">
      <c r="B446">
        <v>443</v>
      </c>
    </row>
    <row r="447" spans="2:2">
      <c r="B447">
        <v>444</v>
      </c>
    </row>
    <row r="448" spans="2:2">
      <c r="B448">
        <v>445</v>
      </c>
    </row>
    <row r="449" spans="2:2">
      <c r="B449">
        <v>446</v>
      </c>
    </row>
    <row r="450" spans="2:2">
      <c r="B450">
        <v>447</v>
      </c>
    </row>
    <row r="451" spans="2:2">
      <c r="B451">
        <v>448</v>
      </c>
    </row>
    <row r="452" spans="2:2">
      <c r="B452">
        <v>449</v>
      </c>
    </row>
    <row r="453" spans="2:2">
      <c r="B453">
        <v>450</v>
      </c>
    </row>
    <row r="454" spans="2:2">
      <c r="B454">
        <v>451</v>
      </c>
    </row>
    <row r="455" spans="2:2">
      <c r="B455">
        <v>452</v>
      </c>
    </row>
    <row r="456" spans="2:2">
      <c r="B456">
        <v>453</v>
      </c>
    </row>
    <row r="457" spans="2:2">
      <c r="B457">
        <v>454</v>
      </c>
    </row>
    <row r="458" spans="2:2">
      <c r="B458">
        <v>455</v>
      </c>
    </row>
    <row r="459" spans="2:2">
      <c r="B459">
        <v>456</v>
      </c>
    </row>
    <row r="460" spans="2:2">
      <c r="B460">
        <v>457</v>
      </c>
    </row>
    <row r="461" spans="2:2">
      <c r="B461">
        <v>458</v>
      </c>
    </row>
    <row r="462" spans="2:2">
      <c r="B462">
        <v>459</v>
      </c>
    </row>
    <row r="463" spans="2:2">
      <c r="B463">
        <v>460</v>
      </c>
    </row>
    <row r="464" spans="2:2">
      <c r="B464">
        <v>461</v>
      </c>
    </row>
    <row r="465" spans="2:2">
      <c r="B465">
        <v>462</v>
      </c>
    </row>
    <row r="466" spans="2:2">
      <c r="B466">
        <v>463</v>
      </c>
    </row>
    <row r="467" spans="2:2">
      <c r="B467">
        <v>464</v>
      </c>
    </row>
    <row r="468" spans="2:2">
      <c r="B468">
        <v>465</v>
      </c>
    </row>
    <row r="469" spans="2:2">
      <c r="B469">
        <v>466</v>
      </c>
    </row>
    <row r="470" spans="2:2">
      <c r="B470">
        <v>467</v>
      </c>
    </row>
    <row r="471" spans="2:2">
      <c r="B471">
        <v>468</v>
      </c>
    </row>
    <row r="472" spans="2:2">
      <c r="B472">
        <v>469</v>
      </c>
    </row>
    <row r="473" spans="2:2">
      <c r="B473">
        <v>470</v>
      </c>
    </row>
    <row r="474" spans="2:2">
      <c r="B474">
        <v>471</v>
      </c>
    </row>
    <row r="475" spans="2:2">
      <c r="B475">
        <v>472</v>
      </c>
    </row>
    <row r="476" spans="2:2">
      <c r="B476">
        <v>473</v>
      </c>
    </row>
    <row r="477" spans="2:2">
      <c r="B477">
        <v>474</v>
      </c>
    </row>
    <row r="478" spans="2:2">
      <c r="B478">
        <v>475</v>
      </c>
    </row>
    <row r="479" spans="2:2">
      <c r="B479">
        <v>476</v>
      </c>
    </row>
    <row r="480" spans="2:2">
      <c r="B480">
        <v>477</v>
      </c>
    </row>
    <row r="481" spans="2:2">
      <c r="B481">
        <v>478</v>
      </c>
    </row>
    <row r="482" spans="2:2">
      <c r="B482">
        <v>479</v>
      </c>
    </row>
    <row r="483" spans="2:2">
      <c r="B483">
        <v>480</v>
      </c>
    </row>
    <row r="484" spans="2:2">
      <c r="B484">
        <v>481</v>
      </c>
    </row>
    <row r="485" spans="2:2">
      <c r="B485">
        <v>482</v>
      </c>
    </row>
    <row r="486" spans="2:2">
      <c r="B486">
        <v>483</v>
      </c>
    </row>
    <row r="487" spans="2:2">
      <c r="B487">
        <v>484</v>
      </c>
    </row>
    <row r="488" spans="2:2">
      <c r="B488">
        <v>485</v>
      </c>
    </row>
    <row r="489" spans="2:2">
      <c r="B489">
        <v>486</v>
      </c>
    </row>
    <row r="490" spans="2:2">
      <c r="B490">
        <v>487</v>
      </c>
    </row>
    <row r="491" spans="2:2">
      <c r="B491">
        <v>488</v>
      </c>
    </row>
    <row r="492" spans="2:2">
      <c r="B492">
        <v>489</v>
      </c>
    </row>
    <row r="493" spans="2:2">
      <c r="B493">
        <v>490</v>
      </c>
    </row>
    <row r="494" spans="2:2">
      <c r="B494">
        <v>491</v>
      </c>
    </row>
    <row r="495" spans="2:2">
      <c r="B495">
        <v>492</v>
      </c>
    </row>
    <row r="496" spans="2:2">
      <c r="B496">
        <v>493</v>
      </c>
    </row>
    <row r="497" spans="2:2">
      <c r="B497">
        <v>494</v>
      </c>
    </row>
    <row r="498" spans="2:2">
      <c r="B498">
        <v>495</v>
      </c>
    </row>
    <row r="499" spans="2:2">
      <c r="B499">
        <v>496</v>
      </c>
    </row>
    <row r="500" spans="2:2">
      <c r="B500">
        <v>497</v>
      </c>
    </row>
    <row r="501" spans="2:2">
      <c r="B501">
        <v>498</v>
      </c>
    </row>
    <row r="502" spans="2:2">
      <c r="B502">
        <v>499</v>
      </c>
    </row>
    <row r="503" spans="2:2">
      <c r="B503">
        <v>500</v>
      </c>
    </row>
    <row r="504" spans="2:2">
      <c r="B504">
        <v>501</v>
      </c>
    </row>
    <row r="505" spans="2:2">
      <c r="B505">
        <v>502</v>
      </c>
    </row>
    <row r="506" spans="2:2">
      <c r="B506">
        <v>2025</v>
      </c>
    </row>
    <row r="507" spans="2:2">
      <c r="B507">
        <v>2026</v>
      </c>
    </row>
    <row r="508" spans="2:2">
      <c r="B508">
        <v>2027</v>
      </c>
    </row>
    <row r="509" spans="2:2">
      <c r="B509">
        <v>2028</v>
      </c>
    </row>
    <row r="510" spans="2:2">
      <c r="B510">
        <v>2029</v>
      </c>
    </row>
    <row r="511" spans="2:2">
      <c r="B511">
        <v>2030</v>
      </c>
    </row>
    <row r="512" spans="2:2">
      <c r="B512">
        <v>2031</v>
      </c>
    </row>
    <row r="513" spans="2:2">
      <c r="B513">
        <v>2032</v>
      </c>
    </row>
    <row r="514" spans="2:2">
      <c r="B514">
        <v>2033</v>
      </c>
    </row>
    <row r="515" spans="2:2">
      <c r="B515">
        <v>2000</v>
      </c>
    </row>
  </sheetData>
  <hyperlinks>
    <hyperlink ref="E19" r:id="rId1" xr:uid="{C29A4805-5929-41F6-8126-0FECC1EC0758}"/>
    <hyperlink ref="E20" r:id="rId2" xr:uid="{7D187CBF-5F0F-43EC-8F48-F20277AB94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CB1A-ACAF-48CA-A6AD-4DD0D3A676EA}">
  <dimension ref="A1:B4"/>
  <sheetViews>
    <sheetView workbookViewId="0">
      <selection activeCell="D5" sqref="D5"/>
    </sheetView>
  </sheetViews>
  <sheetFormatPr defaultColWidth="11.42578125" defaultRowHeight="15"/>
  <cols>
    <col min="1" max="1" width="12.85546875" bestFit="1" customWidth="1"/>
    <col min="2" max="2" width="52.7109375" bestFit="1" customWidth="1"/>
  </cols>
  <sheetData>
    <row r="1" spans="1:2">
      <c r="A1" s="1174" t="s">
        <v>360</v>
      </c>
      <c r="B1" s="1175"/>
    </row>
    <row r="2" spans="1:2">
      <c r="A2" s="50" t="s">
        <v>361</v>
      </c>
      <c r="B2" s="51" t="s">
        <v>2</v>
      </c>
    </row>
    <row r="3" spans="1:2">
      <c r="A3" s="52" t="s">
        <v>362</v>
      </c>
      <c r="B3" s="53" t="s">
        <v>363</v>
      </c>
    </row>
    <row r="4" spans="1:2" ht="15.75" thickBot="1">
      <c r="A4" s="54" t="s">
        <v>364</v>
      </c>
      <c r="B4" s="55" t="s">
        <v>365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92FE-0443-4B5D-A3FA-66822FF57396}">
  <dimension ref="A2:C12"/>
  <sheetViews>
    <sheetView workbookViewId="0">
      <selection activeCell="A6" sqref="A6:A7"/>
    </sheetView>
  </sheetViews>
  <sheetFormatPr defaultRowHeight="15"/>
  <cols>
    <col min="1" max="1" width="39.5703125" bestFit="1" customWidth="1"/>
    <col min="2" max="2" width="49.140625" customWidth="1"/>
    <col min="3" max="3" width="57" customWidth="1"/>
  </cols>
  <sheetData>
    <row r="2" spans="1:3" ht="34.5">
      <c r="A2" s="99" t="s">
        <v>366</v>
      </c>
      <c r="B2" s="99" t="s">
        <v>367</v>
      </c>
      <c r="C2" s="99" t="s">
        <v>368</v>
      </c>
    </row>
    <row r="3" spans="1:3">
      <c r="A3" s="94" t="s">
        <v>369</v>
      </c>
      <c r="B3" s="97" t="s">
        <v>370</v>
      </c>
      <c r="C3" s="98" t="s">
        <v>371</v>
      </c>
    </row>
    <row r="4" spans="1:3">
      <c r="A4" s="74" t="s">
        <v>372</v>
      </c>
      <c r="B4" s="82" t="s">
        <v>373</v>
      </c>
      <c r="C4" s="83" t="s">
        <v>373</v>
      </c>
    </row>
    <row r="5" spans="1:3">
      <c r="A5" s="74" t="s">
        <v>374</v>
      </c>
      <c r="B5" s="82" t="s">
        <v>375</v>
      </c>
      <c r="C5" s="83" t="s">
        <v>375</v>
      </c>
    </row>
    <row r="6" spans="1:3">
      <c r="A6" s="74" t="s">
        <v>376</v>
      </c>
      <c r="B6" s="82" t="s">
        <v>377</v>
      </c>
      <c r="C6" s="83" t="s">
        <v>377</v>
      </c>
    </row>
    <row r="7" spans="1:3">
      <c r="A7" s="74" t="s">
        <v>378</v>
      </c>
      <c r="B7" s="82" t="s">
        <v>379</v>
      </c>
      <c r="C7" s="83" t="s">
        <v>379</v>
      </c>
    </row>
    <row r="8" spans="1:3">
      <c r="A8" s="74" t="s">
        <v>380</v>
      </c>
      <c r="B8" s="82" t="s">
        <v>381</v>
      </c>
      <c r="C8" s="83" t="s">
        <v>381</v>
      </c>
    </row>
    <row r="9" spans="1:3">
      <c r="A9" s="74" t="s">
        <v>382</v>
      </c>
      <c r="B9" s="82" t="s">
        <v>383</v>
      </c>
      <c r="C9" s="83" t="s">
        <v>383</v>
      </c>
    </row>
    <row r="10" spans="1:3">
      <c r="A10" s="74" t="s">
        <v>384</v>
      </c>
      <c r="B10" s="84" t="s">
        <v>385</v>
      </c>
      <c r="C10" s="83" t="s">
        <v>385</v>
      </c>
    </row>
    <row r="11" spans="1:3">
      <c r="A11" s="74" t="s">
        <v>386</v>
      </c>
      <c r="B11" s="59" t="s">
        <v>387</v>
      </c>
      <c r="C11" s="83" t="s">
        <v>387</v>
      </c>
    </row>
    <row r="12" spans="1:3">
      <c r="A12" s="74" t="s">
        <v>388</v>
      </c>
      <c r="B12" s="85" t="s">
        <v>389</v>
      </c>
      <c r="C12" s="83" t="s">
        <v>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B4DF-CC62-4BE8-BF25-B83BEB22A7F0}">
  <dimension ref="A1:U22"/>
  <sheetViews>
    <sheetView tabSelected="1" zoomScale="85" zoomScaleNormal="85" workbookViewId="0">
      <pane xSplit="1" topLeftCell="B1" activePane="topRight" state="frozen"/>
      <selection pane="topRight" activeCell="A7" sqref="A7:B8"/>
    </sheetView>
  </sheetViews>
  <sheetFormatPr defaultColWidth="11.42578125" defaultRowHeight="15"/>
  <cols>
    <col min="1" max="1" width="23.8554687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6.8554687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63.5703125" style="1" bestFit="1" customWidth="1"/>
    <col min="20" max="20" width="132.5703125" style="1" bestFit="1" customWidth="1"/>
    <col min="21" max="21" width="52.28515625" style="1" bestFit="1" customWidth="1"/>
    <col min="22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</row>
    <row r="2" spans="1:21">
      <c r="A2" s="4" t="s">
        <v>391</v>
      </c>
      <c r="B2" s="1186" t="str">
        <f>'Listado Objetos de Dominio'!$A$4</f>
        <v>Categoría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</row>
    <row r="3" spans="1:21">
      <c r="A3" s="4" t="s">
        <v>392</v>
      </c>
      <c r="B3" s="1187" t="str">
        <f>'Listado Objetos de Dominio'!B4</f>
        <v>Objeto de dominio que representa la clasificación por Categoría las motocicletas según su tipo o uso.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945" t="str">
        <f>A17</f>
        <v>Consultar la Información de la Categoría</v>
      </c>
      <c r="U4" s="460" t="str">
        <f>B17</f>
        <v>Consultar la Información de una Categoría Motocicleta</v>
      </c>
    </row>
    <row r="5" spans="1:21" ht="27">
      <c r="A5" s="11" t="str">
        <f>'Categoría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7" t="str">
        <f>'Categoría Muestreo'!A2</f>
        <v xml:space="preserve"> Corresponde al identificador único que va a permitir diferenciar cada una de las categorías de motocicletas en el sistema</v>
      </c>
      <c r="T5" s="946" t="s">
        <v>408</v>
      </c>
      <c r="U5" s="652" t="s">
        <v>409</v>
      </c>
    </row>
    <row r="6" spans="1:21" ht="27">
      <c r="A6" s="11" t="str">
        <f>'Categoría Muestreo'!B3</f>
        <v>nombre</v>
      </c>
      <c r="B6" s="5" t="s">
        <v>75</v>
      </c>
      <c r="C6" s="5">
        <v>1</v>
      </c>
      <c r="D6" s="5">
        <v>166</v>
      </c>
      <c r="E6" s="5"/>
      <c r="F6" s="5"/>
      <c r="G6" s="5"/>
      <c r="H6" s="5" t="s">
        <v>410</v>
      </c>
      <c r="I6" s="5" t="s">
        <v>411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'Categoría Muestreo'!B2</f>
        <v xml:space="preserve"> Corresponde al atributo que clasifica una motocicleta por categoría  según sus características y uso principal</v>
      </c>
      <c r="T6" s="946" t="s">
        <v>412</v>
      </c>
      <c r="U6" s="652" t="s">
        <v>413</v>
      </c>
    </row>
    <row r="8" spans="1:21">
      <c r="T8" s="330"/>
    </row>
    <row r="9" spans="1:21">
      <c r="T9" s="331"/>
    </row>
    <row r="11" spans="1:21">
      <c r="A11" s="1188" t="s">
        <v>414</v>
      </c>
      <c r="B11" s="1189"/>
      <c r="C11" s="1190"/>
    </row>
    <row r="12" spans="1:21">
      <c r="A12" s="17" t="s">
        <v>415</v>
      </c>
      <c r="B12" s="16" t="s">
        <v>2</v>
      </c>
      <c r="C12" s="18" t="s">
        <v>416</v>
      </c>
      <c r="I12" s="89"/>
    </row>
    <row r="13" spans="1:21" ht="72" customHeight="1">
      <c r="A13" s="15" t="s">
        <v>417</v>
      </c>
      <c r="B13" s="15" t="str">
        <f>'Categoría Muestreo'!C2</f>
        <v>El nombre de la categoría no debe de tener duplicidad en el registro de categorías de motocicletas</v>
      </c>
      <c r="C13" s="38" t="str">
        <f>A6</f>
        <v>nombre</v>
      </c>
      <c r="G13" s="1" t="s">
        <v>418</v>
      </c>
    </row>
    <row r="15" spans="1:21">
      <c r="A15" s="68" t="s">
        <v>419</v>
      </c>
      <c r="B15" s="1197" t="s">
        <v>2</v>
      </c>
      <c r="C15" s="1198"/>
      <c r="D15" s="1197" t="s">
        <v>420</v>
      </c>
      <c r="E15" s="1208"/>
      <c r="F15" s="1208"/>
      <c r="G15" s="1208"/>
      <c r="H15" s="1208"/>
      <c r="I15" s="1208"/>
      <c r="J15" s="318"/>
      <c r="K15" s="1202" t="s">
        <v>421</v>
      </c>
      <c r="L15" s="1202"/>
      <c r="M15" s="1202"/>
      <c r="N15" s="1178" t="s">
        <v>422</v>
      </c>
      <c r="O15" s="1202"/>
      <c r="P15" s="1202"/>
      <c r="Q15" s="1206"/>
      <c r="R15" s="1207"/>
      <c r="S15" s="325"/>
      <c r="T15" s="290"/>
    </row>
    <row r="16" spans="1:21">
      <c r="A16" s="70"/>
      <c r="B16" s="1199"/>
      <c r="C16" s="1200"/>
      <c r="D16" s="1199" t="s">
        <v>423</v>
      </c>
      <c r="E16" s="1201"/>
      <c r="F16" s="1201"/>
      <c r="G16" s="1200"/>
      <c r="H16" s="19" t="s">
        <v>424</v>
      </c>
      <c r="I16" s="19" t="s">
        <v>2</v>
      </c>
      <c r="J16" s="286" t="s">
        <v>66</v>
      </c>
      <c r="K16" s="1203" t="s">
        <v>2</v>
      </c>
      <c r="L16" s="1204"/>
      <c r="M16" s="1205"/>
      <c r="N16" s="321" t="s">
        <v>425</v>
      </c>
      <c r="O16" s="1176" t="s">
        <v>2</v>
      </c>
      <c r="P16" s="1177"/>
      <c r="Q16" s="1178" t="s">
        <v>426</v>
      </c>
      <c r="R16" s="1179"/>
      <c r="S16" s="326" t="s">
        <v>427</v>
      </c>
      <c r="T16" s="290"/>
    </row>
    <row r="17" spans="1:20" ht="108" customHeight="1">
      <c r="A17" s="947" t="s">
        <v>428</v>
      </c>
      <c r="B17" s="1191" t="s">
        <v>429</v>
      </c>
      <c r="C17" s="1191"/>
      <c r="D17" s="1192" t="s">
        <v>430</v>
      </c>
      <c r="E17" s="1193"/>
      <c r="F17" s="1193"/>
      <c r="G17" s="1193"/>
      <c r="H17" s="949" t="s">
        <v>431</v>
      </c>
      <c r="I17" s="949" t="s">
        <v>432</v>
      </c>
      <c r="J17" s="950" t="s">
        <v>433</v>
      </c>
      <c r="K17" s="1194" t="s">
        <v>434</v>
      </c>
      <c r="L17" s="1195"/>
      <c r="M17" s="1195"/>
      <c r="N17" s="948" t="s">
        <v>435</v>
      </c>
      <c r="O17" s="1192" t="s">
        <v>436</v>
      </c>
      <c r="P17" s="1196"/>
      <c r="Q17" s="1193" t="s">
        <v>437</v>
      </c>
      <c r="R17" s="1193"/>
      <c r="S17" s="951" t="s">
        <v>438</v>
      </c>
    </row>
    <row r="18" spans="1:20" ht="140.25" customHeight="1">
      <c r="A18" s="1158" t="s">
        <v>439</v>
      </c>
      <c r="B18" s="1180" t="s">
        <v>440</v>
      </c>
      <c r="C18" s="1180"/>
      <c r="D18" s="1181" t="s">
        <v>441</v>
      </c>
      <c r="E18" s="1182"/>
      <c r="F18" s="1182"/>
      <c r="G18" s="1182"/>
      <c r="H18" s="561" t="s">
        <v>431</v>
      </c>
      <c r="I18" s="561" t="s">
        <v>442</v>
      </c>
      <c r="J18" s="308"/>
      <c r="K18" s="1183"/>
      <c r="L18" s="1184"/>
      <c r="M18" s="1184"/>
      <c r="N18" s="308" t="s">
        <v>443</v>
      </c>
      <c r="O18" s="1181" t="s">
        <v>444</v>
      </c>
      <c r="P18" s="1182"/>
      <c r="Q18" s="1181" t="s">
        <v>437</v>
      </c>
      <c r="R18" s="1182"/>
      <c r="S18" s="459" t="s">
        <v>438</v>
      </c>
      <c r="T18" s="291"/>
    </row>
    <row r="20" spans="1:20">
      <c r="A20" s="137" t="s">
        <v>82</v>
      </c>
      <c r="B20" s="138">
        <v>0.1</v>
      </c>
      <c r="C20" s="138">
        <v>0.2</v>
      </c>
      <c r="D20" s="139">
        <v>0.3</v>
      </c>
    </row>
    <row r="21" spans="1:20">
      <c r="A21" s="140">
        <v>2</v>
      </c>
      <c r="B21" s="136">
        <f>ROUNDUP($A$21*$B$20,0)</f>
        <v>1</v>
      </c>
      <c r="C21" s="136">
        <f>ROUNDUP($A$21*$C$20,0)</f>
        <v>1</v>
      </c>
      <c r="D21" s="136">
        <f>ROUNDUP($A$21*$D$20,0)</f>
        <v>1</v>
      </c>
    </row>
    <row r="22" spans="1:20">
      <c r="A22" s="141">
        <v>128</v>
      </c>
      <c r="B22" s="142">
        <f>ROUND($A$22*$B$20,0)</f>
        <v>13</v>
      </c>
      <c r="C22" s="142">
        <f>ROUND($A$22*$C$20,0)</f>
        <v>26</v>
      </c>
      <c r="D22" s="142">
        <f>ROUND($A$22*$D$20,0)</f>
        <v>38</v>
      </c>
    </row>
  </sheetData>
  <mergeCells count="23">
    <mergeCell ref="A1:S1"/>
    <mergeCell ref="B2:S2"/>
    <mergeCell ref="B3:S3"/>
    <mergeCell ref="A11:C11"/>
    <mergeCell ref="B17:C17"/>
    <mergeCell ref="D17:G17"/>
    <mergeCell ref="K17:M17"/>
    <mergeCell ref="O17:P17"/>
    <mergeCell ref="Q17:R17"/>
    <mergeCell ref="B15:C15"/>
    <mergeCell ref="B16:C16"/>
    <mergeCell ref="D16:G16"/>
    <mergeCell ref="K15:M15"/>
    <mergeCell ref="K16:M16"/>
    <mergeCell ref="N15:R15"/>
    <mergeCell ref="D15:I15"/>
    <mergeCell ref="O16:P16"/>
    <mergeCell ref="Q16:R16"/>
    <mergeCell ref="B18:C18"/>
    <mergeCell ref="D18:G18"/>
    <mergeCell ref="K18:M18"/>
    <mergeCell ref="O18:P18"/>
    <mergeCell ref="Q18:R18"/>
  </mergeCells>
  <dataValidations count="1">
    <dataValidation allowBlank="1" showInputMessage="1" showErrorMessage="1" sqref="H5:H6 I5" xr:uid="{35530F66-2BC2-4B70-8E9D-B590FF12EC4F}"/>
  </dataValidations>
  <hyperlinks>
    <hyperlink ref="A1" location="'Objetos de Dominio'!A1" display="Volver al inicio" xr:uid="{FFCC4B55-F3E7-4BA4-8EAF-9C63FACF5BA6}"/>
    <hyperlink ref="T4" location="'Objeto Dominio 2'!A16" display="'Objeto Dominio 2'!A16" xr:uid="{91772731-52EF-431C-8C45-45AB01B779D3}"/>
    <hyperlink ref="A1:S1" location="'Listado Objetos de Dominio'!A1" display="&lt;-Volver al inicio" xr:uid="{39E3DFB8-6C70-4EAE-BE2B-0350382E762C}"/>
    <hyperlink ref="C13" location="'Categoría Caracterización'!A6" display="=A6" xr:uid="{D8F8478E-D79A-4B1B-8670-EC9BCAE4E0E6}"/>
    <hyperlink ref="A17:B17" location="'Objeto Dominio 2'!R4" display="Reponsabilidad 2" xr:uid="{1703097B-7052-4847-B3C0-A872350A8A92}"/>
    <hyperlink ref="U4" location="'Objeto Dominio 2'!A16" display="'Objeto Dominio 2'!A16" xr:uid="{BBB4E22D-F811-48DD-BF87-15D5FE3444DE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C7472AA-55C1-43BF-8F09-BF8A8E278FFE}">
          <x14:formula1>
            <xm:f>Caracterizacion!$C$3:$C$18</xm:f>
          </x14:formula1>
          <xm:sqref>E5:E6</xm:sqref>
        </x14:dataValidation>
        <x14:dataValidation type="list" allowBlank="1" showInputMessage="1" showErrorMessage="1" xr:uid="{C4003167-D98A-4D8D-A2DA-3067ACEE9624}">
          <x14:formula1>
            <xm:f>Caracterizacion!$D$3:$D$8</xm:f>
          </x14:formula1>
          <xm:sqref>F5:G6</xm:sqref>
        </x14:dataValidation>
        <x14:dataValidation type="list" allowBlank="1" showInputMessage="1" showErrorMessage="1" xr:uid="{2EC509AF-C924-41FE-BC3A-EB2CF55CE7E3}">
          <x14:formula1>
            <xm:f>Caracterizacion!$H$3:$H$4</xm:f>
          </x14:formula1>
          <xm:sqref>L5:R6</xm:sqref>
        </x14:dataValidation>
        <x14:dataValidation type="custom" allowBlank="1" showInputMessage="1" showErrorMessage="1" xr:uid="{3480C29E-4C8F-4AD8-B932-BA1AA9F03562}">
          <x14:formula1>
            <xm:f>Caracterizacion!$F$3</xm:f>
          </x14:formula1>
          <xm:sqref>J5</xm:sqref>
        </x14:dataValidation>
        <x14:dataValidation type="list" allowBlank="1" showInputMessage="1" showErrorMessage="1" xr:uid="{22C90D4D-45C4-43C5-AF5B-D4DD7B911E29}">
          <x14:formula1>
            <xm:f>Caracterizacion!$A$3:$A$40</xm:f>
          </x14:formula1>
          <xm:sqref>B6</xm:sqref>
        </x14:dataValidation>
        <x14:dataValidation type="list" allowBlank="1" showInputMessage="1" showErrorMessage="1" xr:uid="{FE9F81FB-D1BE-4A9A-B351-F8D4C6D03FE7}">
          <x14:formula1>
            <xm:f>Caracterizacion!$A$3:$A$14</xm:f>
          </x14:formula1>
          <xm:sqref>B5</xm:sqref>
        </x14:dataValidation>
        <x14:dataValidation type="list" allowBlank="1" showInputMessage="1" showErrorMessage="1" xr:uid="{449C52C0-5FA3-4C02-B44D-12088625A2E3}">
          <x14:formula1>
            <xm:f>Caracterizacion!$B$4:$B$505</xm:f>
          </x14:formula1>
          <xm:sqref>C5:D6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421C-0F1C-458F-9821-C915F7330B47}">
  <dimension ref="A1:I77"/>
  <sheetViews>
    <sheetView workbookViewId="0">
      <selection activeCell="G4" sqref="G4"/>
    </sheetView>
  </sheetViews>
  <sheetFormatPr defaultRowHeight="15"/>
  <cols>
    <col min="1" max="1" width="40.140625" bestFit="1" customWidth="1"/>
    <col min="2" max="2" width="83.85546875" bestFit="1" customWidth="1"/>
    <col min="3" max="3" width="32.5703125" customWidth="1"/>
    <col min="4" max="4" width="30.7109375" bestFit="1" customWidth="1"/>
    <col min="5" max="5" width="42.85546875" bestFit="1" customWidth="1"/>
    <col min="6" max="6" width="19.5703125" bestFit="1" customWidth="1"/>
    <col min="7" max="7" width="93.28515625" bestFit="1" customWidth="1"/>
    <col min="8" max="8" width="93.7109375" bestFit="1" customWidth="1"/>
    <col min="9" max="9" width="124.7109375" bestFit="1" customWidth="1"/>
  </cols>
  <sheetData>
    <row r="1" spans="1:9">
      <c r="D1" t="s">
        <v>445</v>
      </c>
    </row>
    <row r="2" spans="1:9" ht="34.5">
      <c r="A2" s="99" t="s">
        <v>446</v>
      </c>
      <c r="B2" s="99" t="s">
        <v>447</v>
      </c>
      <c r="C2" s="99" t="s">
        <v>448</v>
      </c>
      <c r="D2" s="99" t="s">
        <v>449</v>
      </c>
      <c r="E2" s="99" t="s">
        <v>450</v>
      </c>
      <c r="F2" s="99" t="s">
        <v>451</v>
      </c>
      <c r="G2" s="148" t="s">
        <v>452</v>
      </c>
      <c r="H2" s="122"/>
      <c r="I2" s="122"/>
    </row>
    <row r="3" spans="1:9">
      <c r="A3" s="56" t="s">
        <v>369</v>
      </c>
      <c r="B3" s="63" t="s">
        <v>157</v>
      </c>
      <c r="C3" s="56" t="s">
        <v>453</v>
      </c>
      <c r="D3" s="63" t="s">
        <v>454</v>
      </c>
      <c r="E3" s="56" t="s">
        <v>455</v>
      </c>
      <c r="F3" s="149" t="s">
        <v>456</v>
      </c>
      <c r="G3" s="210" t="s">
        <v>371</v>
      </c>
      <c r="H3" s="209"/>
      <c r="I3" s="209"/>
    </row>
    <row r="4" spans="1:9">
      <c r="A4" s="79" t="s">
        <v>239</v>
      </c>
      <c r="B4" s="63" t="s">
        <v>457</v>
      </c>
      <c r="C4" s="56" t="s">
        <v>458</v>
      </c>
      <c r="D4" s="63" t="s">
        <v>459</v>
      </c>
      <c r="E4" s="56" t="s">
        <v>460</v>
      </c>
      <c r="F4" s="149" t="s">
        <v>461</v>
      </c>
      <c r="G4" s="211" t="s">
        <v>462</v>
      </c>
      <c r="H4" s="59"/>
      <c r="I4" s="59"/>
    </row>
    <row r="5" spans="1:9">
      <c r="A5" s="79" t="s">
        <v>241</v>
      </c>
      <c r="B5" s="63" t="s">
        <v>463</v>
      </c>
      <c r="C5" s="56" t="s">
        <v>464</v>
      </c>
      <c r="D5" s="56">
        <v>0</v>
      </c>
      <c r="E5" s="56"/>
      <c r="F5" s="149"/>
      <c r="G5" s="211" t="s">
        <v>465</v>
      </c>
      <c r="H5" s="59"/>
      <c r="I5" s="59"/>
    </row>
    <row r="6" spans="1:9">
      <c r="B6" s="59"/>
      <c r="C6" s="117"/>
      <c r="D6" s="59"/>
    </row>
    <row r="7" spans="1:9">
      <c r="B7" s="59"/>
      <c r="C7" s="117"/>
      <c r="D7" s="59"/>
    </row>
    <row r="8" spans="1:9">
      <c r="B8" s="59"/>
      <c r="C8" s="117"/>
      <c r="D8" s="59"/>
    </row>
    <row r="9" spans="1:9">
      <c r="B9" s="59"/>
      <c r="C9" s="117"/>
      <c r="D9" s="59"/>
    </row>
    <row r="10" spans="1:9">
      <c r="B10" s="59"/>
      <c r="C10" s="117"/>
      <c r="D10" s="59"/>
    </row>
    <row r="11" spans="1:9">
      <c r="B11" s="59"/>
      <c r="C11" s="117"/>
      <c r="D11" s="59"/>
    </row>
    <row r="12" spans="1:9">
      <c r="B12" s="59"/>
      <c r="C12" s="117"/>
      <c r="D12" s="59"/>
    </row>
    <row r="13" spans="1:9">
      <c r="B13" s="59"/>
      <c r="C13" s="117"/>
      <c r="D13" s="59"/>
    </row>
    <row r="14" spans="1:9">
      <c r="B14" s="59"/>
      <c r="C14" s="117"/>
      <c r="D14" s="59"/>
    </row>
    <row r="15" spans="1:9">
      <c r="B15" s="59"/>
      <c r="C15" s="117"/>
      <c r="D15" s="59"/>
    </row>
    <row r="16" spans="1:9">
      <c r="B16" s="59"/>
      <c r="C16" s="117"/>
      <c r="D16" s="59"/>
    </row>
    <row r="17" spans="2:4">
      <c r="B17" s="59"/>
      <c r="C17" s="117"/>
      <c r="D17" s="59"/>
    </row>
    <row r="18" spans="2:4">
      <c r="B18" s="59"/>
      <c r="C18" s="117"/>
      <c r="D18" s="59"/>
    </row>
    <row r="19" spans="2:4">
      <c r="B19" s="59"/>
      <c r="C19" s="117"/>
      <c r="D19" s="59"/>
    </row>
    <row r="20" spans="2:4">
      <c r="B20" s="59"/>
      <c r="C20" s="117"/>
      <c r="D20" s="59"/>
    </row>
    <row r="21" spans="2:4">
      <c r="B21" s="59"/>
      <c r="C21" s="117"/>
      <c r="D21" s="59"/>
    </row>
    <row r="22" spans="2:4">
      <c r="B22" s="59"/>
      <c r="C22" s="117"/>
      <c r="D22" s="59"/>
    </row>
    <row r="23" spans="2:4">
      <c r="B23" s="59"/>
      <c r="C23" s="117"/>
      <c r="D23" s="59"/>
    </row>
    <row r="24" spans="2:4">
      <c r="B24" s="59"/>
      <c r="C24" s="117"/>
      <c r="D24" s="59"/>
    </row>
    <row r="25" spans="2:4">
      <c r="B25" s="59"/>
      <c r="C25" s="117"/>
      <c r="D25" s="59"/>
    </row>
    <row r="26" spans="2:4">
      <c r="B26" s="59"/>
      <c r="C26" s="117"/>
      <c r="D26" s="59"/>
    </row>
    <row r="27" spans="2:4">
      <c r="B27" s="59"/>
      <c r="C27" s="117"/>
      <c r="D27" s="59"/>
    </row>
    <row r="28" spans="2:4">
      <c r="B28" s="59"/>
      <c r="C28" s="117"/>
      <c r="D28" s="59"/>
    </row>
    <row r="29" spans="2:4">
      <c r="B29" s="59"/>
      <c r="C29" s="117"/>
      <c r="D29" s="59"/>
    </row>
    <row r="30" spans="2:4">
      <c r="B30" s="59"/>
      <c r="C30" s="117"/>
      <c r="D30" s="59"/>
    </row>
    <row r="31" spans="2:4">
      <c r="B31" s="59"/>
      <c r="C31" s="117"/>
      <c r="D31" s="59"/>
    </row>
    <row r="32" spans="2:4">
      <c r="B32" s="59"/>
      <c r="C32" s="117"/>
      <c r="D32" s="59"/>
    </row>
    <row r="33" spans="1:4">
      <c r="B33" s="59"/>
      <c r="C33" s="117"/>
      <c r="D33" s="59"/>
    </row>
    <row r="34" spans="1:4">
      <c r="B34" s="59"/>
      <c r="C34" s="117"/>
      <c r="D34" s="59"/>
    </row>
    <row r="35" spans="1:4">
      <c r="B35" s="59"/>
      <c r="C35" s="118"/>
      <c r="D35" s="59"/>
    </row>
    <row r="36" spans="1:4">
      <c r="A36" s="73"/>
      <c r="B36" s="59"/>
      <c r="C36" s="118"/>
      <c r="D36" s="59"/>
    </row>
    <row r="37" spans="1:4">
      <c r="B37" s="59"/>
      <c r="C37" s="117"/>
      <c r="D37" s="59"/>
    </row>
    <row r="38" spans="1:4">
      <c r="B38" s="59"/>
      <c r="C38" s="117"/>
      <c r="D38" s="59"/>
    </row>
    <row r="39" spans="1:4">
      <c r="B39" s="59"/>
      <c r="C39" s="117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8"/>
      <c r="D51" s="59"/>
    </row>
    <row r="52" spans="2:4">
      <c r="B52" s="59"/>
      <c r="C52" s="118"/>
      <c r="D52" s="59"/>
    </row>
    <row r="53" spans="2:4">
      <c r="B53" s="59"/>
      <c r="C53" s="117"/>
      <c r="D53" s="59"/>
    </row>
    <row r="54" spans="2:4">
      <c r="B54" s="59"/>
      <c r="C54" s="117"/>
      <c r="D54" s="59"/>
    </row>
    <row r="55" spans="2:4">
      <c r="B55" s="59"/>
      <c r="C55" s="117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8"/>
      <c r="D60" s="59"/>
    </row>
    <row r="61" spans="2:4">
      <c r="B61" s="59"/>
      <c r="C61" s="118"/>
      <c r="D61" s="59"/>
    </row>
    <row r="62" spans="2:4">
      <c r="B62" s="59"/>
      <c r="C62" s="118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7"/>
      <c r="D69" s="59"/>
    </row>
    <row r="70" spans="2:4">
      <c r="B70" s="59"/>
      <c r="C70" s="117"/>
      <c r="D70" s="59"/>
    </row>
    <row r="71" spans="2:4">
      <c r="B71" s="59"/>
      <c r="C71" s="117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</sheetData>
  <hyperlinks>
    <hyperlink ref="B3" location="'Servicio Realizado'!A2" display="servicioRealizado" xr:uid="{C86854A3-367E-450B-B5BC-553791E0504B}"/>
    <hyperlink ref="D3" location="'Rango Calificacion'!A2" display="rangCalificacion" xr:uid="{F78B98F6-7912-46D9-9346-EF3038BE753D}"/>
    <hyperlink ref="B4" location="'Servicio Realizado'!F3" display="Baike universe - Cambio de aceite y filtros - Finalizado  - 12/12/2024 - 12/12/2024 - MRC35E" xr:uid="{B59ACA93-F7C4-4833-AE96-90EC9B8C709A}"/>
    <hyperlink ref="D4" location="'Rango Calificacion'!E7" display="Exelente 5-5" xr:uid="{B2404B34-0508-46AC-8187-756E4A0F4E20}"/>
    <hyperlink ref="B5" location="'Servicio Realizado'!F3" display="Dos Ruedas - Revisión/ajuste de frenos - Cancelado  - 13/12/2024 - 13/12/2024 - YBR67A" xr:uid="{CD09DFC1-F8AA-4E38-A4A7-7BD7DB96C63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6BF5-26E5-4367-9F10-5AAA62E346AA}">
  <dimension ref="A1:W32"/>
  <sheetViews>
    <sheetView zoomScale="85" zoomScaleNormal="85" workbookViewId="0">
      <pane xSplit="1" topLeftCell="B23" activePane="topRight" state="frozen"/>
      <selection pane="topRight" activeCell="A31" sqref="A31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21.140625" style="1" customWidth="1"/>
    <col min="6" max="6" width="21.28515625" style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32" style="1" customWidth="1"/>
    <col min="19" max="19" width="25" style="1" bestFit="1" customWidth="1"/>
    <col min="20" max="20" width="113.140625" style="1" customWidth="1"/>
    <col min="21" max="21" width="45.7109375" style="1" customWidth="1"/>
    <col min="22" max="22" width="46.42578125" style="1" bestFit="1" customWidth="1"/>
    <col min="23" max="23" width="47.7109375" style="1" customWidth="1"/>
    <col min="24" max="24" width="52.28515625" style="1" bestFit="1" customWidth="1"/>
    <col min="25" max="16384" width="11.42578125" style="1"/>
  </cols>
  <sheetData>
    <row r="1" spans="1:23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3">
      <c r="A2" s="4" t="s">
        <v>391</v>
      </c>
      <c r="B2" s="1209" t="str">
        <f>'Listado Objetos de Dominio'!$A$3</f>
        <v>Calificación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3">
      <c r="A3" s="189" t="s">
        <v>392</v>
      </c>
      <c r="B3" s="1210" t="str">
        <f>'Listado Objetos de Dominio'!$B$3</f>
        <v>Objeto de dominio que representa la valoración numérica dada a un servicio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3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A23</f>
        <v>Registrar información de la Calificación</v>
      </c>
      <c r="V4" s="35" t="str">
        <f>A27</f>
        <v>Modificar Información de la Calificación</v>
      </c>
      <c r="W4" s="2" t="str">
        <f>A31</f>
        <v>Consultar  Información de la calificación</v>
      </c>
    </row>
    <row r="5" spans="1:23">
      <c r="A5" s="184" t="str">
        <f>'Calificación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'Calificación Muestreo'!A2</f>
        <v>Corresponde al identificador único que identifica cada calificación realizada por un usuario a un servicio.</v>
      </c>
      <c r="U5" s="795" t="s">
        <v>467</v>
      </c>
      <c r="V5" s="39" t="s">
        <v>409</v>
      </c>
      <c r="W5" s="905" t="s">
        <v>468</v>
      </c>
    </row>
    <row r="6" spans="1:23" ht="91.5">
      <c r="A6" s="184" t="str">
        <f>'Calificación Muestreo'!B3</f>
        <v>servicioRealizado</v>
      </c>
      <c r="B6" s="184" t="s">
        <v>157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78</v>
      </c>
      <c r="R6" s="186" t="s">
        <v>81</v>
      </c>
      <c r="S6" s="186" t="s">
        <v>81</v>
      </c>
      <c r="T6" s="185" t="str">
        <f>'Calificación Muestreo'!B2</f>
        <v>Corresponde al ServicioRealizado que identifica el servicio que fue realizado y  puede ser calificado.</v>
      </c>
      <c r="U6" s="795" t="s">
        <v>467</v>
      </c>
      <c r="V6" s="39" t="s">
        <v>413</v>
      </c>
      <c r="W6" s="905" t="s">
        <v>469</v>
      </c>
    </row>
    <row r="7" spans="1:23" ht="45.75">
      <c r="A7" s="184" t="str">
        <f>'Calificación Muestreo'!C3</f>
        <v>fechaCalificacion</v>
      </c>
      <c r="B7" s="184" t="s">
        <v>91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'Calificación Muestreo'!C2</f>
        <v>Corresponde al atributo que indica la fecha en que el usuario realizó la calificación del servicio.</v>
      </c>
      <c r="U7" s="795" t="s">
        <v>467</v>
      </c>
      <c r="V7" s="39" t="s">
        <v>413</v>
      </c>
      <c r="W7" s="905" t="s">
        <v>470</v>
      </c>
    </row>
    <row r="8" spans="1:23" ht="76.5">
      <c r="A8" s="184" t="str">
        <f>'Calificación Muestreo'!D3</f>
        <v>calificación</v>
      </c>
      <c r="B8" s="184" t="s">
        <v>151</v>
      </c>
      <c r="C8" s="184"/>
      <c r="D8" s="184"/>
      <c r="E8" s="184"/>
      <c r="F8" s="184"/>
      <c r="G8" s="184"/>
      <c r="H8" s="184"/>
      <c r="I8" s="184"/>
      <c r="J8" s="184"/>
      <c r="K8" s="185"/>
      <c r="L8" s="186" t="s">
        <v>81</v>
      </c>
      <c r="M8" s="186" t="s">
        <v>81</v>
      </c>
      <c r="N8" s="186" t="s">
        <v>81</v>
      </c>
      <c r="O8" s="186" t="s">
        <v>81</v>
      </c>
      <c r="P8" s="186" t="s">
        <v>78</v>
      </c>
      <c r="Q8" s="186" t="s">
        <v>78</v>
      </c>
      <c r="R8" s="186" t="s">
        <v>81</v>
      </c>
      <c r="S8" s="186" t="s">
        <v>81</v>
      </c>
      <c r="T8" s="185" t="str">
        <f>'Calificación Muestreo'!D2</f>
        <v>Corresponde al rangoCalificacion que indica la calificación otorgada un servicio.</v>
      </c>
      <c r="U8" s="795" t="s">
        <v>467</v>
      </c>
      <c r="V8" s="39" t="s">
        <v>413</v>
      </c>
      <c r="W8" s="804" t="s">
        <v>471</v>
      </c>
    </row>
    <row r="9" spans="1:23" ht="45.75">
      <c r="A9" s="184" t="str">
        <f>'Calificación Muestreo'!E3</f>
        <v>comentario</v>
      </c>
      <c r="B9" s="184" t="s">
        <v>75</v>
      </c>
      <c r="C9" s="184">
        <v>1</v>
      </c>
      <c r="D9" s="184">
        <v>200</v>
      </c>
      <c r="E9" s="184"/>
      <c r="F9" s="184"/>
      <c r="G9" s="184"/>
      <c r="H9" s="184" t="s">
        <v>410</v>
      </c>
      <c r="I9" s="5" t="s">
        <v>411</v>
      </c>
      <c r="J9" s="184"/>
      <c r="K9" s="185"/>
      <c r="L9" s="186" t="s">
        <v>78</v>
      </c>
      <c r="M9" s="186" t="s">
        <v>78</v>
      </c>
      <c r="N9" s="186" t="s">
        <v>81</v>
      </c>
      <c r="O9" s="186" t="s">
        <v>81</v>
      </c>
      <c r="P9" s="186" t="s">
        <v>78</v>
      </c>
      <c r="Q9" s="186" t="s">
        <v>78</v>
      </c>
      <c r="R9" s="186" t="s">
        <v>78</v>
      </c>
      <c r="S9" s="186" t="s">
        <v>81</v>
      </c>
      <c r="T9" s="185" t="str">
        <f>'Calificación Muestreo'!E2</f>
        <v>Corresponde al atributo que permite al usuario expresar su opinión detallada sobre el servicio recibido.</v>
      </c>
      <c r="U9" s="795" t="s">
        <v>467</v>
      </c>
      <c r="V9" s="39" t="s">
        <v>413</v>
      </c>
      <c r="W9" s="1115" t="s">
        <v>472</v>
      </c>
    </row>
    <row r="10" spans="1:23" ht="49.5" customHeight="1">
      <c r="A10" s="184" t="str">
        <f>'Calificación Muestreo'!F3</f>
        <v>comentarioOfensivo</v>
      </c>
      <c r="B10" s="184" t="s">
        <v>89</v>
      </c>
      <c r="C10" s="184"/>
      <c r="D10" s="184"/>
      <c r="E10" s="184"/>
      <c r="F10" s="184"/>
      <c r="G10" s="184"/>
      <c r="H10" s="184"/>
      <c r="I10" s="184"/>
      <c r="J10" s="184"/>
      <c r="K10" s="185"/>
      <c r="L10" s="186" t="s">
        <v>81</v>
      </c>
      <c r="M10" s="186" t="s">
        <v>81</v>
      </c>
      <c r="N10" s="186" t="s">
        <v>81</v>
      </c>
      <c r="O10" s="186" t="s">
        <v>81</v>
      </c>
      <c r="P10" s="186" t="s">
        <v>78</v>
      </c>
      <c r="Q10" s="186" t="s">
        <v>78</v>
      </c>
      <c r="R10" s="186" t="s">
        <v>78</v>
      </c>
      <c r="S10" s="186" t="s">
        <v>81</v>
      </c>
      <c r="T10" s="185" t="str">
        <f>'Calificación Muestreo'!F2</f>
        <v>Corresponde al atributo que indica si el comentario contiene contenido ofensivo</v>
      </c>
      <c r="U10" s="795" t="s">
        <v>467</v>
      </c>
      <c r="V10" s="39" t="s">
        <v>413</v>
      </c>
      <c r="W10" s="905" t="s">
        <v>472</v>
      </c>
    </row>
    <row r="11" spans="1:23" ht="15" customHeight="1"/>
    <row r="12" spans="1:23" ht="35.25" customHeight="1">
      <c r="A12" s="1211" t="s">
        <v>414</v>
      </c>
      <c r="B12" s="1212"/>
      <c r="C12" s="1213"/>
      <c r="G12" s="1" t="s">
        <v>418</v>
      </c>
    </row>
    <row r="13" spans="1:23">
      <c r="A13" s="193" t="s">
        <v>415</v>
      </c>
      <c r="B13" s="193" t="s">
        <v>2</v>
      </c>
      <c r="C13" s="126" t="s">
        <v>416</v>
      </c>
    </row>
    <row r="14" spans="1:23" ht="40.5" customHeight="1">
      <c r="A14" s="1214" t="s">
        <v>473</v>
      </c>
      <c r="B14" s="1214" t="str">
        <f>'Calificación Muestreo'!G2</f>
        <v>La calificación no debe tener duplicidad en la combinación del servicio realizado y la fecha de calificación.</v>
      </c>
      <c r="C14" s="228" t="str">
        <f>A6</f>
        <v>servicioRealizado</v>
      </c>
    </row>
    <row r="15" spans="1:23" ht="36" customHeight="1">
      <c r="A15" s="1215"/>
      <c r="B15" s="1215"/>
      <c r="C15" s="228" t="str">
        <f>A7</f>
        <v>fechaCalificacion</v>
      </c>
    </row>
    <row r="21" spans="1:22">
      <c r="A21" s="358" t="s">
        <v>419</v>
      </c>
      <c r="B21" s="317"/>
      <c r="C21" s="317" t="s">
        <v>2</v>
      </c>
      <c r="D21" s="317"/>
      <c r="E21" s="318"/>
      <c r="F21" s="319"/>
      <c r="G21" s="317" t="s">
        <v>420</v>
      </c>
      <c r="H21" s="333"/>
      <c r="I21" s="319"/>
      <c r="J21" s="319" t="s">
        <v>421</v>
      </c>
      <c r="K21" s="319"/>
      <c r="L21" s="319"/>
      <c r="M21" s="318"/>
      <c r="N21" s="319" t="s">
        <v>422</v>
      </c>
      <c r="O21" s="319"/>
      <c r="P21" s="319"/>
      <c r="Q21" s="318"/>
      <c r="R21" s="319" t="s">
        <v>474</v>
      </c>
      <c r="S21" s="333"/>
      <c r="T21" s="290"/>
      <c r="U21" s="290"/>
      <c r="V21" s="290"/>
    </row>
    <row r="22" spans="1:22" ht="51.75" customHeight="1">
      <c r="A22" s="312"/>
      <c r="B22" s="346"/>
      <c r="C22" s="346"/>
      <c r="D22" s="340"/>
      <c r="E22" s="341" t="s">
        <v>423</v>
      </c>
      <c r="F22" s="337" t="s">
        <v>424</v>
      </c>
      <c r="G22" s="316"/>
      <c r="H22" s="359" t="s">
        <v>2</v>
      </c>
      <c r="I22" s="346" t="s">
        <v>66</v>
      </c>
      <c r="J22" s="339"/>
      <c r="K22" s="346" t="s">
        <v>2</v>
      </c>
      <c r="L22" s="340"/>
      <c r="M22" s="337" t="s">
        <v>425</v>
      </c>
      <c r="N22" s="339"/>
      <c r="O22" s="346" t="s">
        <v>2</v>
      </c>
      <c r="P22" s="346"/>
      <c r="Q22" s="1216" t="s">
        <v>426</v>
      </c>
      <c r="R22" s="1217"/>
      <c r="S22" s="288" t="s">
        <v>427</v>
      </c>
      <c r="T22" s="290"/>
      <c r="U22" s="290"/>
      <c r="V22" s="290"/>
    </row>
    <row r="23" spans="1:22" ht="112.5" customHeight="1">
      <c r="A23" s="406" t="s">
        <v>475</v>
      </c>
      <c r="B23" s="357"/>
      <c r="C23" s="350" t="s">
        <v>476</v>
      </c>
      <c r="D23" s="350"/>
      <c r="E23" s="344" t="s">
        <v>441</v>
      </c>
      <c r="F23" s="344" t="s">
        <v>454</v>
      </c>
      <c r="G23" s="427" t="s">
        <v>477</v>
      </c>
      <c r="H23" s="428"/>
      <c r="I23" s="351"/>
      <c r="J23" s="355"/>
      <c r="K23" s="355"/>
      <c r="L23" s="524"/>
      <c r="M23" s="779" t="s">
        <v>478</v>
      </c>
      <c r="N23" s="1218" t="s">
        <v>479</v>
      </c>
      <c r="O23" s="1219"/>
      <c r="P23" s="1219"/>
      <c r="Q23" s="1218" t="s">
        <v>437</v>
      </c>
      <c r="R23" s="1220"/>
      <c r="S23" s="944" t="s">
        <v>480</v>
      </c>
    </row>
    <row r="24" spans="1:22" ht="132.75" customHeight="1">
      <c r="A24" s="406"/>
      <c r="B24" s="378"/>
      <c r="C24" s="377"/>
      <c r="D24" s="377"/>
      <c r="E24" s="396"/>
      <c r="F24" s="396"/>
      <c r="G24" s="429"/>
      <c r="H24" s="430"/>
      <c r="I24" s="376"/>
      <c r="J24" s="375"/>
      <c r="K24" s="375"/>
      <c r="L24" s="781"/>
      <c r="M24" s="779" t="s">
        <v>481</v>
      </c>
      <c r="N24" s="1218" t="s">
        <v>482</v>
      </c>
      <c r="O24" s="1219"/>
      <c r="P24" s="1219"/>
      <c r="Q24" s="1218" t="s">
        <v>483</v>
      </c>
      <c r="R24" s="1220"/>
      <c r="S24" s="783" t="s">
        <v>484</v>
      </c>
      <c r="T24" s="291"/>
      <c r="U24" s="291"/>
    </row>
    <row r="25" spans="1:22" ht="105.75" customHeight="1">
      <c r="A25" s="406"/>
      <c r="B25" s="378"/>
      <c r="C25" s="377"/>
      <c r="D25" s="377"/>
      <c r="E25" s="396"/>
      <c r="F25" s="396"/>
      <c r="G25" s="429"/>
      <c r="H25" s="430"/>
      <c r="I25" s="376"/>
      <c r="J25" s="375"/>
      <c r="K25" s="375"/>
      <c r="L25" s="781"/>
      <c r="M25" s="779" t="s">
        <v>485</v>
      </c>
      <c r="N25" s="1221" t="s">
        <v>486</v>
      </c>
      <c r="O25" s="1222"/>
      <c r="P25" s="1222"/>
      <c r="Q25" s="1223" t="s">
        <v>487</v>
      </c>
      <c r="R25" s="1224"/>
      <c r="S25" s="839" t="s">
        <v>488</v>
      </c>
      <c r="T25" s="291"/>
      <c r="U25" s="291"/>
    </row>
    <row r="26" spans="1:22" ht="117.75" customHeight="1">
      <c r="A26" s="406"/>
      <c r="B26" s="378"/>
      <c r="C26" s="377"/>
      <c r="D26" s="377"/>
      <c r="E26" s="396"/>
      <c r="F26" s="396"/>
      <c r="G26" s="504"/>
      <c r="H26" s="505"/>
      <c r="I26" s="376"/>
      <c r="J26" s="375"/>
      <c r="K26" s="375"/>
      <c r="L26" s="525"/>
      <c r="M26" s="784"/>
      <c r="N26" s="1225"/>
      <c r="O26" s="1226"/>
      <c r="P26" s="1226"/>
      <c r="Q26" s="1225"/>
      <c r="R26" s="1227"/>
      <c r="S26" s="785"/>
      <c r="T26" s="291"/>
      <c r="U26" s="291"/>
    </row>
    <row r="27" spans="1:22" ht="114.75" customHeight="1">
      <c r="A27" s="379" t="s">
        <v>489</v>
      </c>
      <c r="B27" s="380"/>
      <c r="C27" s="360" t="s">
        <v>490</v>
      </c>
      <c r="D27" s="360"/>
      <c r="E27" s="521" t="s">
        <v>441</v>
      </c>
      <c r="F27" s="345" t="s">
        <v>454</v>
      </c>
      <c r="G27" s="936" t="s">
        <v>491</v>
      </c>
      <c r="H27" s="885"/>
      <c r="I27" s="710"/>
      <c r="J27" s="709"/>
      <c r="K27" s="360"/>
      <c r="L27" s="361"/>
      <c r="M27" s="780" t="s">
        <v>492</v>
      </c>
      <c r="N27" s="1228" t="s">
        <v>493</v>
      </c>
      <c r="O27" s="1229"/>
      <c r="P27" s="1229"/>
      <c r="Q27" s="1230" t="s">
        <v>437</v>
      </c>
      <c r="R27" s="1228"/>
      <c r="S27" s="782" t="s">
        <v>480</v>
      </c>
    </row>
    <row r="28" spans="1:22" ht="114.75" customHeight="1">
      <c r="A28" s="884"/>
      <c r="B28" s="885"/>
      <c r="C28" s="886"/>
      <c r="D28" s="886"/>
      <c r="E28" s="517"/>
      <c r="F28" s="521"/>
      <c r="G28" s="550"/>
      <c r="H28" s="551"/>
      <c r="I28" s="937"/>
      <c r="J28" s="887"/>
      <c r="K28" s="886"/>
      <c r="L28" s="937"/>
      <c r="M28" s="368" t="s">
        <v>494</v>
      </c>
      <c r="N28" s="1232" t="s">
        <v>495</v>
      </c>
      <c r="O28" s="1239"/>
      <c r="P28" s="1240"/>
      <c r="Q28" s="1231" t="s">
        <v>437</v>
      </c>
      <c r="R28" s="1232"/>
      <c r="S28" s="373" t="s">
        <v>480</v>
      </c>
    </row>
    <row r="29" spans="1:22" ht="58.5" customHeight="1">
      <c r="A29" s="407"/>
      <c r="B29" s="366"/>
      <c r="C29" s="366"/>
      <c r="D29" s="366"/>
      <c r="E29" s="489" t="s">
        <v>369</v>
      </c>
      <c r="F29" s="370" t="s">
        <v>75</v>
      </c>
      <c r="G29" s="625" t="s">
        <v>496</v>
      </c>
      <c r="H29" s="626"/>
      <c r="I29" s="366"/>
      <c r="J29" s="407"/>
      <c r="K29" s="366"/>
      <c r="L29" s="367"/>
      <c r="M29" s="780" t="s">
        <v>485</v>
      </c>
      <c r="N29" s="1228" t="s">
        <v>486</v>
      </c>
      <c r="O29" s="1229"/>
      <c r="P29" s="1229"/>
      <c r="Q29" s="1230" t="s">
        <v>437</v>
      </c>
      <c r="R29" s="1228"/>
      <c r="S29" s="782" t="s">
        <v>480</v>
      </c>
    </row>
    <row r="30" spans="1:22">
      <c r="A30" s="907"/>
      <c r="B30" s="908"/>
      <c r="C30" s="909"/>
      <c r="D30" s="909"/>
      <c r="E30" s="919"/>
      <c r="F30" s="920"/>
      <c r="G30" s="938"/>
      <c r="H30" s="939"/>
      <c r="I30" s="911"/>
      <c r="J30" s="912"/>
      <c r="K30" s="909"/>
      <c r="L30" s="911"/>
      <c r="M30" s="910"/>
      <c r="N30" s="1236"/>
      <c r="O30" s="1236"/>
      <c r="P30" s="1236"/>
      <c r="Q30" s="913"/>
      <c r="R30" s="914"/>
      <c r="S30" s="915"/>
    </row>
    <row r="31" spans="1:22" ht="78.75" customHeight="1">
      <c r="A31" s="916" t="s">
        <v>497</v>
      </c>
      <c r="B31" s="917"/>
      <c r="C31" s="918" t="s">
        <v>498</v>
      </c>
      <c r="D31" s="918"/>
      <c r="E31" s="919" t="s">
        <v>499</v>
      </c>
      <c r="F31" s="920" t="s">
        <v>500</v>
      </c>
      <c r="G31" s="1234" t="s">
        <v>501</v>
      </c>
      <c r="H31" s="1235"/>
      <c r="I31" s="921" t="s">
        <v>500</v>
      </c>
      <c r="J31" s="922" t="s">
        <v>502</v>
      </c>
      <c r="K31" s="918"/>
      <c r="L31" s="921"/>
      <c r="M31" s="920" t="s">
        <v>503</v>
      </c>
      <c r="N31" s="1237" t="s">
        <v>436</v>
      </c>
      <c r="O31" s="1238"/>
      <c r="P31" s="1238"/>
      <c r="Q31" s="1234" t="s">
        <v>437</v>
      </c>
      <c r="R31" s="1238"/>
      <c r="S31" s="923" t="s">
        <v>480</v>
      </c>
      <c r="T31" s="291"/>
    </row>
    <row r="32" spans="1:22" ht="72.75" customHeight="1">
      <c r="A32" s="924"/>
      <c r="B32" s="925"/>
      <c r="C32" s="926"/>
      <c r="D32" s="926"/>
      <c r="E32" s="927"/>
      <c r="F32" s="928"/>
      <c r="G32" s="929"/>
      <c r="H32" s="930"/>
      <c r="I32" s="931"/>
      <c r="J32" s="932"/>
      <c r="K32" s="926"/>
      <c r="L32" s="931"/>
      <c r="M32" s="928"/>
      <c r="N32" s="1233"/>
      <c r="O32" s="1233"/>
      <c r="P32" s="1233"/>
      <c r="Q32" s="933"/>
      <c r="R32" s="934"/>
      <c r="S32" s="935"/>
    </row>
  </sheetData>
  <mergeCells count="26">
    <mergeCell ref="Q28:R28"/>
    <mergeCell ref="N32:P32"/>
    <mergeCell ref="G31:H31"/>
    <mergeCell ref="N29:P29"/>
    <mergeCell ref="Q29:R29"/>
    <mergeCell ref="N30:P30"/>
    <mergeCell ref="N31:P31"/>
    <mergeCell ref="Q31:R31"/>
    <mergeCell ref="N28:P28"/>
    <mergeCell ref="N25:P25"/>
    <mergeCell ref="Q25:R25"/>
    <mergeCell ref="N26:P26"/>
    <mergeCell ref="Q26:R26"/>
    <mergeCell ref="N27:P27"/>
    <mergeCell ref="Q27:R27"/>
    <mergeCell ref="Q22:R22"/>
    <mergeCell ref="N23:P23"/>
    <mergeCell ref="Q23:R23"/>
    <mergeCell ref="N24:P24"/>
    <mergeCell ref="Q24:R24"/>
    <mergeCell ref="A1:T1"/>
    <mergeCell ref="B2:T2"/>
    <mergeCell ref="B3:T3"/>
    <mergeCell ref="A12:C12"/>
    <mergeCell ref="B14:B15"/>
    <mergeCell ref="A14:A15"/>
  </mergeCells>
  <conditionalFormatting sqref="N23:N26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C5794248-44D9-4FF2-895C-A2BE370506AA}"/>
  </dataValidations>
  <hyperlinks>
    <hyperlink ref="A1" location="'Objetos de Dominio'!A1" display="Volver al inicio" xr:uid="{DBB599CA-3049-4BAA-B3BF-A0CB8B1ABF06}"/>
    <hyperlink ref="V4" location="'Objeto Dominio 2'!A17" display="'Objeto Dominio 2'!A17" xr:uid="{A98D7AD2-8585-4935-9665-9C86E6448129}"/>
    <hyperlink ref="W4" location="'Objeto Dominio 2'!A19" display="'Objeto Dominio 2'!A19" xr:uid="{58F730BA-6AC0-42DE-B98A-8429F099B703}"/>
    <hyperlink ref="U4" location="'Objeto Dominio 2'!A16" display="'Objeto Dominio 2'!A16" xr:uid="{45EAF0CD-BEF3-49A9-A00E-34E78F07781F}"/>
    <hyperlink ref="A1:T1" location="'Listado Objetos de Dominio'!A1" display="&lt;-Volver al inicio" xr:uid="{A6B231D9-ECEA-4308-8D5B-793B31E9B957}"/>
    <hyperlink ref="C14" location="'Dia Caracterización'!A6" display="=A6" xr:uid="{6BDD0052-332E-4566-8A94-1A3EC62116F4}"/>
    <hyperlink ref="C15" location="'Calificación Caracterización'!A7" display="=A7" xr:uid="{BE56DB0B-0CBA-41B0-8EEE-7C17A6670A5E}"/>
    <hyperlink ref="C14" location="'Calificación Caracterización'!A6" display="=A6" xr:uid="{3905FCD7-CF3B-4397-B541-17A44D70BD4A}"/>
    <hyperlink ref="B2:T2" location="'Listado Objetos de Dominio'!A3" display="='Listado Objetos de Dominio'!$A$3" xr:uid="{343092D9-55F1-4EA9-9663-039B07F6E83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C7640F7-B491-44DA-8A7B-A3EC182E8F08}">
          <x14:formula1>
            <xm:f>Caracterizacion!$H$3:$H$4</xm:f>
          </x14:formula1>
          <xm:sqref>L5:S10</xm:sqref>
        </x14:dataValidation>
        <x14:dataValidation type="custom" allowBlank="1" showInputMessage="1" showErrorMessage="1" xr:uid="{5A038CC2-ECEB-4E3D-9296-257069C87DAF}">
          <x14:formula1>
            <xm:f>Caracterizacion!$F$3</xm:f>
          </x14:formula1>
          <xm:sqref>J5</xm:sqref>
        </x14:dataValidation>
        <x14:dataValidation type="list" allowBlank="1" showInputMessage="1" showErrorMessage="1" xr:uid="{D8411AE0-9BED-4851-8971-AC864EDA4A49}">
          <x14:formula1>
            <xm:f>Caracterizacion!$A$3:$A$14</xm:f>
          </x14:formula1>
          <xm:sqref>B5</xm:sqref>
        </x14:dataValidation>
        <x14:dataValidation type="list" allowBlank="1" showInputMessage="1" showErrorMessage="1" xr:uid="{E011B263-0653-4954-81BB-786B9BCF88B0}">
          <x14:formula1>
            <xm:f>Caracterizacion!$A$3:$A$40</xm:f>
          </x14:formula1>
          <xm:sqref>B6</xm:sqref>
        </x14:dataValidation>
        <x14:dataValidation type="list" allowBlank="1" showInputMessage="1" showErrorMessage="1" xr:uid="{4D77A880-B457-48EE-AE4E-FDEED0189497}">
          <x14:formula1>
            <xm:f>Caracterizacion!$C$3:$C$18</xm:f>
          </x14:formula1>
          <xm:sqref>E5:E10</xm:sqref>
        </x14:dataValidation>
        <x14:dataValidation type="list" allowBlank="1" showInputMessage="1" showErrorMessage="1" xr:uid="{9DDF33DF-84C3-4BD1-B929-AE57413156D4}">
          <x14:formula1>
            <xm:f>Caracterizacion!$A$3:$A$41</xm:f>
          </x14:formula1>
          <xm:sqref>B7:B10</xm:sqref>
        </x14:dataValidation>
        <x14:dataValidation type="list" allowBlank="1" showInputMessage="1" showErrorMessage="1" xr:uid="{22E9743B-2602-4C87-903A-4463BA347E5D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589A2639-8A44-48EF-A10B-14E31D24CD25}">
          <x14:formula1>
            <xm:f>Caracterizacion!$B$3:$B$515</xm:f>
          </x14:formula1>
          <xm:sqref>F5:G10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F65B-8ADD-48CC-95CA-38CE7EF5927C}">
  <dimension ref="A2:H80"/>
  <sheetViews>
    <sheetView workbookViewId="0"/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1" bestFit="1" customWidth="1"/>
    <col min="5" max="5" width="33" bestFit="1" customWidth="1"/>
    <col min="6" max="6" width="26.140625" bestFit="1" customWidth="1"/>
    <col min="7" max="7" width="20.5703125" bestFit="1" customWidth="1"/>
    <col min="8" max="8" width="26.28515625" bestFit="1" customWidth="1"/>
  </cols>
  <sheetData>
    <row r="2" spans="1:8" ht="34.5">
      <c r="A2" s="125" t="s">
        <v>504</v>
      </c>
      <c r="B2" s="125" t="s">
        <v>505</v>
      </c>
      <c r="C2" s="125" t="s">
        <v>506</v>
      </c>
      <c r="D2" s="125" t="s">
        <v>507</v>
      </c>
      <c r="E2" s="171" t="s">
        <v>508</v>
      </c>
      <c r="F2" s="122"/>
      <c r="G2" s="122"/>
      <c r="H2" s="122"/>
    </row>
    <row r="3" spans="1:8">
      <c r="A3" s="177" t="s">
        <v>369</v>
      </c>
      <c r="B3" s="168" t="s">
        <v>370</v>
      </c>
      <c r="C3" s="63" t="s">
        <v>116</v>
      </c>
      <c r="D3" s="169" t="s">
        <v>509</v>
      </c>
      <c r="E3" s="172" t="s">
        <v>509</v>
      </c>
      <c r="F3" s="59"/>
      <c r="G3" s="59"/>
      <c r="H3" s="59"/>
    </row>
    <row r="4" spans="1:8">
      <c r="A4" s="58" t="s">
        <v>510</v>
      </c>
      <c r="B4" s="82" t="s">
        <v>511</v>
      </c>
      <c r="C4" s="63" t="s">
        <v>512</v>
      </c>
      <c r="D4" s="170" t="s">
        <v>511</v>
      </c>
      <c r="E4" s="173" t="s">
        <v>513</v>
      </c>
      <c r="F4" s="174"/>
      <c r="G4" s="59"/>
      <c r="H4" s="175"/>
    </row>
    <row r="5" spans="1:8">
      <c r="A5" s="58" t="s">
        <v>514</v>
      </c>
      <c r="B5" s="82" t="s">
        <v>515</v>
      </c>
      <c r="C5" s="63" t="s">
        <v>516</v>
      </c>
      <c r="D5" s="170" t="s">
        <v>515</v>
      </c>
      <c r="E5" s="173" t="s">
        <v>517</v>
      </c>
      <c r="F5" s="174"/>
      <c r="G5" s="59"/>
      <c r="H5" s="175"/>
    </row>
    <row r="6" spans="1:8">
      <c r="A6" s="58" t="s">
        <v>518</v>
      </c>
      <c r="B6" s="82" t="s">
        <v>519</v>
      </c>
      <c r="C6" s="63" t="s">
        <v>520</v>
      </c>
      <c r="D6" s="170" t="s">
        <v>519</v>
      </c>
      <c r="E6" s="173" t="s">
        <v>521</v>
      </c>
      <c r="F6" s="174"/>
      <c r="G6" s="59"/>
      <c r="H6" s="175"/>
    </row>
    <row r="7" spans="1:8">
      <c r="A7" s="58" t="s">
        <v>522</v>
      </c>
      <c r="B7" s="82" t="s">
        <v>523</v>
      </c>
      <c r="C7" s="63" t="s">
        <v>524</v>
      </c>
      <c r="D7" s="170" t="s">
        <v>523</v>
      </c>
      <c r="E7" s="173" t="s">
        <v>525</v>
      </c>
      <c r="F7" s="174"/>
      <c r="G7" s="59"/>
      <c r="H7" s="175"/>
    </row>
    <row r="8" spans="1:8">
      <c r="A8" s="58" t="s">
        <v>526</v>
      </c>
      <c r="B8" s="82" t="s">
        <v>527</v>
      </c>
      <c r="C8" s="63" t="s">
        <v>528</v>
      </c>
      <c r="D8" s="170" t="s">
        <v>527</v>
      </c>
      <c r="E8" s="90" t="s">
        <v>529</v>
      </c>
    </row>
    <row r="9" spans="1:8">
      <c r="A9" s="58" t="s">
        <v>530</v>
      </c>
      <c r="B9" s="82" t="s">
        <v>531</v>
      </c>
      <c r="C9" s="63" t="s">
        <v>532</v>
      </c>
      <c r="D9" s="170" t="s">
        <v>531</v>
      </c>
      <c r="E9" s="90" t="s">
        <v>533</v>
      </c>
    </row>
    <row r="10" spans="1:8">
      <c r="A10" s="58" t="s">
        <v>534</v>
      </c>
      <c r="B10" s="82" t="s">
        <v>535</v>
      </c>
      <c r="C10" s="63" t="s">
        <v>524</v>
      </c>
      <c r="D10" s="170" t="s">
        <v>535</v>
      </c>
      <c r="E10" s="90" t="s">
        <v>536</v>
      </c>
    </row>
    <row r="11" spans="1:8">
      <c r="A11" s="58" t="s">
        <v>537</v>
      </c>
      <c r="B11" s="82" t="s">
        <v>538</v>
      </c>
      <c r="C11" s="63" t="s">
        <v>539</v>
      </c>
      <c r="D11" s="170" t="s">
        <v>538</v>
      </c>
      <c r="E11" s="90" t="s">
        <v>540</v>
      </c>
    </row>
    <row r="12" spans="1:8">
      <c r="A12" s="58" t="s">
        <v>541</v>
      </c>
      <c r="B12" s="82" t="s">
        <v>542</v>
      </c>
      <c r="C12" s="63" t="s">
        <v>543</v>
      </c>
      <c r="D12" s="170" t="s">
        <v>542</v>
      </c>
      <c r="E12" s="90" t="s">
        <v>544</v>
      </c>
    </row>
    <row r="13" spans="1:8">
      <c r="A13" s="58" t="s">
        <v>545</v>
      </c>
      <c r="B13" s="82" t="s">
        <v>546</v>
      </c>
      <c r="C13" s="63" t="s">
        <v>512</v>
      </c>
      <c r="D13" s="170" t="s">
        <v>546</v>
      </c>
      <c r="E13" s="90" t="s">
        <v>547</v>
      </c>
    </row>
    <row r="14" spans="1:8">
      <c r="A14" s="58" t="s">
        <v>548</v>
      </c>
      <c r="B14" s="82" t="s">
        <v>549</v>
      </c>
      <c r="C14" s="63" t="s">
        <v>550</v>
      </c>
      <c r="D14" s="170" t="s">
        <v>549</v>
      </c>
      <c r="E14" s="90" t="s">
        <v>551</v>
      </c>
    </row>
    <row r="15" spans="1:8">
      <c r="A15" s="58" t="s">
        <v>552</v>
      </c>
      <c r="B15" s="82" t="s">
        <v>553</v>
      </c>
      <c r="C15" s="63" t="s">
        <v>554</v>
      </c>
      <c r="D15" s="170" t="s">
        <v>553</v>
      </c>
      <c r="E15" s="90" t="s">
        <v>555</v>
      </c>
    </row>
    <row r="16" spans="1:8">
      <c r="A16" s="58" t="s">
        <v>556</v>
      </c>
      <c r="B16" s="82" t="s">
        <v>557</v>
      </c>
      <c r="C16" s="63" t="s">
        <v>516</v>
      </c>
      <c r="D16" s="170" t="s">
        <v>557</v>
      </c>
      <c r="E16" s="90" t="s">
        <v>558</v>
      </c>
    </row>
    <row r="17" spans="1:5">
      <c r="A17" s="58" t="s">
        <v>559</v>
      </c>
      <c r="B17" s="82" t="s">
        <v>560</v>
      </c>
      <c r="C17" s="63" t="s">
        <v>561</v>
      </c>
      <c r="D17" s="170" t="s">
        <v>560</v>
      </c>
      <c r="E17" s="90" t="s">
        <v>562</v>
      </c>
    </row>
    <row r="18" spans="1:5">
      <c r="A18" s="58" t="s">
        <v>563</v>
      </c>
      <c r="B18" s="82" t="s">
        <v>564</v>
      </c>
      <c r="C18" s="63" t="s">
        <v>565</v>
      </c>
      <c r="D18" s="170" t="s">
        <v>564</v>
      </c>
      <c r="E18" s="90" t="s">
        <v>566</v>
      </c>
    </row>
    <row r="19" spans="1:5">
      <c r="A19" s="58" t="s">
        <v>567</v>
      </c>
      <c r="B19" s="82" t="s">
        <v>568</v>
      </c>
      <c r="C19" s="63" t="s">
        <v>520</v>
      </c>
      <c r="D19" s="170" t="s">
        <v>568</v>
      </c>
      <c r="E19" s="90" t="s">
        <v>569</v>
      </c>
    </row>
    <row r="20" spans="1:5">
      <c r="A20" s="58" t="s">
        <v>570</v>
      </c>
      <c r="B20" s="82" t="s">
        <v>571</v>
      </c>
      <c r="C20" s="63" t="s">
        <v>572</v>
      </c>
      <c r="D20" s="170" t="s">
        <v>571</v>
      </c>
      <c r="E20" s="90" t="s">
        <v>573</v>
      </c>
    </row>
    <row r="21" spans="1:5">
      <c r="A21" s="58" t="s">
        <v>574</v>
      </c>
      <c r="B21" s="82" t="s">
        <v>575</v>
      </c>
      <c r="C21" s="63" t="s">
        <v>576</v>
      </c>
      <c r="D21" s="170" t="s">
        <v>575</v>
      </c>
      <c r="E21" s="90" t="s">
        <v>577</v>
      </c>
    </row>
    <row r="22" spans="1:5">
      <c r="A22" s="58" t="s">
        <v>578</v>
      </c>
      <c r="B22" s="82" t="s">
        <v>579</v>
      </c>
      <c r="C22" s="63" t="s">
        <v>580</v>
      </c>
      <c r="D22" s="170" t="s">
        <v>579</v>
      </c>
      <c r="E22" s="90" t="s">
        <v>581</v>
      </c>
    </row>
    <row r="23" spans="1:5">
      <c r="A23" s="58" t="s">
        <v>582</v>
      </c>
      <c r="B23" s="82" t="s">
        <v>583</v>
      </c>
      <c r="C23" s="63" t="s">
        <v>584</v>
      </c>
      <c r="D23" s="170" t="s">
        <v>583</v>
      </c>
      <c r="E23" s="90" t="s">
        <v>585</v>
      </c>
    </row>
    <row r="24" spans="1:5">
      <c r="A24" s="58" t="s">
        <v>586</v>
      </c>
      <c r="B24" s="82" t="s">
        <v>587</v>
      </c>
      <c r="C24" s="63" t="s">
        <v>520</v>
      </c>
      <c r="D24" s="170" t="s">
        <v>587</v>
      </c>
      <c r="E24" s="90" t="s">
        <v>588</v>
      </c>
    </row>
    <row r="25" spans="1:5">
      <c r="A25" s="58" t="s">
        <v>589</v>
      </c>
      <c r="B25" s="82" t="s">
        <v>590</v>
      </c>
      <c r="C25" s="63" t="s">
        <v>591</v>
      </c>
      <c r="D25" s="170" t="s">
        <v>590</v>
      </c>
      <c r="E25" s="90" t="s">
        <v>592</v>
      </c>
    </row>
    <row r="26" spans="1:5">
      <c r="A26" s="58" t="s">
        <v>593</v>
      </c>
      <c r="B26" s="82" t="s">
        <v>594</v>
      </c>
      <c r="C26" s="63" t="s">
        <v>595</v>
      </c>
      <c r="D26" s="170" t="s">
        <v>594</v>
      </c>
      <c r="E26" s="90" t="s">
        <v>596</v>
      </c>
    </row>
    <row r="27" spans="1:5">
      <c r="A27" s="58" t="s">
        <v>597</v>
      </c>
      <c r="B27" s="82" t="s">
        <v>598</v>
      </c>
      <c r="C27" s="63" t="s">
        <v>599</v>
      </c>
      <c r="D27" s="170" t="s">
        <v>598</v>
      </c>
      <c r="E27" s="90" t="s">
        <v>600</v>
      </c>
    </row>
    <row r="28" spans="1:5">
      <c r="A28" s="58" t="s">
        <v>601</v>
      </c>
      <c r="B28" s="82" t="s">
        <v>602</v>
      </c>
      <c r="C28" s="63" t="s">
        <v>603</v>
      </c>
      <c r="D28" s="170" t="s">
        <v>602</v>
      </c>
      <c r="E28" s="90" t="s">
        <v>604</v>
      </c>
    </row>
    <row r="29" spans="1:5">
      <c r="A29" s="58" t="s">
        <v>605</v>
      </c>
      <c r="B29" s="82" t="s">
        <v>606</v>
      </c>
      <c r="C29" s="63" t="s">
        <v>516</v>
      </c>
      <c r="D29" s="170" t="s">
        <v>606</v>
      </c>
      <c r="E29" s="90" t="s">
        <v>607</v>
      </c>
    </row>
    <row r="30" spans="1:5">
      <c r="A30" s="58" t="s">
        <v>608</v>
      </c>
      <c r="B30" s="82" t="s">
        <v>609</v>
      </c>
      <c r="C30" s="63" t="s">
        <v>543</v>
      </c>
      <c r="D30" s="170" t="s">
        <v>609</v>
      </c>
      <c r="E30" s="90" t="s">
        <v>610</v>
      </c>
    </row>
    <row r="31" spans="1:5">
      <c r="A31" s="58" t="s">
        <v>611</v>
      </c>
      <c r="B31" s="82" t="s">
        <v>612</v>
      </c>
      <c r="C31" s="111" t="s">
        <v>516</v>
      </c>
      <c r="D31" s="170" t="s">
        <v>612</v>
      </c>
      <c r="E31" s="90" t="s">
        <v>613</v>
      </c>
    </row>
    <row r="32" spans="1:5">
      <c r="A32" s="58" t="s">
        <v>614</v>
      </c>
      <c r="B32" s="82" t="s">
        <v>615</v>
      </c>
      <c r="C32" s="63" t="s">
        <v>520</v>
      </c>
      <c r="D32" s="170" t="s">
        <v>615</v>
      </c>
      <c r="E32" s="90" t="s">
        <v>616</v>
      </c>
    </row>
    <row r="33" spans="1:5">
      <c r="A33" s="58" t="s">
        <v>617</v>
      </c>
      <c r="B33" s="82" t="s">
        <v>618</v>
      </c>
      <c r="C33" s="63" t="s">
        <v>565</v>
      </c>
      <c r="D33" s="170" t="s">
        <v>618</v>
      </c>
      <c r="E33" s="90" t="s">
        <v>619</v>
      </c>
    </row>
    <row r="34" spans="1:5">
      <c r="A34" s="58" t="s">
        <v>620</v>
      </c>
      <c r="B34" s="82" t="s">
        <v>621</v>
      </c>
      <c r="C34" s="63" t="s">
        <v>572</v>
      </c>
      <c r="D34" s="170" t="s">
        <v>621</v>
      </c>
      <c r="E34" s="90" t="s">
        <v>622</v>
      </c>
    </row>
    <row r="35" spans="1:5">
      <c r="A35" s="58" t="s">
        <v>623</v>
      </c>
      <c r="B35" s="82" t="s">
        <v>624</v>
      </c>
      <c r="C35" s="63" t="s">
        <v>625</v>
      </c>
      <c r="D35" s="170" t="s">
        <v>624</v>
      </c>
      <c r="E35" s="90" t="s">
        <v>626</v>
      </c>
    </row>
    <row r="36" spans="1:5">
      <c r="A36" s="58" t="s">
        <v>627</v>
      </c>
      <c r="B36" s="82" t="s">
        <v>628</v>
      </c>
      <c r="C36" s="63" t="s">
        <v>543</v>
      </c>
      <c r="D36" s="170" t="s">
        <v>628</v>
      </c>
      <c r="E36" s="90" t="s">
        <v>629</v>
      </c>
    </row>
    <row r="37" spans="1:5">
      <c r="A37" s="58" t="s">
        <v>630</v>
      </c>
      <c r="B37" s="82" t="s">
        <v>631</v>
      </c>
      <c r="C37" s="63" t="s">
        <v>516</v>
      </c>
      <c r="D37" s="170" t="s">
        <v>631</v>
      </c>
      <c r="E37" s="90" t="s">
        <v>632</v>
      </c>
    </row>
    <row r="38" spans="1:5">
      <c r="A38" s="58" t="s">
        <v>633</v>
      </c>
      <c r="B38" s="82" t="s">
        <v>634</v>
      </c>
      <c r="C38" s="111" t="s">
        <v>512</v>
      </c>
      <c r="D38" s="170" t="s">
        <v>634</v>
      </c>
      <c r="E38" s="90" t="s">
        <v>635</v>
      </c>
    </row>
    <row r="39" spans="1:5">
      <c r="A39" s="176" t="s">
        <v>636</v>
      </c>
      <c r="B39" s="82" t="s">
        <v>637</v>
      </c>
      <c r="C39" s="111" t="s">
        <v>512</v>
      </c>
      <c r="D39" s="170" t="s">
        <v>637</v>
      </c>
      <c r="E39" s="90" t="s">
        <v>638</v>
      </c>
    </row>
    <row r="40" spans="1:5">
      <c r="A40" s="58" t="s">
        <v>639</v>
      </c>
      <c r="B40" s="82" t="s">
        <v>640</v>
      </c>
      <c r="C40" s="63" t="s">
        <v>641</v>
      </c>
      <c r="D40" s="170" t="s">
        <v>640</v>
      </c>
      <c r="E40" s="90" t="s">
        <v>642</v>
      </c>
    </row>
    <row r="41" spans="1:5">
      <c r="A41" s="58" t="s">
        <v>643</v>
      </c>
      <c r="B41" s="82" t="s">
        <v>644</v>
      </c>
      <c r="C41" s="63" t="s">
        <v>512</v>
      </c>
      <c r="D41" s="170" t="s">
        <v>644</v>
      </c>
      <c r="E41" s="90" t="s">
        <v>645</v>
      </c>
    </row>
    <row r="42" spans="1:5">
      <c r="A42" s="58" t="s">
        <v>646</v>
      </c>
      <c r="B42" s="82" t="s">
        <v>647</v>
      </c>
      <c r="C42" s="63" t="s">
        <v>520</v>
      </c>
      <c r="D42" s="170" t="s">
        <v>647</v>
      </c>
      <c r="E42" s="90" t="s">
        <v>648</v>
      </c>
    </row>
    <row r="43" spans="1:5">
      <c r="A43" s="58" t="s">
        <v>649</v>
      </c>
      <c r="B43" s="82" t="s">
        <v>650</v>
      </c>
      <c r="C43" s="63" t="s">
        <v>516</v>
      </c>
      <c r="D43" s="170" t="s">
        <v>650</v>
      </c>
      <c r="E43" s="90" t="s">
        <v>651</v>
      </c>
    </row>
    <row r="44" spans="1:5">
      <c r="A44" s="58" t="s">
        <v>652</v>
      </c>
      <c r="B44" s="82" t="s">
        <v>653</v>
      </c>
      <c r="C44" s="63" t="s">
        <v>528</v>
      </c>
      <c r="D44" s="170" t="s">
        <v>653</v>
      </c>
      <c r="E44" s="90" t="s">
        <v>654</v>
      </c>
    </row>
    <row r="45" spans="1:5">
      <c r="A45" s="58" t="s">
        <v>655</v>
      </c>
      <c r="B45" s="82" t="s">
        <v>656</v>
      </c>
      <c r="C45" s="63" t="s">
        <v>591</v>
      </c>
      <c r="D45" s="170" t="s">
        <v>656</v>
      </c>
      <c r="E45" s="90" t="s">
        <v>657</v>
      </c>
    </row>
    <row r="46" spans="1:5">
      <c r="A46" s="58" t="s">
        <v>658</v>
      </c>
      <c r="B46" s="82" t="s">
        <v>659</v>
      </c>
      <c r="C46" s="63" t="s">
        <v>512</v>
      </c>
      <c r="D46" s="170" t="s">
        <v>659</v>
      </c>
      <c r="E46" s="90" t="s">
        <v>660</v>
      </c>
    </row>
    <row r="47" spans="1:5">
      <c r="A47" s="58" t="s">
        <v>661</v>
      </c>
      <c r="B47" s="82" t="s">
        <v>662</v>
      </c>
      <c r="C47" s="63" t="s">
        <v>516</v>
      </c>
      <c r="D47" s="170" t="s">
        <v>662</v>
      </c>
      <c r="E47" s="90" t="s">
        <v>663</v>
      </c>
    </row>
    <row r="48" spans="1:5">
      <c r="A48" s="58" t="s">
        <v>664</v>
      </c>
      <c r="B48" s="82" t="s">
        <v>665</v>
      </c>
      <c r="C48" s="63" t="s">
        <v>666</v>
      </c>
      <c r="D48" s="170" t="s">
        <v>665</v>
      </c>
      <c r="E48" s="90" t="s">
        <v>667</v>
      </c>
    </row>
    <row r="49" spans="1:5">
      <c r="A49" s="58" t="s">
        <v>668</v>
      </c>
      <c r="B49" s="82" t="s">
        <v>669</v>
      </c>
      <c r="C49" s="63" t="s">
        <v>520</v>
      </c>
      <c r="D49" s="170" t="s">
        <v>669</v>
      </c>
      <c r="E49" s="90" t="s">
        <v>670</v>
      </c>
    </row>
    <row r="50" spans="1:5">
      <c r="A50" s="58" t="s">
        <v>671</v>
      </c>
      <c r="B50" s="82" t="s">
        <v>672</v>
      </c>
      <c r="C50" s="63" t="s">
        <v>584</v>
      </c>
      <c r="D50" s="170" t="s">
        <v>672</v>
      </c>
      <c r="E50" s="90" t="s">
        <v>673</v>
      </c>
    </row>
    <row r="51" spans="1:5">
      <c r="A51" s="58" t="s">
        <v>674</v>
      </c>
      <c r="B51" s="82" t="s">
        <v>675</v>
      </c>
      <c r="C51" s="63" t="s">
        <v>625</v>
      </c>
      <c r="D51" s="170" t="s">
        <v>675</v>
      </c>
      <c r="E51" s="90" t="s">
        <v>676</v>
      </c>
    </row>
    <row r="52" spans="1:5">
      <c r="A52" s="58" t="s">
        <v>677</v>
      </c>
      <c r="B52" s="82" t="s">
        <v>678</v>
      </c>
      <c r="C52" s="63" t="s">
        <v>679</v>
      </c>
      <c r="D52" s="170" t="s">
        <v>678</v>
      </c>
      <c r="E52" s="90" t="s">
        <v>680</v>
      </c>
    </row>
    <row r="53" spans="1:5">
      <c r="A53" s="58" t="s">
        <v>681</v>
      </c>
      <c r="B53" s="82" t="s">
        <v>682</v>
      </c>
      <c r="C53" s="63" t="s">
        <v>572</v>
      </c>
      <c r="D53" s="170" t="s">
        <v>682</v>
      </c>
      <c r="E53" s="90" t="s">
        <v>683</v>
      </c>
    </row>
    <row r="54" spans="1:5">
      <c r="A54" s="58" t="s">
        <v>684</v>
      </c>
      <c r="B54" s="82" t="s">
        <v>685</v>
      </c>
      <c r="C54" s="111" t="s">
        <v>516</v>
      </c>
      <c r="D54" s="170" t="s">
        <v>685</v>
      </c>
      <c r="E54" s="90" t="s">
        <v>686</v>
      </c>
    </row>
    <row r="55" spans="1:5">
      <c r="A55" s="58" t="s">
        <v>687</v>
      </c>
      <c r="B55" s="82" t="s">
        <v>688</v>
      </c>
      <c r="C55" s="111" t="s">
        <v>512</v>
      </c>
      <c r="D55" s="170" t="s">
        <v>688</v>
      </c>
      <c r="E55" s="90" t="s">
        <v>689</v>
      </c>
    </row>
    <row r="56" spans="1:5">
      <c r="A56" s="58" t="s">
        <v>690</v>
      </c>
      <c r="B56" s="82" t="s">
        <v>691</v>
      </c>
      <c r="C56" s="63" t="s">
        <v>591</v>
      </c>
      <c r="D56" s="170" t="s">
        <v>691</v>
      </c>
      <c r="E56" s="90" t="s">
        <v>692</v>
      </c>
    </row>
    <row r="57" spans="1:5">
      <c r="A57" s="58" t="s">
        <v>693</v>
      </c>
      <c r="B57" s="82" t="s">
        <v>694</v>
      </c>
      <c r="C57" s="63" t="s">
        <v>543</v>
      </c>
      <c r="D57" s="170" t="s">
        <v>694</v>
      </c>
      <c r="E57" s="90" t="s">
        <v>695</v>
      </c>
    </row>
    <row r="58" spans="1:5">
      <c r="A58" s="58" t="s">
        <v>696</v>
      </c>
      <c r="B58" s="82" t="s">
        <v>697</v>
      </c>
      <c r="C58" s="63" t="s">
        <v>625</v>
      </c>
      <c r="D58" s="170" t="s">
        <v>697</v>
      </c>
      <c r="E58" s="90" t="s">
        <v>698</v>
      </c>
    </row>
    <row r="59" spans="1:5">
      <c r="A59" s="58" t="s">
        <v>699</v>
      </c>
      <c r="B59" s="82" t="s">
        <v>700</v>
      </c>
      <c r="C59" s="63" t="s">
        <v>532</v>
      </c>
      <c r="D59" s="170" t="s">
        <v>700</v>
      </c>
      <c r="E59" s="90" t="s">
        <v>701</v>
      </c>
    </row>
    <row r="60" spans="1:5">
      <c r="A60" s="58" t="s">
        <v>702</v>
      </c>
      <c r="B60" s="82" t="s">
        <v>703</v>
      </c>
      <c r="C60" s="63" t="s">
        <v>554</v>
      </c>
      <c r="D60" s="170" t="s">
        <v>703</v>
      </c>
      <c r="E60" s="90" t="s">
        <v>704</v>
      </c>
    </row>
    <row r="61" spans="1:5">
      <c r="A61" s="58" t="s">
        <v>705</v>
      </c>
      <c r="B61" s="82" t="s">
        <v>706</v>
      </c>
      <c r="C61" s="63" t="s">
        <v>580</v>
      </c>
      <c r="D61" s="170" t="s">
        <v>706</v>
      </c>
      <c r="E61" s="90" t="s">
        <v>707</v>
      </c>
    </row>
    <row r="62" spans="1:5">
      <c r="A62" s="58" t="s">
        <v>708</v>
      </c>
      <c r="B62" s="82" t="s">
        <v>709</v>
      </c>
      <c r="C62" s="63" t="s">
        <v>516</v>
      </c>
      <c r="D62" s="170" t="s">
        <v>709</v>
      </c>
      <c r="E62" s="90" t="s">
        <v>710</v>
      </c>
    </row>
    <row r="63" spans="1:5">
      <c r="A63" s="58" t="s">
        <v>711</v>
      </c>
      <c r="B63" s="82" t="s">
        <v>712</v>
      </c>
      <c r="C63" s="111" t="s">
        <v>532</v>
      </c>
      <c r="D63" s="170" t="s">
        <v>712</v>
      </c>
      <c r="E63" s="90" t="s">
        <v>713</v>
      </c>
    </row>
    <row r="64" spans="1:5">
      <c r="A64" s="58" t="s">
        <v>714</v>
      </c>
      <c r="B64" s="82" t="s">
        <v>715</v>
      </c>
      <c r="C64" s="111" t="s">
        <v>561</v>
      </c>
      <c r="D64" s="170" t="s">
        <v>715</v>
      </c>
      <c r="E64" s="90" t="s">
        <v>716</v>
      </c>
    </row>
    <row r="65" spans="1:5">
      <c r="A65" s="58" t="s">
        <v>717</v>
      </c>
      <c r="B65" s="82" t="s">
        <v>718</v>
      </c>
      <c r="C65" s="111" t="s">
        <v>520</v>
      </c>
      <c r="D65" s="170" t="s">
        <v>718</v>
      </c>
      <c r="E65" s="90" t="s">
        <v>719</v>
      </c>
    </row>
    <row r="66" spans="1:5">
      <c r="A66" s="58" t="s">
        <v>720</v>
      </c>
      <c r="B66" s="82" t="s">
        <v>721</v>
      </c>
      <c r="C66" s="111" t="s">
        <v>512</v>
      </c>
      <c r="D66" s="170" t="s">
        <v>721</v>
      </c>
      <c r="E66" s="90" t="s">
        <v>722</v>
      </c>
    </row>
    <row r="67" spans="1:5">
      <c r="A67" s="58" t="s">
        <v>723</v>
      </c>
      <c r="B67" s="82" t="s">
        <v>724</v>
      </c>
      <c r="C67" s="111" t="s">
        <v>543</v>
      </c>
      <c r="D67" s="170" t="s">
        <v>724</v>
      </c>
      <c r="E67" s="90" t="s">
        <v>725</v>
      </c>
    </row>
    <row r="68" spans="1:5">
      <c r="A68" s="58" t="s">
        <v>726</v>
      </c>
      <c r="B68" s="82" t="s">
        <v>727</v>
      </c>
      <c r="C68" s="111" t="s">
        <v>532</v>
      </c>
      <c r="D68" s="170" t="s">
        <v>727</v>
      </c>
      <c r="E68" s="90" t="s">
        <v>728</v>
      </c>
    </row>
    <row r="69" spans="1:5">
      <c r="A69" s="58" t="s">
        <v>729</v>
      </c>
      <c r="B69" s="82" t="s">
        <v>730</v>
      </c>
      <c r="C69" s="111" t="s">
        <v>512</v>
      </c>
      <c r="D69" s="170" t="s">
        <v>730</v>
      </c>
      <c r="E69" s="90" t="s">
        <v>731</v>
      </c>
    </row>
    <row r="70" spans="1:5">
      <c r="A70" s="58" t="s">
        <v>732</v>
      </c>
      <c r="B70" s="82" t="s">
        <v>733</v>
      </c>
      <c r="C70" s="111" t="s">
        <v>512</v>
      </c>
      <c r="D70" s="170" t="s">
        <v>733</v>
      </c>
      <c r="E70" s="90" t="s">
        <v>734</v>
      </c>
    </row>
    <row r="71" spans="1:5">
      <c r="A71" s="58" t="s">
        <v>735</v>
      </c>
      <c r="B71" s="82" t="s">
        <v>736</v>
      </c>
      <c r="C71" s="111" t="s">
        <v>580</v>
      </c>
      <c r="D71" s="170" t="s">
        <v>736</v>
      </c>
      <c r="E71" s="90" t="s">
        <v>737</v>
      </c>
    </row>
    <row r="72" spans="1:5">
      <c r="A72" s="58" t="s">
        <v>738</v>
      </c>
      <c r="B72" s="82" t="s">
        <v>739</v>
      </c>
      <c r="C72" s="63" t="s">
        <v>528</v>
      </c>
      <c r="D72" s="170" t="s">
        <v>739</v>
      </c>
      <c r="E72" s="90" t="s">
        <v>740</v>
      </c>
    </row>
    <row r="73" spans="1:5">
      <c r="A73" s="58" t="s">
        <v>741</v>
      </c>
      <c r="B73" s="82" t="s">
        <v>742</v>
      </c>
      <c r="C73" s="63" t="s">
        <v>528</v>
      </c>
      <c r="D73" s="170" t="s">
        <v>742</v>
      </c>
      <c r="E73" s="90" t="s">
        <v>743</v>
      </c>
    </row>
    <row r="74" spans="1:5">
      <c r="A74" s="58" t="s">
        <v>744</v>
      </c>
      <c r="B74" s="82" t="s">
        <v>745</v>
      </c>
      <c r="C74" s="63" t="s">
        <v>599</v>
      </c>
      <c r="D74" s="170" t="s">
        <v>745</v>
      </c>
      <c r="E74" s="90" t="s">
        <v>746</v>
      </c>
    </row>
    <row r="75" spans="1:5">
      <c r="A75" s="58" t="s">
        <v>747</v>
      </c>
      <c r="B75" s="82" t="s">
        <v>748</v>
      </c>
      <c r="C75" s="63" t="s">
        <v>580</v>
      </c>
      <c r="D75" s="170" t="s">
        <v>748</v>
      </c>
      <c r="E75" s="90" t="s">
        <v>749</v>
      </c>
    </row>
    <row r="76" spans="1:5">
      <c r="A76" s="58" t="s">
        <v>750</v>
      </c>
      <c r="B76" s="82" t="s">
        <v>576</v>
      </c>
      <c r="C76" s="63" t="s">
        <v>516</v>
      </c>
      <c r="D76" s="170" t="s">
        <v>576</v>
      </c>
      <c r="E76" s="90" t="s">
        <v>751</v>
      </c>
    </row>
    <row r="77" spans="1:5">
      <c r="A77" s="58" t="s">
        <v>752</v>
      </c>
      <c r="B77" s="82" t="s">
        <v>753</v>
      </c>
      <c r="C77" s="63" t="s">
        <v>576</v>
      </c>
      <c r="D77" s="170" t="s">
        <v>753</v>
      </c>
      <c r="E77" s="90" t="s">
        <v>754</v>
      </c>
    </row>
    <row r="78" spans="1:5">
      <c r="A78" s="58" t="s">
        <v>755</v>
      </c>
      <c r="B78" s="82" t="s">
        <v>756</v>
      </c>
      <c r="C78" s="63" t="s">
        <v>554</v>
      </c>
      <c r="D78" s="170" t="s">
        <v>756</v>
      </c>
      <c r="E78" s="90" t="s">
        <v>757</v>
      </c>
    </row>
    <row r="79" spans="1:5">
      <c r="A79" s="58" t="s">
        <v>758</v>
      </c>
      <c r="B79" s="82" t="s">
        <v>759</v>
      </c>
      <c r="C79" s="63" t="s">
        <v>580</v>
      </c>
      <c r="D79" s="170" t="s">
        <v>759</v>
      </c>
      <c r="E79" s="90" t="s">
        <v>760</v>
      </c>
    </row>
    <row r="80" spans="1:5">
      <c r="A80" s="58" t="s">
        <v>761</v>
      </c>
      <c r="B80" s="82" t="s">
        <v>762</v>
      </c>
      <c r="C80" s="63" t="s">
        <v>641</v>
      </c>
      <c r="D80" s="170" t="s">
        <v>762</v>
      </c>
      <c r="E80" s="90" t="s">
        <v>763</v>
      </c>
    </row>
  </sheetData>
  <hyperlinks>
    <hyperlink ref="C3" location="Departamento!A2" display="Departamento" xr:uid="{95CD2EAB-53B3-4024-ACC8-3FE88E2F6FCB}"/>
    <hyperlink ref="C5" location="Departamento!C4" display="Antioquia" xr:uid="{9985AA44-0976-4DE3-A541-9ABCC624568C}"/>
    <hyperlink ref="C6" location="Departamento!C28" display="Valle del Cauca" xr:uid="{4179A18C-DD19-4DAA-8E7D-27DB3EE7F56F}"/>
    <hyperlink ref="C7" location="Departamento!C5" display="Atlántico" xr:uid="{117C5238-35F8-4716-991C-296562C76FB3}"/>
    <hyperlink ref="C8" location="Departamento!C6" display="Bolívar" xr:uid="{534903A2-2A11-4DB4-95C6-4F2AD5A2458B}"/>
    <hyperlink ref="C9" location="Departamento!C22" display="Norte de Santander" xr:uid="{E75B5ED9-2555-4340-8349-185794B8A604}"/>
    <hyperlink ref="C10" location="Departamento!C5" display="Atlántico" xr:uid="{07036C35-12E0-4D55-A789-57424470E4E2}"/>
    <hyperlink ref="C11" location="Departamento!C27" display="Tolima" xr:uid="{E2DA948F-A1DA-4156-B6B1-35E104238E57}"/>
    <hyperlink ref="C12" location="Departamento!C25" display="Santander" xr:uid="{DA21A7E5-2BCD-4EF1-B317-2460FF943A32}"/>
    <hyperlink ref="C13" location="Departamento!C3" display="Cundinamarca" xr:uid="{C9E801BE-39F3-4C78-9981-8E05B142EC49}"/>
    <hyperlink ref="C14" location="Departamento!C20" display="Meta" xr:uid="{8F0F2985-58A4-4401-8C27-9028E8F508DB}"/>
    <hyperlink ref="C15" location="Departamento!C19" display="Magdalena" xr:uid="{E66B1B7A-A48B-4078-962E-51F608A6586C}"/>
    <hyperlink ref="C16" location="Departamento!C4" display="Antioquia" xr:uid="{3297D77B-687C-4C54-83FB-99E8EB3243C2}"/>
    <hyperlink ref="C17" location="Departamento!C12" display="Cesar" xr:uid="{CB10470C-DC37-44D3-9A72-8A51FDC0D3D6}"/>
    <hyperlink ref="C18" location="Departamento!C24" display="Risaralda" xr:uid="{94740ED4-5204-4559-9005-82D81E088826}"/>
    <hyperlink ref="C19" location="Departamento!C28" display="Valle del Cauca" xr:uid="{B278362F-4874-4AF0-A3E5-FDFC6AF80A99}"/>
    <hyperlink ref="C20" location="Departamento!C21" display="Nariño" xr:uid="{76E983E7-D535-4BA2-930D-3C2CC2E2179B}"/>
    <hyperlink ref="C21" location="Departamento!C8" display="Caldas" xr:uid="{0CF741DB-6F40-4804-98CD-928B8402243B}"/>
    <hyperlink ref="C22" location="Departamento!C14" display="Córdoba" xr:uid="{90264E42-2C27-4425-BE3F-B4BE1F0128B0}"/>
    <hyperlink ref="C23" location="Departamento!C1" display="Huila" xr:uid="{D9D8D8CE-AF37-44F3-A32E-3333C15472A7}"/>
    <hyperlink ref="C24" location="Departamento!C28" display="Valle del Cauca" xr:uid="{6285EE36-0A90-4715-97F5-CCFACEB4D8B3}"/>
    <hyperlink ref="C25" location="Departamento!C18" display="La Guajira" xr:uid="{6AED7400-B2C4-4EAA-B888-81F4BE0DB431}"/>
    <hyperlink ref="C26" location="Departamento!C23" display="Quindío" xr:uid="{DCF1E8D8-0C76-4167-83F3-657E5DFD6D1C}"/>
    <hyperlink ref="C27" location="Departamento!C11" display="Cauca" xr:uid="{E02025ED-A398-4B16-A7C2-1EA5A054A78E}"/>
    <hyperlink ref="C28" location="Departamento!C26" display="Sucre" xr:uid="{7C2DD732-5E81-4122-A090-2E7B11E495FF}"/>
    <hyperlink ref="C29" location="Departamento!C4" display="Antioquia" xr:uid="{D7B5E65B-793F-424C-A401-7B007DF7DAFA}"/>
    <hyperlink ref="C30" location="Departamento!C25" display="Santander" xr:uid="{0D6954D7-4D25-4B8E-BC10-235CB74C9FEA}"/>
    <hyperlink ref="C32" location="Departamento!C28" display="Valle del Cauca" xr:uid="{3D76992D-FDB6-41F4-9E04-80919733237E}"/>
    <hyperlink ref="C33" location="Departamento!C24" display="Risaralda" xr:uid="{59A6B281-2377-426C-846F-3D761DE0BC49}"/>
    <hyperlink ref="C34" location="Departamento!C21" display="Nariño" xr:uid="{13F979FB-E346-44DF-B328-A875E2060E7E}"/>
    <hyperlink ref="C35" location="Departamento!C7" display="Boyacá" xr:uid="{ACE1C47F-528E-4ABF-9DBA-C00B728E3A10}"/>
    <hyperlink ref="C36" location="Departamento!C25" display="Santander" xr:uid="{D1D9C2B5-8677-4184-91DC-83AB62C11FAE}"/>
    <hyperlink ref="C37" location="Departamento!C4" display="Antioquia" xr:uid="{290DB2F9-25F0-45EE-A7E6-A39903886223}"/>
    <hyperlink ref="C40" location="Departamento!C9" display="Caquetá" xr:uid="{6F88F17B-82E6-4C00-A63C-8983216D1139}"/>
    <hyperlink ref="C41" location="Departamento!C15" display="Cundinamarca" xr:uid="{1B4583D7-5F3D-4A97-9AB2-05844556ED5D}"/>
    <hyperlink ref="C42" location="Departamento!C28" display="Valle del Cauca" xr:uid="{33E4A777-D79C-4597-96CA-602A846B1231}"/>
    <hyperlink ref="C43" location="Departamento!C4" display="Antioquia" xr:uid="{9E2C2ACB-5120-435B-83E3-4251AE73B623}"/>
    <hyperlink ref="C44" location="Departamento!C6" display="Bolívar" xr:uid="{FE5264B3-8C78-4E17-88B4-F90BBA931F92}"/>
    <hyperlink ref="C45" location="Departamento!C18" display="La Guajira" xr:uid="{B06A4DED-DF00-4471-9C43-3F27F3B48F89}"/>
    <hyperlink ref="C46" location="Departamento!C15" display="Cundinamarca" xr:uid="{DF9D3952-187B-4D9F-AC96-55A689CE7D50}"/>
    <hyperlink ref="C47" location="Departamento!C4" display="Antioquia" xr:uid="{1DE6B37C-E242-449E-8525-0F6530BCC4DD}"/>
    <hyperlink ref="C48" location="Departamento!C13" display="Chocó" xr:uid="{5D0D4BB0-632E-412E-B0A7-A5771EE86419}"/>
    <hyperlink ref="C49" location="Departamento!C28" display="Valle del Cauca" xr:uid="{3B55EB3B-C281-4E0E-855E-4B8CA770D7AC}"/>
    <hyperlink ref="C50" location="Departamento!C17" display="Huila" xr:uid="{A236EE83-483E-42F3-A26F-47D67C1EAF12}"/>
    <hyperlink ref="C51" location="Departamento!C7" display="Boyacá" xr:uid="{14475C9F-0C85-4ED0-80BB-7DC9E53592E3}"/>
    <hyperlink ref="C52" location="Departamento!C10" display="Casanare" xr:uid="{62F69EE6-D5FE-4B62-90CC-689141987AB8}"/>
    <hyperlink ref="C53" location="Departamento!C21" display="Nariño" xr:uid="{1086F6DC-4981-49A1-B702-640E678A103B}"/>
    <hyperlink ref="C56" location="Departamento!C18" display="La Guajira" xr:uid="{1133E10B-66F9-4E1E-9580-1625E97E2212}"/>
    <hyperlink ref="C57" location="Departamento!C25" display="Santander" xr:uid="{29A287C2-88B2-4746-84A4-3C62D27FE28A}"/>
    <hyperlink ref="C58" location="Departamento!C7" display="Boyacá" xr:uid="{13BAE241-EF8C-40AA-9331-4DA958050000}"/>
    <hyperlink ref="C59" location="Departamento!C22" display="Norte de Santander" xr:uid="{A73F1869-ACEE-4869-936A-708EE5805B1A}"/>
    <hyperlink ref="C60" location="Departamento!C19" display="Magdalena" xr:uid="{979AA8B5-A13E-4D5D-BDFE-CCE8ADFBD403}"/>
    <hyperlink ref="C61" location="Departamento!C14" display="Córdoba" xr:uid="{30E5C43A-31DF-4DBF-B2A6-C21D62C3EB71}"/>
    <hyperlink ref="C62" location="Departamento!C4" display="Antioquia" xr:uid="{750EBF7E-A4B3-4402-A393-3B402A6858DF}"/>
    <hyperlink ref="C72" location="Departamento!C6" display="Bolívar" xr:uid="{19DE3BDE-61CA-4A8C-9A61-ED5DAB9F6D4E}"/>
    <hyperlink ref="C73" location="Departamento!C6" display="Bolívar" xr:uid="{301BFC91-593F-4A56-BC07-584EFCFBFCBC}"/>
    <hyperlink ref="C74" location="Departamento!C11" display="Cauca" xr:uid="{0E35D973-515F-4F3C-9814-AE8A9CBA07F4}"/>
    <hyperlink ref="C75" location="Departamento!C14" display="Córdoba" xr:uid="{35737C16-FD25-4ED5-99F4-94E817F51458}"/>
    <hyperlink ref="C76" location="Departamento!C4" display="Antioquia" xr:uid="{12E823FE-7DA4-4CB6-A41A-E55C96A46E36}"/>
    <hyperlink ref="C77" location="Departamento!C6" display="Caldas" xr:uid="{7D2D0134-19C3-42EA-88B2-EB6264CABF31}"/>
    <hyperlink ref="C78" location="Departamento!C19" display="Magdalena" xr:uid="{FB24F046-D2FF-4E34-AD43-45E400963C80}"/>
    <hyperlink ref="C79" location="Departamento!C6" display="Córdoba" xr:uid="{E7623CAA-8D7F-4F82-B2AB-78A7C9942869}"/>
    <hyperlink ref="C80" location="Departamento!C9" display="Caquetá" xr:uid="{324880B6-8866-4D3C-AC3C-85F28977B75A}"/>
    <hyperlink ref="C4" location="Departamento!C3" display="Cundinamarca" xr:uid="{9CA7EDCC-7E5B-44B0-BC49-911A4AAD8E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1195-577B-422B-B50D-39C0BB211E27}">
  <dimension ref="A1:U21"/>
  <sheetViews>
    <sheetView zoomScale="85" zoomScaleNormal="85" workbookViewId="0">
      <pane xSplit="1" topLeftCell="T1" activePane="topRight" state="frozen"/>
      <selection pane="topRight" activeCell="U7" sqref="U7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Dominio'!$A$5</f>
        <v>Ciudad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189" t="s">
        <v>392</v>
      </c>
      <c r="B3" s="1210" t="str">
        <f>'Listado Objetos de Dominio'!$B$5</f>
        <v>Objeto de dominio que representa la ciudad donde se encuentra ubicada la sede.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1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767" t="str">
        <f>A21</f>
        <v>Consultar Información de la ciudad</v>
      </c>
    </row>
    <row r="5" spans="1:21">
      <c r="A5" s="184" t="str">
        <f>'Ciudad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'Ciudad Muestreo'!A2</f>
        <v>Corresponde al identificador único que identifica cada ciudad en el sistema.</v>
      </c>
      <c r="U5" s="652" t="s">
        <v>468</v>
      </c>
    </row>
    <row r="6" spans="1:21" ht="20.25" customHeight="1">
      <c r="A6" s="184" t="str">
        <f>'Ciudad Muestreo'!B3</f>
        <v>nombre</v>
      </c>
      <c r="B6" s="184" t="s">
        <v>764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81</v>
      </c>
      <c r="R6" s="186" t="s">
        <v>81</v>
      </c>
      <c r="S6" s="186" t="s">
        <v>81</v>
      </c>
      <c r="T6" s="185" t="str">
        <f>'Ciudad Muestreo'!B2</f>
        <v>Corresponde al atributo nombre que contiene el nombre de la ciudad</v>
      </c>
      <c r="U6" s="652" t="s">
        <v>765</v>
      </c>
    </row>
    <row r="7" spans="1:21">
      <c r="A7" s="184" t="str">
        <f>'Ciudad Muestreo'!C3</f>
        <v>departamento</v>
      </c>
      <c r="B7" s="184" t="s">
        <v>116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81</v>
      </c>
      <c r="R7" s="186" t="s">
        <v>81</v>
      </c>
      <c r="S7" s="186" t="s">
        <v>81</v>
      </c>
      <c r="T7" s="185" t="str">
        <f>'Ciudad Muestreo'!C2</f>
        <v>Corresponde al departamento al que pertenece la ciudad.</v>
      </c>
      <c r="U7" s="652" t="s">
        <v>766</v>
      </c>
    </row>
    <row r="8" spans="1:21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9"/>
      <c r="L8" s="180"/>
      <c r="M8" s="180"/>
      <c r="N8" s="180"/>
      <c r="O8" s="180"/>
      <c r="P8" s="180"/>
      <c r="Q8" s="180"/>
      <c r="R8" s="180"/>
      <c r="S8" s="180"/>
      <c r="T8" s="179"/>
    </row>
    <row r="9" spans="1:21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9"/>
      <c r="L9" s="180"/>
      <c r="M9" s="180"/>
      <c r="N9" s="180"/>
      <c r="O9" s="180"/>
      <c r="P9" s="180"/>
      <c r="Q9" s="180"/>
      <c r="R9" s="180"/>
      <c r="S9" s="180"/>
      <c r="T9" s="179"/>
    </row>
    <row r="10" spans="1:21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9"/>
      <c r="L10" s="180"/>
      <c r="M10" s="180"/>
      <c r="N10" s="180"/>
      <c r="O10" s="180"/>
      <c r="P10" s="180"/>
      <c r="Q10" s="180"/>
      <c r="R10" s="180"/>
      <c r="S10" s="180"/>
      <c r="T10" s="179"/>
    </row>
    <row r="12" spans="1:21">
      <c r="A12" s="159" t="s">
        <v>414</v>
      </c>
      <c r="B12" s="159"/>
      <c r="C12" s="159"/>
    </row>
    <row r="13" spans="1:21">
      <c r="A13" s="126" t="s">
        <v>415</v>
      </c>
      <c r="B13" s="126" t="s">
        <v>2</v>
      </c>
      <c r="C13" s="126" t="s">
        <v>416</v>
      </c>
    </row>
    <row r="14" spans="1:21" ht="27" customHeight="1">
      <c r="A14" s="1250" t="s">
        <v>767</v>
      </c>
      <c r="B14" s="1250" t="str">
        <f>'Ciudad Muestreo'!D2</f>
        <v xml:space="preserve"> La ciudad no existan ciudades con nombres duplicados en el sistema.</v>
      </c>
      <c r="C14" s="1252" t="str">
        <f>A6</f>
        <v>nombre</v>
      </c>
    </row>
    <row r="15" spans="1:21" ht="30.75" customHeight="1">
      <c r="A15" s="1251"/>
      <c r="B15" s="1251"/>
      <c r="C15" s="1253"/>
      <c r="G15" s="1" t="s">
        <v>418</v>
      </c>
    </row>
    <row r="16" spans="1:21">
      <c r="A16" s="1250" t="s">
        <v>768</v>
      </c>
      <c r="B16" s="1250" t="str">
        <f>'Ciudad Muestreo'!E2</f>
        <v>La ciudad no debe tener duplicidad en la combinación de su nombre y departamento</v>
      </c>
      <c r="C16" s="1252" t="str">
        <f>A7</f>
        <v>departamento</v>
      </c>
    </row>
    <row r="17" spans="1:21" ht="39.75" customHeight="1">
      <c r="A17" s="1251"/>
      <c r="B17" s="1251"/>
      <c r="C17" s="1253"/>
    </row>
    <row r="19" spans="1:21">
      <c r="A19" s="316" t="s">
        <v>419</v>
      </c>
      <c r="B19" s="1244" t="s">
        <v>2</v>
      </c>
      <c r="C19" s="1207"/>
      <c r="D19" s="1178" t="s">
        <v>420</v>
      </c>
      <c r="E19" s="1202"/>
      <c r="F19" s="1202"/>
      <c r="G19" s="1202"/>
      <c r="H19" s="1202"/>
      <c r="I19" s="1179"/>
      <c r="J19" s="319"/>
      <c r="K19" s="1202" t="s">
        <v>421</v>
      </c>
      <c r="L19" s="1202"/>
      <c r="M19" s="1179"/>
      <c r="N19" s="1178" t="s">
        <v>422</v>
      </c>
      <c r="O19" s="1202"/>
      <c r="P19" s="1202"/>
      <c r="Q19" s="463"/>
      <c r="R19" s="319" t="s">
        <v>474</v>
      </c>
      <c r="S19" s="288"/>
      <c r="T19" s="290"/>
      <c r="U19" s="290"/>
    </row>
    <row r="20" spans="1:21">
      <c r="A20" s="339"/>
      <c r="B20" s="1245"/>
      <c r="C20" s="1246"/>
      <c r="D20" s="1178" t="s">
        <v>423</v>
      </c>
      <c r="E20" s="1202"/>
      <c r="F20" s="1202"/>
      <c r="G20" s="1247"/>
      <c r="H20" s="341" t="s">
        <v>424</v>
      </c>
      <c r="I20" s="341" t="s">
        <v>2</v>
      </c>
      <c r="J20" s="341" t="s">
        <v>66</v>
      </c>
      <c r="K20" s="1248" t="s">
        <v>2</v>
      </c>
      <c r="L20" s="1206"/>
      <c r="M20" s="1249"/>
      <c r="N20" s="337" t="s">
        <v>425</v>
      </c>
      <c r="O20" s="1248" t="s">
        <v>2</v>
      </c>
      <c r="P20" s="1207"/>
      <c r="Q20" s="1216" t="s">
        <v>426</v>
      </c>
      <c r="R20" s="1217"/>
      <c r="S20" s="300" t="s">
        <v>427</v>
      </c>
      <c r="T20" s="290"/>
      <c r="U20" s="290"/>
    </row>
    <row r="21" spans="1:21" ht="129.75" customHeight="1">
      <c r="A21" s="715" t="s">
        <v>769</v>
      </c>
      <c r="B21" s="1241" t="s">
        <v>770</v>
      </c>
      <c r="C21" s="1242"/>
      <c r="D21" s="1181" t="s">
        <v>499</v>
      </c>
      <c r="E21" s="1182"/>
      <c r="F21" s="1182"/>
      <c r="G21" s="1243"/>
      <c r="H21" s="561" t="s">
        <v>113</v>
      </c>
      <c r="I21" s="716" t="s">
        <v>771</v>
      </c>
      <c r="J21" s="308" t="s">
        <v>772</v>
      </c>
      <c r="K21" s="1181" t="s">
        <v>773</v>
      </c>
      <c r="L21" s="1182"/>
      <c r="M21" s="1243"/>
      <c r="N21" s="692" t="s">
        <v>774</v>
      </c>
      <c r="O21" s="1181" t="s">
        <v>775</v>
      </c>
      <c r="P21" s="1182"/>
      <c r="Q21" s="1181" t="s">
        <v>437</v>
      </c>
      <c r="R21" s="1182"/>
      <c r="S21" s="307" t="s">
        <v>438</v>
      </c>
    </row>
  </sheetData>
  <mergeCells count="23">
    <mergeCell ref="A16:A17"/>
    <mergeCell ref="B16:B17"/>
    <mergeCell ref="C14:C15"/>
    <mergeCell ref="C16:C17"/>
    <mergeCell ref="A1:T1"/>
    <mergeCell ref="B2:T2"/>
    <mergeCell ref="B3:T3"/>
    <mergeCell ref="A14:A15"/>
    <mergeCell ref="B14:B15"/>
    <mergeCell ref="B19:C19"/>
    <mergeCell ref="D19:I19"/>
    <mergeCell ref="K19:M19"/>
    <mergeCell ref="N19:P19"/>
    <mergeCell ref="B20:C20"/>
    <mergeCell ref="D20:G20"/>
    <mergeCell ref="K20:M20"/>
    <mergeCell ref="O20:P20"/>
    <mergeCell ref="Q20:R20"/>
    <mergeCell ref="B21:C21"/>
    <mergeCell ref="D21:G21"/>
    <mergeCell ref="K21:M21"/>
    <mergeCell ref="O21:P21"/>
    <mergeCell ref="Q21:R21"/>
  </mergeCells>
  <dataValidations count="1">
    <dataValidation allowBlank="1" showInputMessage="1" showErrorMessage="1" sqref="H5:I5 H6:H10" xr:uid="{678F41B1-08BF-4BF7-9F68-744D333B10BB}"/>
  </dataValidations>
  <hyperlinks>
    <hyperlink ref="A1" location="'Objetos de Dominio'!A1" display="Volver al inicio" xr:uid="{575CCDB4-BDFF-4868-BAF6-5213FEE11CBA}"/>
    <hyperlink ref="U4" location="'Objeto Dominio 2'!A16" display="'Objeto Dominio 2'!A16" xr:uid="{CF609681-8283-4D38-A8BB-FF3F1DC95519}"/>
    <hyperlink ref="A1:T1" location="'Listado Objetos de Dominio'!A1" display="&lt;-Volver al inicio" xr:uid="{92DDC4B9-7851-4079-8B0A-182A84F7CCBD}"/>
    <hyperlink ref="C14" location="'Dia Caracterización'!A6" display="=A6" xr:uid="{45A31FC7-9150-490B-B376-395F3C85692A}"/>
    <hyperlink ref="C16" location="'Excepción Horar Caracterización'!A10" display="=A8" xr:uid="{A007D0D1-D896-479D-8B8B-55C79623AFA8}"/>
    <hyperlink ref="C14:C15" location="'Ciudad Caracterización'!A6" display="=A6" xr:uid="{BC1A6F74-7218-4726-A0B5-A88575BCF21B}"/>
    <hyperlink ref="C16:C17" location="'Ciudad Caracterización'!A7" display="=A7" xr:uid="{66E7E20C-6621-42EC-A534-F0F4C295BE78}"/>
    <hyperlink ref="B2:T2" location="'Listado Objetos de Dominio'!A5" display="='Listado Objetos de Dominio'!$A$5" xr:uid="{D855E05C-8658-4D42-BAEF-8DCC31C609A7}"/>
    <hyperlink ref="A21:B21" location="'Objeto Dominio 2'!R4" display="Reponsabilidad 2" xr:uid="{BE6F371F-9AF0-45EF-BDB0-0CC3522C327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CE2EDCB-6B1F-446B-B626-547D43058079}">
          <x14:formula1>
            <xm:f>Caracterizacion!$A$3:$A$41</xm:f>
          </x14:formula1>
          <xm:sqref>B7:B10</xm:sqref>
        </x14:dataValidation>
        <x14:dataValidation type="list" allowBlank="1" showInputMessage="1" showErrorMessage="1" xr:uid="{205A418E-00D5-4AB3-AC5A-75B7EDB7446E}">
          <x14:formula1>
            <xm:f>Caracterizacion!$A$3:$A$40</xm:f>
          </x14:formula1>
          <xm:sqref>B6</xm:sqref>
        </x14:dataValidation>
        <x14:dataValidation type="list" allowBlank="1" showInputMessage="1" showErrorMessage="1" xr:uid="{0FBEB0D1-5A86-4556-99BC-006CF278A5AA}">
          <x14:formula1>
            <xm:f>Caracterizacion!$A$3:$A$14</xm:f>
          </x14:formula1>
          <xm:sqref>B5</xm:sqref>
        </x14:dataValidation>
        <x14:dataValidation type="list" allowBlank="1" showInputMessage="1" showErrorMessage="1" xr:uid="{44D9EDF7-311A-4691-9D59-580A929FADC6}">
          <x14:formula1>
            <xm:f>Caracterizacion!$C$3:$C$18</xm:f>
          </x14:formula1>
          <xm:sqref>E5:E10 F6:G10</xm:sqref>
        </x14:dataValidation>
        <x14:dataValidation type="list" allowBlank="1" showInputMessage="1" showErrorMessage="1" xr:uid="{F33726D8-DA86-449A-8AE1-F0E881408861}">
          <x14:formula1>
            <xm:f>Caracterizacion!$H$3:$H$4</xm:f>
          </x14:formula1>
          <xm:sqref>L5:S10</xm:sqref>
        </x14:dataValidation>
        <x14:dataValidation type="custom" allowBlank="1" showInputMessage="1" showErrorMessage="1" xr:uid="{7607B4FF-4136-40D6-865E-9DD1BC06411F}">
          <x14:formula1>
            <xm:f>Caracterizacion!$F$3</xm:f>
          </x14:formula1>
          <xm:sqref>J5</xm:sqref>
        </x14:dataValidation>
        <x14:dataValidation type="list" allowBlank="1" showInputMessage="1" showErrorMessage="1" xr:uid="{00E0831E-3372-4C50-ADC1-1B0260E4A7A8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386AFB08-2F25-4EE5-9B89-F8108186BB1A}">
          <x14:formula1>
            <xm:f>Caracterizacion!$B$4:$B$506</xm:f>
          </x14:formula1>
          <xm:sqref>C5:D10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90C8-7D08-4E1E-995B-76DB838D8584}">
  <dimension ref="A2:H29"/>
  <sheetViews>
    <sheetView workbookViewId="0"/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1" bestFit="1" customWidth="1"/>
    <col min="5" max="5" width="18.5703125" customWidth="1"/>
    <col min="6" max="6" width="26.140625" bestFit="1" customWidth="1"/>
    <col min="7" max="7" width="18.42578125" bestFit="1" customWidth="1"/>
    <col min="8" max="8" width="18" bestFit="1" customWidth="1"/>
  </cols>
  <sheetData>
    <row r="2" spans="1:8" ht="23.25">
      <c r="A2" s="99" t="s">
        <v>776</v>
      </c>
      <c r="B2" s="99" t="s">
        <v>777</v>
      </c>
      <c r="C2" s="99" t="s">
        <v>778</v>
      </c>
      <c r="D2" s="122"/>
      <c r="E2" s="122"/>
      <c r="F2" s="122"/>
      <c r="G2" s="122"/>
      <c r="H2" s="122"/>
    </row>
    <row r="3" spans="1:8">
      <c r="A3" s="56" t="s">
        <v>369</v>
      </c>
      <c r="B3" s="56" t="s">
        <v>370</v>
      </c>
      <c r="C3" s="166" t="s">
        <v>509</v>
      </c>
      <c r="D3" s="130"/>
      <c r="E3" s="130"/>
      <c r="F3" s="130"/>
      <c r="G3" s="130"/>
      <c r="H3" s="130"/>
    </row>
    <row r="4" spans="1:8">
      <c r="A4" s="167" t="s">
        <v>779</v>
      </c>
      <c r="B4" s="56" t="s">
        <v>512</v>
      </c>
      <c r="C4" s="166" t="s">
        <v>512</v>
      </c>
      <c r="D4" s="131"/>
      <c r="E4" s="130"/>
      <c r="F4" s="130"/>
      <c r="G4" s="130"/>
      <c r="H4" s="130"/>
    </row>
    <row r="5" spans="1:8">
      <c r="A5" s="167" t="s">
        <v>780</v>
      </c>
      <c r="B5" s="56" t="s">
        <v>516</v>
      </c>
      <c r="C5" s="166" t="s">
        <v>516</v>
      </c>
      <c r="D5" s="131"/>
      <c r="E5" s="130"/>
      <c r="F5" s="130"/>
      <c r="G5" s="130"/>
      <c r="H5" s="130"/>
    </row>
    <row r="6" spans="1:8">
      <c r="A6" s="167" t="s">
        <v>781</v>
      </c>
      <c r="B6" s="56" t="s">
        <v>524</v>
      </c>
      <c r="C6" s="166" t="s">
        <v>524</v>
      </c>
      <c r="D6" s="131"/>
      <c r="E6" s="130"/>
      <c r="F6" s="130"/>
      <c r="G6" s="130"/>
      <c r="H6" s="130"/>
    </row>
    <row r="7" spans="1:8">
      <c r="A7" s="167" t="s">
        <v>782</v>
      </c>
      <c r="B7" s="56" t="s">
        <v>528</v>
      </c>
      <c r="C7" s="166" t="s">
        <v>528</v>
      </c>
      <c r="D7" s="131"/>
      <c r="E7" s="130"/>
      <c r="F7" s="130"/>
      <c r="G7" s="130"/>
      <c r="H7" s="130"/>
    </row>
    <row r="8" spans="1:8">
      <c r="A8" s="167" t="s">
        <v>783</v>
      </c>
      <c r="B8" s="56" t="s">
        <v>625</v>
      </c>
      <c r="C8" s="166" t="s">
        <v>625</v>
      </c>
      <c r="D8" s="130"/>
    </row>
    <row r="9" spans="1:8">
      <c r="A9" s="167" t="s">
        <v>784</v>
      </c>
      <c r="B9" s="56" t="s">
        <v>576</v>
      </c>
      <c r="C9" s="166" t="s">
        <v>576</v>
      </c>
      <c r="D9" s="130"/>
    </row>
    <row r="10" spans="1:8">
      <c r="A10" s="167" t="s">
        <v>785</v>
      </c>
      <c r="B10" s="56" t="s">
        <v>641</v>
      </c>
      <c r="C10" s="166" t="s">
        <v>641</v>
      </c>
      <c r="D10" s="130"/>
    </row>
    <row r="11" spans="1:8">
      <c r="A11" s="167" t="s">
        <v>786</v>
      </c>
      <c r="B11" s="56" t="s">
        <v>679</v>
      </c>
      <c r="C11" s="166" t="s">
        <v>679</v>
      </c>
      <c r="D11" s="130"/>
    </row>
    <row r="12" spans="1:8">
      <c r="A12" s="167" t="s">
        <v>787</v>
      </c>
      <c r="B12" s="56" t="s">
        <v>599</v>
      </c>
      <c r="C12" s="166" t="s">
        <v>599</v>
      </c>
      <c r="D12" s="130"/>
    </row>
    <row r="13" spans="1:8">
      <c r="A13" s="167" t="s">
        <v>788</v>
      </c>
      <c r="B13" s="56" t="s">
        <v>561</v>
      </c>
      <c r="C13" s="166" t="s">
        <v>561</v>
      </c>
    </row>
    <row r="14" spans="1:8">
      <c r="A14" s="167" t="s">
        <v>789</v>
      </c>
      <c r="B14" s="56" t="s">
        <v>666</v>
      </c>
      <c r="C14" s="166" t="s">
        <v>666</v>
      </c>
    </row>
    <row r="15" spans="1:8">
      <c r="A15" s="167" t="s">
        <v>790</v>
      </c>
      <c r="B15" s="56" t="s">
        <v>580</v>
      </c>
      <c r="C15" s="166" t="s">
        <v>580</v>
      </c>
    </row>
    <row r="16" spans="1:8">
      <c r="A16" s="167" t="s">
        <v>791</v>
      </c>
      <c r="B16" s="56" t="s">
        <v>512</v>
      </c>
      <c r="C16" s="166" t="s">
        <v>512</v>
      </c>
    </row>
    <row r="17" spans="1:3">
      <c r="A17" s="167" t="s">
        <v>792</v>
      </c>
      <c r="B17" s="56" t="s">
        <v>793</v>
      </c>
      <c r="C17" s="166" t="s">
        <v>793</v>
      </c>
    </row>
    <row r="18" spans="1:3">
      <c r="A18" s="167" t="s">
        <v>794</v>
      </c>
      <c r="B18" s="56" t="s">
        <v>584</v>
      </c>
      <c r="C18" s="166" t="s">
        <v>584</v>
      </c>
    </row>
    <row r="19" spans="1:3">
      <c r="A19" s="167" t="s">
        <v>795</v>
      </c>
      <c r="B19" s="56" t="s">
        <v>591</v>
      </c>
      <c r="C19" s="166" t="s">
        <v>591</v>
      </c>
    </row>
    <row r="20" spans="1:3">
      <c r="A20" s="167" t="s">
        <v>796</v>
      </c>
      <c r="B20" s="56" t="s">
        <v>554</v>
      </c>
      <c r="C20" s="166" t="s">
        <v>554</v>
      </c>
    </row>
    <row r="21" spans="1:3">
      <c r="A21" s="167" t="s">
        <v>797</v>
      </c>
      <c r="B21" s="56" t="s">
        <v>550</v>
      </c>
      <c r="C21" s="166" t="s">
        <v>550</v>
      </c>
    </row>
    <row r="22" spans="1:3">
      <c r="A22" s="167" t="s">
        <v>798</v>
      </c>
      <c r="B22" s="56" t="s">
        <v>572</v>
      </c>
      <c r="C22" s="166" t="s">
        <v>572</v>
      </c>
    </row>
    <row r="23" spans="1:3">
      <c r="A23" s="167" t="s">
        <v>799</v>
      </c>
      <c r="B23" s="56" t="s">
        <v>532</v>
      </c>
      <c r="C23" s="166" t="s">
        <v>532</v>
      </c>
    </row>
    <row r="24" spans="1:3">
      <c r="A24" s="167" t="s">
        <v>800</v>
      </c>
      <c r="B24" s="56" t="s">
        <v>595</v>
      </c>
      <c r="C24" s="166" t="s">
        <v>595</v>
      </c>
    </row>
    <row r="25" spans="1:3">
      <c r="A25" s="167" t="s">
        <v>801</v>
      </c>
      <c r="B25" s="56" t="s">
        <v>565</v>
      </c>
      <c r="C25" s="166" t="s">
        <v>565</v>
      </c>
    </row>
    <row r="26" spans="1:3">
      <c r="A26" s="167" t="s">
        <v>802</v>
      </c>
      <c r="B26" s="56" t="s">
        <v>543</v>
      </c>
      <c r="C26" s="166" t="s">
        <v>543</v>
      </c>
    </row>
    <row r="27" spans="1:3">
      <c r="A27" s="167" t="s">
        <v>803</v>
      </c>
      <c r="B27" s="56" t="s">
        <v>603</v>
      </c>
      <c r="C27" s="166" t="s">
        <v>603</v>
      </c>
    </row>
    <row r="28" spans="1:3">
      <c r="A28" s="167" t="s">
        <v>804</v>
      </c>
      <c r="B28" s="56" t="s">
        <v>539</v>
      </c>
      <c r="C28" s="166" t="s">
        <v>539</v>
      </c>
    </row>
    <row r="29" spans="1:3">
      <c r="A29" s="167" t="s">
        <v>805</v>
      </c>
      <c r="B29" s="56" t="s">
        <v>520</v>
      </c>
      <c r="C29" s="166" t="s">
        <v>520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B462-2CA0-45CC-8728-04BA79A9F691}">
  <dimension ref="A1:V14"/>
  <sheetViews>
    <sheetView zoomScale="85" zoomScaleNormal="85" workbookViewId="0">
      <pane xSplit="1" topLeftCell="B1" activePane="topRight" state="frozen"/>
      <selection pane="topRight" activeCell="A10" sqref="A10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9.570312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46.42578125" style="1" bestFit="1" customWidth="1"/>
    <col min="23" max="23" width="52.28515625" style="1" bestFit="1" customWidth="1"/>
    <col min="24" max="16384" width="11.42578125" style="1"/>
  </cols>
  <sheetData>
    <row r="1" spans="1:22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2">
      <c r="A2" s="4" t="s">
        <v>391</v>
      </c>
      <c r="B2" s="1209" t="str">
        <f>'Listado Objetos de Dominio'!$A$6</f>
        <v>Departamento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2">
      <c r="A3" s="4" t="s">
        <v>392</v>
      </c>
      <c r="B3" s="1187" t="str">
        <f>'Listado Objetos de Dominio'!$B$6</f>
        <v>Objeto de dominio que representa la división territorial donde se encuentra la ciudad.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2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5" t="str">
        <f>A14</f>
        <v>Consultar Información del Departamento</v>
      </c>
    </row>
    <row r="5" spans="1:22">
      <c r="A5" s="11" t="str">
        <f>'Departamento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'Departamento Muestreo'!A2</f>
        <v>Corresponde al identificador único que identifica cada departamento en el sistema.</v>
      </c>
      <c r="U5" s="24" t="s">
        <v>408</v>
      </c>
    </row>
    <row r="6" spans="1:22" ht="20.25" customHeight="1">
      <c r="A6" s="11" t="str">
        <f>'Departamento Muestreo'!B3</f>
        <v>nombre</v>
      </c>
      <c r="B6" s="5" t="s">
        <v>75</v>
      </c>
      <c r="C6" s="5">
        <v>1</v>
      </c>
      <c r="D6" s="5">
        <v>50</v>
      </c>
      <c r="E6" s="5"/>
      <c r="F6" s="5"/>
      <c r="G6" s="5"/>
      <c r="H6" s="5" t="s">
        <v>410</v>
      </c>
      <c r="I6" s="5" t="s">
        <v>806</v>
      </c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13" t="s">
        <v>81</v>
      </c>
      <c r="T6" s="7" t="str">
        <f>'Departamento Muestreo'!B2</f>
        <v>Corresponde al atributo que indica el nombre del departamento</v>
      </c>
      <c r="U6" s="24" t="s">
        <v>807</v>
      </c>
    </row>
    <row r="7" spans="1:22">
      <c r="I7" s="89"/>
    </row>
    <row r="8" spans="1:22">
      <c r="A8" s="1254" t="s">
        <v>414</v>
      </c>
      <c r="B8" s="1254"/>
      <c r="C8" s="1254"/>
      <c r="G8" s="1" t="s">
        <v>418</v>
      </c>
    </row>
    <row r="9" spans="1:22">
      <c r="A9" s="126" t="s">
        <v>415</v>
      </c>
      <c r="B9" s="126" t="s">
        <v>2</v>
      </c>
      <c r="C9" s="126" t="s">
        <v>416</v>
      </c>
    </row>
    <row r="10" spans="1:22" ht="74.25" customHeight="1">
      <c r="A10" s="103" t="s">
        <v>808</v>
      </c>
      <c r="B10" s="103" t="str">
        <f>'Departamento Muestreo'!C2</f>
        <v>El departamento no debe tener duplicidad en su nombre</v>
      </c>
      <c r="C10" s="232" t="str">
        <f>A6</f>
        <v>nombre</v>
      </c>
    </row>
    <row r="12" spans="1:22">
      <c r="A12" s="316" t="s">
        <v>419</v>
      </c>
      <c r="B12" s="1244" t="s">
        <v>2</v>
      </c>
      <c r="C12" s="1207"/>
      <c r="D12" s="1178" t="s">
        <v>420</v>
      </c>
      <c r="E12" s="1202"/>
      <c r="F12" s="1202"/>
      <c r="G12" s="1202"/>
      <c r="H12" s="1202"/>
      <c r="I12" s="1179"/>
      <c r="J12" s="319"/>
      <c r="K12" s="1202" t="s">
        <v>421</v>
      </c>
      <c r="L12" s="1202"/>
      <c r="M12" s="1179"/>
      <c r="N12" s="1178" t="s">
        <v>422</v>
      </c>
      <c r="O12" s="1202"/>
      <c r="P12" s="1202"/>
      <c r="Q12" s="463"/>
      <c r="R12" s="319" t="s">
        <v>474</v>
      </c>
      <c r="S12" s="288"/>
      <c r="T12" s="290"/>
      <c r="U12" s="290"/>
      <c r="V12" s="290"/>
    </row>
    <row r="13" spans="1:22">
      <c r="A13" s="339"/>
      <c r="B13" s="1245"/>
      <c r="C13" s="1246"/>
      <c r="D13" s="1178" t="s">
        <v>423</v>
      </c>
      <c r="E13" s="1202"/>
      <c r="F13" s="1202"/>
      <c r="G13" s="1247"/>
      <c r="H13" s="341" t="s">
        <v>424</v>
      </c>
      <c r="I13" s="341" t="s">
        <v>2</v>
      </c>
      <c r="J13" s="341" t="s">
        <v>66</v>
      </c>
      <c r="K13" s="1248" t="s">
        <v>2</v>
      </c>
      <c r="L13" s="1206"/>
      <c r="M13" s="1249"/>
      <c r="N13" s="337" t="s">
        <v>425</v>
      </c>
      <c r="O13" s="1248" t="s">
        <v>2</v>
      </c>
      <c r="P13" s="1207"/>
      <c r="Q13" s="1216" t="s">
        <v>426</v>
      </c>
      <c r="R13" s="1217"/>
      <c r="S13" s="300" t="s">
        <v>427</v>
      </c>
      <c r="T13" s="290"/>
      <c r="U13" s="290"/>
      <c r="V13" s="290"/>
    </row>
    <row r="14" spans="1:22" ht="94.5" customHeight="1">
      <c r="A14" s="715" t="s">
        <v>809</v>
      </c>
      <c r="B14" s="1241" t="s">
        <v>810</v>
      </c>
      <c r="C14" s="1242"/>
      <c r="D14" s="1181" t="s">
        <v>499</v>
      </c>
      <c r="E14" s="1182"/>
      <c r="F14" s="1182"/>
      <c r="G14" s="1243"/>
      <c r="H14" s="561" t="s">
        <v>116</v>
      </c>
      <c r="I14" s="716" t="s">
        <v>811</v>
      </c>
      <c r="J14" s="308" t="s">
        <v>812</v>
      </c>
      <c r="K14" s="1181" t="s">
        <v>813</v>
      </c>
      <c r="L14" s="1182"/>
      <c r="M14" s="1243"/>
      <c r="N14" s="692" t="s">
        <v>814</v>
      </c>
      <c r="O14" s="1181" t="s">
        <v>775</v>
      </c>
      <c r="P14" s="1182"/>
      <c r="Q14" s="1181" t="s">
        <v>437</v>
      </c>
      <c r="R14" s="1182"/>
      <c r="S14" s="307" t="s">
        <v>438</v>
      </c>
    </row>
  </sheetData>
  <mergeCells count="18">
    <mergeCell ref="A1:T1"/>
    <mergeCell ref="B2:T2"/>
    <mergeCell ref="B3:T3"/>
    <mergeCell ref="A8:C8"/>
    <mergeCell ref="B12:C12"/>
    <mergeCell ref="D12:I12"/>
    <mergeCell ref="K12:M12"/>
    <mergeCell ref="N12:P12"/>
    <mergeCell ref="B13:C13"/>
    <mergeCell ref="D13:G13"/>
    <mergeCell ref="K13:M13"/>
    <mergeCell ref="O13:P13"/>
    <mergeCell ref="Q13:R13"/>
    <mergeCell ref="B14:C14"/>
    <mergeCell ref="D14:G14"/>
    <mergeCell ref="K14:M14"/>
    <mergeCell ref="O14:P14"/>
    <mergeCell ref="Q14:R14"/>
  </mergeCells>
  <dataValidations count="1">
    <dataValidation allowBlank="1" showInputMessage="1" showErrorMessage="1" sqref="H5:I5 H6" xr:uid="{CC357B73-ABB3-4C50-9CBC-BDDB65B690CC}"/>
  </dataValidations>
  <hyperlinks>
    <hyperlink ref="A1" location="'Objetos de Dominio'!A1" display="Volver al inicio" xr:uid="{C531ADCA-1C24-4A58-A03A-9EA94755A0A5}"/>
    <hyperlink ref="U4" location="'Objeto Dominio 2'!A17" display="'Objeto Dominio 2'!A17" xr:uid="{810C8CA0-B4CD-4F2C-B603-9623C506BC0F}"/>
    <hyperlink ref="A1:T1" location="'Listado Objetos de Dominio'!A1" display="&lt;-Volver al inicio" xr:uid="{8168BDD2-B535-48A1-A0EF-C29C35CD5B03}"/>
    <hyperlink ref="C10" location="'Departamento Caracterización '!A6" display="=A6" xr:uid="{69001459-BD5E-4692-A5ED-B01B13517543}"/>
    <hyperlink ref="B2:T2" location="'Listado Objetos de Dominio'!A6" display="='Listado Objetos de Dominio'!$A$6" xr:uid="{5DEBBDF7-B250-48B3-AB8C-03DA7D3BFEB6}"/>
    <hyperlink ref="A14:B14" location="'Objeto Dominio 2'!R4" display="Reponsabilidad 2" xr:uid="{373139FE-9074-4111-9FBD-690197B10E1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9905A37-01A5-4D67-849B-682D74C39D4E}">
          <x14:formula1>
            <xm:f>Caracterizacion!$A$3:$A$14</xm:f>
          </x14:formula1>
          <xm:sqref>B5</xm:sqref>
        </x14:dataValidation>
        <x14:dataValidation type="list" allowBlank="1" showInputMessage="1" showErrorMessage="1" xr:uid="{405F64F6-7B9C-42DE-9D55-E8C8C0E084EE}">
          <x14:formula1>
            <xm:f>Caracterizacion!$A$3:$A$40</xm:f>
          </x14:formula1>
          <xm:sqref>B6</xm:sqref>
        </x14:dataValidation>
        <x14:dataValidation type="list" allowBlank="1" showInputMessage="1" showErrorMessage="1" xr:uid="{21057323-CFEE-421A-85A2-24CAE5B731C7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2F2757C8-E240-4A29-8907-D6C01882B84E}">
          <x14:formula1>
            <xm:f>Caracterizacion!$F$3</xm:f>
          </x14:formula1>
          <xm:sqref>J5</xm:sqref>
        </x14:dataValidation>
        <x14:dataValidation type="list" allowBlank="1" showInputMessage="1" showErrorMessage="1" xr:uid="{560AE279-7D9C-4217-AC5A-B1DA033995FC}">
          <x14:formula1>
            <xm:f>Caracterizacion!$H$3:$H$4</xm:f>
          </x14:formula1>
          <xm:sqref>L5:S6</xm:sqref>
        </x14:dataValidation>
        <x14:dataValidation type="list" allowBlank="1" showInputMessage="1" showErrorMessage="1" xr:uid="{6357E6FB-B520-4B06-9668-4D5F8829CA3B}">
          <x14:formula1>
            <xm:f>Caracterizacion!$C$3:$C$18</xm:f>
          </x14:formula1>
          <xm:sqref>E5:E6 F6:G6</xm:sqref>
        </x14:dataValidation>
        <x14:dataValidation type="list" allowBlank="1" showInputMessage="1" showErrorMessage="1" xr:uid="{C2388CF3-B64B-4509-84BD-707BF3E31D83}">
          <x14:formula1>
            <xm:f>Caracterizacion!$B$4:$B$506</xm:f>
          </x14:formula1>
          <xm:sqref>C5:D6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9EFA-EE90-41DC-9456-D3CB0B265572}">
  <dimension ref="A2:H80"/>
  <sheetViews>
    <sheetView topLeftCell="B1" workbookViewId="0">
      <selection activeCell="F19" sqref="F19"/>
    </sheetView>
  </sheetViews>
  <sheetFormatPr defaultRowHeight="15"/>
  <cols>
    <col min="1" max="1" width="40.140625" bestFit="1" customWidth="1"/>
    <col min="2" max="2" width="36.85546875" bestFit="1" customWidth="1"/>
    <col min="3" max="3" width="32.5703125" customWidth="1"/>
    <col min="4" max="4" width="21" bestFit="1" customWidth="1"/>
    <col min="5" max="5" width="33" bestFit="1" customWidth="1"/>
    <col min="6" max="6" width="59.5703125" bestFit="1" customWidth="1"/>
    <col min="7" max="7" width="20.5703125" bestFit="1" customWidth="1"/>
    <col min="8" max="8" width="26.28515625" bestFit="1" customWidth="1"/>
  </cols>
  <sheetData>
    <row r="2" spans="1:8" ht="46.5">
      <c r="A2" s="125" t="s">
        <v>815</v>
      </c>
      <c r="B2" s="125" t="s">
        <v>816</v>
      </c>
      <c r="C2" s="125" t="s">
        <v>817</v>
      </c>
      <c r="D2" s="125" t="s">
        <v>818</v>
      </c>
      <c r="E2" s="125" t="s">
        <v>819</v>
      </c>
      <c r="F2" s="125" t="s">
        <v>820</v>
      </c>
      <c r="G2" s="122"/>
      <c r="H2" s="122"/>
    </row>
    <row r="3" spans="1:8">
      <c r="A3" s="168" t="s">
        <v>369</v>
      </c>
      <c r="B3" s="56" t="s">
        <v>137</v>
      </c>
      <c r="C3" s="63" t="s">
        <v>821</v>
      </c>
      <c r="D3" s="56" t="s">
        <v>822</v>
      </c>
      <c r="E3" s="56" t="s">
        <v>823</v>
      </c>
      <c r="F3" s="88" t="s">
        <v>509</v>
      </c>
      <c r="G3" s="59"/>
      <c r="H3" s="59"/>
    </row>
    <row r="4" spans="1:8">
      <c r="A4" s="58" t="s">
        <v>510</v>
      </c>
      <c r="B4" s="56" t="s">
        <v>824</v>
      </c>
      <c r="C4" s="63" t="s">
        <v>825</v>
      </c>
      <c r="D4" s="56" t="s">
        <v>826</v>
      </c>
      <c r="E4" s="56" t="s">
        <v>827</v>
      </c>
      <c r="F4" s="88" t="s">
        <v>828</v>
      </c>
      <c r="G4" s="59"/>
      <c r="H4" s="175"/>
    </row>
    <row r="5" spans="1:8">
      <c r="A5" s="58" t="s">
        <v>514</v>
      </c>
      <c r="B5" s="56" t="s">
        <v>824</v>
      </c>
      <c r="C5" s="63" t="s">
        <v>825</v>
      </c>
      <c r="D5" s="56" t="s">
        <v>829</v>
      </c>
      <c r="E5" s="56" t="s">
        <v>830</v>
      </c>
      <c r="F5" s="88" t="s">
        <v>831</v>
      </c>
      <c r="G5" s="59"/>
      <c r="H5" s="175"/>
    </row>
    <row r="6" spans="1:8">
      <c r="A6" s="58" t="s">
        <v>518</v>
      </c>
      <c r="B6" s="56" t="s">
        <v>824</v>
      </c>
      <c r="C6" s="111" t="s">
        <v>832</v>
      </c>
      <c r="D6" s="56" t="s">
        <v>826</v>
      </c>
      <c r="E6" s="56" t="s">
        <v>827</v>
      </c>
      <c r="F6" s="88" t="s">
        <v>833</v>
      </c>
      <c r="G6" s="59"/>
      <c r="H6" s="175"/>
    </row>
    <row r="7" spans="1:8">
      <c r="A7" s="58" t="s">
        <v>522</v>
      </c>
      <c r="B7" s="56" t="s">
        <v>824</v>
      </c>
      <c r="C7" s="111" t="s">
        <v>832</v>
      </c>
      <c r="D7" s="56" t="s">
        <v>834</v>
      </c>
      <c r="E7" s="56" t="s">
        <v>835</v>
      </c>
      <c r="F7" s="88" t="s">
        <v>836</v>
      </c>
      <c r="G7" s="59"/>
      <c r="H7" s="175"/>
    </row>
    <row r="8" spans="1:8">
      <c r="A8" s="58" t="s">
        <v>526</v>
      </c>
      <c r="B8" s="56" t="s">
        <v>824</v>
      </c>
      <c r="C8" s="111" t="s">
        <v>837</v>
      </c>
      <c r="D8" s="56" t="s">
        <v>826</v>
      </c>
      <c r="E8" s="56" t="s">
        <v>827</v>
      </c>
      <c r="F8" s="88" t="s">
        <v>838</v>
      </c>
    </row>
    <row r="9" spans="1:8">
      <c r="A9" s="58" t="s">
        <v>530</v>
      </c>
      <c r="B9" s="56" t="s">
        <v>824</v>
      </c>
      <c r="C9" s="111" t="s">
        <v>837</v>
      </c>
      <c r="D9" s="56" t="s">
        <v>834</v>
      </c>
      <c r="E9" s="56" t="s">
        <v>835</v>
      </c>
      <c r="F9" s="88" t="s">
        <v>839</v>
      </c>
    </row>
    <row r="10" spans="1:8">
      <c r="A10" s="58" t="s">
        <v>534</v>
      </c>
      <c r="B10" s="56" t="s">
        <v>824</v>
      </c>
      <c r="C10" s="111" t="s">
        <v>840</v>
      </c>
      <c r="D10" s="56" t="s">
        <v>826</v>
      </c>
      <c r="E10" s="56" t="s">
        <v>827</v>
      </c>
      <c r="F10" s="88" t="s">
        <v>841</v>
      </c>
    </row>
    <row r="11" spans="1:8">
      <c r="A11" s="58" t="s">
        <v>537</v>
      </c>
      <c r="B11" s="56" t="s">
        <v>824</v>
      </c>
      <c r="C11" s="111" t="s">
        <v>840</v>
      </c>
      <c r="D11" s="56" t="s">
        <v>834</v>
      </c>
      <c r="E11" s="56" t="s">
        <v>835</v>
      </c>
      <c r="F11" s="88" t="s">
        <v>842</v>
      </c>
    </row>
    <row r="12" spans="1:8">
      <c r="A12" s="58" t="s">
        <v>541</v>
      </c>
      <c r="B12" s="56" t="s">
        <v>824</v>
      </c>
      <c r="C12" s="111" t="s">
        <v>843</v>
      </c>
      <c r="D12" s="56" t="s">
        <v>826</v>
      </c>
      <c r="E12" s="56" t="s">
        <v>827</v>
      </c>
      <c r="F12" s="88" t="s">
        <v>844</v>
      </c>
    </row>
    <row r="13" spans="1:8">
      <c r="A13" s="58" t="s">
        <v>545</v>
      </c>
      <c r="B13" s="56" t="s">
        <v>824</v>
      </c>
      <c r="C13" s="111" t="s">
        <v>843</v>
      </c>
      <c r="D13" s="56" t="s">
        <v>834</v>
      </c>
      <c r="E13" s="56" t="s">
        <v>835</v>
      </c>
      <c r="F13" s="88" t="s">
        <v>845</v>
      </c>
    </row>
    <row r="14" spans="1:8">
      <c r="A14" s="58" t="s">
        <v>548</v>
      </c>
      <c r="B14" s="56" t="s">
        <v>824</v>
      </c>
      <c r="C14" s="111" t="s">
        <v>846</v>
      </c>
      <c r="D14" s="56" t="s">
        <v>847</v>
      </c>
      <c r="E14" s="56" t="s">
        <v>827</v>
      </c>
      <c r="F14" s="88" t="s">
        <v>848</v>
      </c>
    </row>
    <row r="15" spans="1:8">
      <c r="A15" s="58" t="s">
        <v>552</v>
      </c>
      <c r="B15" s="56" t="s">
        <v>849</v>
      </c>
      <c r="C15" s="63" t="s">
        <v>825</v>
      </c>
      <c r="D15" s="56" t="s">
        <v>826</v>
      </c>
      <c r="E15" s="56" t="s">
        <v>827</v>
      </c>
      <c r="F15" s="88" t="s">
        <v>850</v>
      </c>
    </row>
    <row r="16" spans="1:8">
      <c r="A16" s="58" t="s">
        <v>556</v>
      </c>
      <c r="B16" s="56" t="s">
        <v>849</v>
      </c>
      <c r="C16" s="63" t="s">
        <v>825</v>
      </c>
      <c r="D16" s="56" t="s">
        <v>829</v>
      </c>
      <c r="E16" s="56" t="s">
        <v>830</v>
      </c>
      <c r="F16" s="88" t="s">
        <v>851</v>
      </c>
    </row>
    <row r="17" spans="1:6">
      <c r="A17" s="58" t="s">
        <v>559</v>
      </c>
      <c r="B17" s="56" t="s">
        <v>849</v>
      </c>
      <c r="C17" s="111" t="s">
        <v>832</v>
      </c>
      <c r="D17" s="56" t="s">
        <v>826</v>
      </c>
      <c r="E17" s="56" t="s">
        <v>827</v>
      </c>
      <c r="F17" s="88" t="s">
        <v>852</v>
      </c>
    </row>
    <row r="18" spans="1:6">
      <c r="A18" s="58" t="s">
        <v>563</v>
      </c>
      <c r="B18" s="56" t="s">
        <v>849</v>
      </c>
      <c r="C18" s="111" t="s">
        <v>832</v>
      </c>
      <c r="D18" s="56" t="s">
        <v>834</v>
      </c>
      <c r="E18" s="56" t="s">
        <v>835</v>
      </c>
      <c r="F18" s="88" t="s">
        <v>853</v>
      </c>
    </row>
    <row r="19" spans="1:6">
      <c r="A19" s="58" t="s">
        <v>567</v>
      </c>
      <c r="B19" s="56" t="s">
        <v>849</v>
      </c>
      <c r="C19" s="111" t="s">
        <v>837</v>
      </c>
      <c r="D19" s="56" t="s">
        <v>826</v>
      </c>
      <c r="E19" s="56" t="s">
        <v>827</v>
      </c>
      <c r="F19" s="88" t="s">
        <v>854</v>
      </c>
    </row>
    <row r="20" spans="1:6">
      <c r="A20" s="58" t="s">
        <v>570</v>
      </c>
      <c r="B20" s="56" t="s">
        <v>849</v>
      </c>
      <c r="C20" s="111" t="s">
        <v>855</v>
      </c>
      <c r="D20" s="56" t="s">
        <v>834</v>
      </c>
      <c r="E20" s="56" t="s">
        <v>835</v>
      </c>
      <c r="F20" s="88" t="s">
        <v>856</v>
      </c>
    </row>
    <row r="21" spans="1:6">
      <c r="A21" s="58" t="s">
        <v>574</v>
      </c>
      <c r="B21" s="56" t="s">
        <v>849</v>
      </c>
      <c r="C21" s="111" t="s">
        <v>840</v>
      </c>
      <c r="D21" s="56" t="s">
        <v>826</v>
      </c>
      <c r="E21" s="56" t="s">
        <v>827</v>
      </c>
      <c r="F21" s="88" t="s">
        <v>857</v>
      </c>
    </row>
    <row r="22" spans="1:6">
      <c r="A22" s="58" t="s">
        <v>578</v>
      </c>
      <c r="B22" s="56" t="s">
        <v>849</v>
      </c>
      <c r="C22" s="111" t="s">
        <v>840</v>
      </c>
      <c r="D22" s="56" t="s">
        <v>834</v>
      </c>
      <c r="E22" s="56" t="s">
        <v>835</v>
      </c>
      <c r="F22" s="88" t="s">
        <v>858</v>
      </c>
    </row>
    <row r="23" spans="1:6">
      <c r="A23" s="58" t="s">
        <v>582</v>
      </c>
      <c r="B23" s="56" t="s">
        <v>849</v>
      </c>
      <c r="C23" s="111" t="s">
        <v>843</v>
      </c>
      <c r="D23" s="56" t="s">
        <v>826</v>
      </c>
      <c r="E23" s="56" t="s">
        <v>827</v>
      </c>
      <c r="F23" s="88" t="s">
        <v>859</v>
      </c>
    </row>
    <row r="24" spans="1:6">
      <c r="A24" s="58" t="s">
        <v>586</v>
      </c>
      <c r="B24" s="56" t="s">
        <v>849</v>
      </c>
      <c r="C24" s="111" t="s">
        <v>843</v>
      </c>
      <c r="D24" s="56" t="s">
        <v>834</v>
      </c>
      <c r="E24" s="56" t="s">
        <v>835</v>
      </c>
      <c r="F24" s="88" t="s">
        <v>860</v>
      </c>
    </row>
    <row r="25" spans="1:6">
      <c r="B25" s="59"/>
      <c r="C25" s="117"/>
      <c r="D25" s="59"/>
      <c r="E25" s="59"/>
    </row>
    <row r="26" spans="1:6">
      <c r="B26" s="59"/>
      <c r="C26" s="117"/>
      <c r="D26" s="59"/>
      <c r="E26" s="59"/>
    </row>
    <row r="27" spans="1:6">
      <c r="B27" s="59"/>
      <c r="C27" s="117"/>
      <c r="D27" s="59"/>
      <c r="E27" s="59"/>
    </row>
    <row r="28" spans="1:6">
      <c r="B28" s="59"/>
      <c r="C28" s="117"/>
      <c r="D28" s="59"/>
      <c r="E28" s="59"/>
    </row>
    <row r="29" spans="1:6">
      <c r="B29" s="59"/>
      <c r="C29" s="117"/>
      <c r="D29" s="59"/>
      <c r="E29" s="59"/>
    </row>
    <row r="30" spans="1:6">
      <c r="B30" s="59"/>
      <c r="C30" s="117"/>
      <c r="D30" s="59"/>
      <c r="E30" s="59"/>
    </row>
    <row r="31" spans="1:6">
      <c r="B31" s="59"/>
      <c r="C31" s="118"/>
      <c r="D31" s="59"/>
      <c r="E31" s="59"/>
    </row>
    <row r="32" spans="1:6">
      <c r="B32" s="59"/>
      <c r="C32" s="117"/>
      <c r="D32" s="59"/>
      <c r="E32" s="59"/>
    </row>
    <row r="33" spans="1:5">
      <c r="B33" s="59"/>
      <c r="C33" s="117"/>
      <c r="D33" s="59"/>
      <c r="E33" s="59"/>
    </row>
    <row r="34" spans="1:5">
      <c r="B34" s="59"/>
      <c r="C34" s="117"/>
      <c r="D34" s="59"/>
      <c r="E34" s="59"/>
    </row>
    <row r="35" spans="1:5">
      <c r="B35" s="59"/>
      <c r="C35" s="117"/>
      <c r="D35" s="59"/>
      <c r="E35" s="59"/>
    </row>
    <row r="36" spans="1:5">
      <c r="B36" s="59"/>
      <c r="C36" s="117"/>
      <c r="D36" s="59"/>
      <c r="E36" s="59"/>
    </row>
    <row r="37" spans="1:5">
      <c r="B37" s="59"/>
      <c r="C37" s="117"/>
      <c r="D37" s="59"/>
      <c r="E37" s="59"/>
    </row>
    <row r="38" spans="1:5">
      <c r="B38" s="59"/>
      <c r="C38" s="118"/>
      <c r="D38" s="59"/>
      <c r="E38" s="59"/>
    </row>
    <row r="39" spans="1:5">
      <c r="A39" s="73"/>
      <c r="B39" s="59"/>
      <c r="C39" s="118"/>
      <c r="D39" s="59"/>
      <c r="E39" s="59"/>
    </row>
    <row r="40" spans="1:5">
      <c r="B40" s="59"/>
      <c r="C40" s="117"/>
      <c r="D40" s="59"/>
      <c r="E40" s="59"/>
    </row>
    <row r="41" spans="1:5">
      <c r="B41" s="59"/>
      <c r="C41" s="117"/>
      <c r="D41" s="59"/>
      <c r="E41" s="59"/>
    </row>
    <row r="42" spans="1:5">
      <c r="B42" s="59"/>
      <c r="C42" s="117"/>
      <c r="D42" s="59"/>
      <c r="E42" s="59"/>
    </row>
    <row r="43" spans="1:5">
      <c r="B43" s="59"/>
      <c r="C43" s="117"/>
      <c r="D43" s="59"/>
      <c r="E43" s="59"/>
    </row>
    <row r="44" spans="1:5">
      <c r="B44" s="59"/>
      <c r="C44" s="117"/>
      <c r="D44" s="59"/>
      <c r="E44" s="59"/>
    </row>
    <row r="45" spans="1:5">
      <c r="B45" s="59"/>
      <c r="C45" s="117"/>
      <c r="D45" s="59"/>
      <c r="E45" s="59"/>
    </row>
    <row r="46" spans="1:5">
      <c r="B46" s="59"/>
      <c r="C46" s="117"/>
      <c r="D46" s="59"/>
      <c r="E46" s="59"/>
    </row>
    <row r="47" spans="1:5">
      <c r="B47" s="59"/>
      <c r="C47" s="117"/>
      <c r="D47" s="59"/>
      <c r="E47" s="59"/>
    </row>
    <row r="48" spans="1:5">
      <c r="B48" s="59"/>
      <c r="C48" s="117"/>
      <c r="D48" s="59"/>
      <c r="E48" s="59"/>
    </row>
    <row r="49" spans="2:5">
      <c r="B49" s="59"/>
      <c r="C49" s="117"/>
      <c r="D49" s="59"/>
      <c r="E49" s="59"/>
    </row>
    <row r="50" spans="2:5">
      <c r="B50" s="59"/>
      <c r="C50" s="117"/>
      <c r="D50" s="59"/>
      <c r="E50" s="59"/>
    </row>
    <row r="51" spans="2:5">
      <c r="B51" s="59"/>
      <c r="C51" s="117"/>
      <c r="D51" s="59"/>
      <c r="E51" s="59"/>
    </row>
    <row r="52" spans="2:5">
      <c r="B52" s="59"/>
      <c r="C52" s="117"/>
      <c r="D52" s="59"/>
      <c r="E52" s="59"/>
    </row>
    <row r="53" spans="2:5">
      <c r="B53" s="59"/>
      <c r="C53" s="117"/>
      <c r="D53" s="59"/>
      <c r="E53" s="59"/>
    </row>
    <row r="54" spans="2:5">
      <c r="B54" s="59"/>
      <c r="C54" s="118"/>
      <c r="D54" s="59"/>
      <c r="E54" s="59"/>
    </row>
    <row r="55" spans="2:5">
      <c r="B55" s="59"/>
      <c r="C55" s="118"/>
      <c r="D55" s="59"/>
      <c r="E55" s="59"/>
    </row>
    <row r="56" spans="2:5">
      <c r="B56" s="59"/>
      <c r="C56" s="117"/>
      <c r="D56" s="59"/>
      <c r="E56" s="59"/>
    </row>
    <row r="57" spans="2:5">
      <c r="B57" s="59"/>
      <c r="C57" s="117"/>
      <c r="D57" s="59"/>
      <c r="E57" s="59"/>
    </row>
    <row r="58" spans="2:5">
      <c r="B58" s="59"/>
      <c r="C58" s="117"/>
      <c r="D58" s="59"/>
      <c r="E58" s="59"/>
    </row>
    <row r="59" spans="2:5">
      <c r="B59" s="59"/>
      <c r="C59" s="117"/>
      <c r="D59" s="59"/>
      <c r="E59" s="59"/>
    </row>
    <row r="60" spans="2:5">
      <c r="B60" s="59"/>
      <c r="C60" s="117"/>
      <c r="D60" s="59"/>
      <c r="E60" s="59"/>
    </row>
    <row r="61" spans="2:5">
      <c r="B61" s="59"/>
      <c r="C61" s="117"/>
      <c r="D61" s="59"/>
      <c r="E61" s="59"/>
    </row>
    <row r="62" spans="2:5">
      <c r="B62" s="59"/>
      <c r="C62" s="117"/>
      <c r="D62" s="59"/>
      <c r="E62" s="59"/>
    </row>
    <row r="63" spans="2:5">
      <c r="B63" s="59"/>
      <c r="C63" s="118"/>
      <c r="D63" s="59"/>
      <c r="E63" s="59"/>
    </row>
    <row r="64" spans="2:5">
      <c r="B64" s="59"/>
      <c r="C64" s="118"/>
      <c r="D64" s="59"/>
      <c r="E64" s="59"/>
    </row>
    <row r="65" spans="2:5">
      <c r="B65" s="59"/>
      <c r="C65" s="118"/>
      <c r="D65" s="59"/>
      <c r="E65" s="59"/>
    </row>
    <row r="66" spans="2:5">
      <c r="B66" s="59"/>
      <c r="C66" s="118"/>
      <c r="D66" s="59"/>
      <c r="E66" s="59"/>
    </row>
    <row r="67" spans="2:5">
      <c r="B67" s="59"/>
      <c r="C67" s="118"/>
      <c r="D67" s="59"/>
      <c r="E67" s="59"/>
    </row>
    <row r="68" spans="2:5">
      <c r="B68" s="59"/>
      <c r="C68" s="118"/>
      <c r="D68" s="59"/>
      <c r="E68" s="59"/>
    </row>
    <row r="69" spans="2:5">
      <c r="B69" s="59"/>
      <c r="C69" s="118"/>
      <c r="D69" s="59"/>
      <c r="E69" s="59"/>
    </row>
    <row r="70" spans="2:5">
      <c r="B70" s="59"/>
      <c r="C70" s="118"/>
      <c r="D70" s="59"/>
      <c r="E70" s="59"/>
    </row>
    <row r="71" spans="2:5">
      <c r="B71" s="59"/>
      <c r="C71" s="118"/>
      <c r="D71" s="59"/>
      <c r="E71" s="59"/>
    </row>
    <row r="72" spans="2:5">
      <c r="B72" s="59"/>
      <c r="C72" s="117"/>
      <c r="D72" s="59"/>
      <c r="E72" s="59"/>
    </row>
    <row r="73" spans="2:5">
      <c r="B73" s="59"/>
      <c r="C73" s="117"/>
      <c r="D73" s="59"/>
      <c r="E73" s="59"/>
    </row>
    <row r="74" spans="2:5">
      <c r="B74" s="59"/>
      <c r="C74" s="117"/>
      <c r="D74" s="59"/>
      <c r="E74" s="59"/>
    </row>
    <row r="75" spans="2:5">
      <c r="B75" s="59"/>
      <c r="C75" s="117"/>
      <c r="D75" s="59"/>
      <c r="E75" s="59"/>
    </row>
    <row r="76" spans="2:5">
      <c r="B76" s="59"/>
      <c r="C76" s="117"/>
      <c r="D76" s="59"/>
      <c r="E76" s="59"/>
    </row>
    <row r="77" spans="2:5">
      <c r="B77" s="59"/>
      <c r="C77" s="117"/>
      <c r="D77" s="59"/>
      <c r="E77" s="59"/>
    </row>
    <row r="78" spans="2:5">
      <c r="B78" s="59"/>
      <c r="C78" s="117"/>
      <c r="D78" s="59"/>
      <c r="E78" s="59"/>
    </row>
    <row r="79" spans="2:5">
      <c r="B79" s="59"/>
      <c r="C79" s="117"/>
      <c r="D79" s="59"/>
      <c r="E79" s="59"/>
    </row>
    <row r="80" spans="2:5">
      <c r="B80" s="59"/>
      <c r="C80" s="117"/>
      <c r="D80" s="59"/>
      <c r="E80" s="59"/>
    </row>
  </sheetData>
  <hyperlinks>
    <hyperlink ref="C3" location="'Dias'!A2" display="diasTrabajo" xr:uid="{D7E95396-7AE9-43EA-BD4D-ECAFD955BB54}"/>
    <hyperlink ref="C4" location="'Dias'!C3" display="Lunes" xr:uid="{A79BA4C2-CF9E-4070-9188-D579AF8392B3}"/>
    <hyperlink ref="C5" location="'Dias'!C3" display="Lunes" xr:uid="{76F1CDCF-E3FA-4677-8E40-8031AA6D5473}"/>
    <hyperlink ref="C15" location="'Dias'!C3" display="Lunes" xr:uid="{3DE35321-265D-4F0B-83AA-C3CEE16D8B95}"/>
    <hyperlink ref="C16" location="'Dias'!C3" display="Lunes" xr:uid="{64658284-CFD1-4603-85C9-E25A753385D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E5C5-7581-4F21-BC26-2E54880A0655}">
  <dimension ref="A1:X41"/>
  <sheetViews>
    <sheetView zoomScale="85" zoomScaleNormal="85" workbookViewId="0">
      <pane xSplit="1" topLeftCell="E1" activePane="topRight" state="frozen"/>
      <selection pane="topRight" activeCell="A11" sqref="A11"/>
    </sheetView>
  </sheetViews>
  <sheetFormatPr defaultColWidth="11.42578125" defaultRowHeight="15"/>
  <cols>
    <col min="1" max="1" width="50.42578125" style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8.140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57.7109375" style="1" customWidth="1"/>
    <col min="22" max="22" width="40.7109375" style="1" customWidth="1"/>
    <col min="23" max="23" width="44.28515625" style="1" customWidth="1"/>
    <col min="24" max="24" width="68.42578125" style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209" t="str">
        <f>'Listado Objetos de Dominio'!$A$7</f>
        <v>Detalle Horario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4">
      <c r="A3" s="189" t="s">
        <v>392</v>
      </c>
      <c r="B3" s="1210" t="str">
        <f>'Listado Objetos de Dominio'!$B$7</f>
        <v>Objeto de dominio que representa la información específica de los horarios de atención de la sede.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A28</f>
        <v>Registrar Información del Detalle Horario</v>
      </c>
      <c r="V4" s="35" t="str">
        <f>A32</f>
        <v>Modificar Información del  Detalle Horario</v>
      </c>
      <c r="W4" s="36" t="str">
        <f>A36</f>
        <v>Eliminar Información del Detalle Horario</v>
      </c>
      <c r="X4" s="2" t="str">
        <f>A40</f>
        <v>Consultar Información del  Detalle Horario</v>
      </c>
    </row>
    <row r="5" spans="1:24">
      <c r="A5" s="184" t="str">
        <f>'Detalle Horario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'Detalle Horario Muestreo '!A2</f>
        <v>Corresponde al identificador único que identifica cada detalle de horario de operación del establecimiento en el sistema</v>
      </c>
      <c r="U5" s="795" t="s">
        <v>467</v>
      </c>
      <c r="V5" s="39" t="s">
        <v>409</v>
      </c>
      <c r="W5" s="43" t="s">
        <v>467</v>
      </c>
      <c r="X5" s="32" t="s">
        <v>468</v>
      </c>
    </row>
    <row r="6" spans="1:24" ht="96" customHeight="1">
      <c r="A6" s="184" t="str">
        <f>'Detalle Horario Muestreo '!B3</f>
        <v>horarioSede</v>
      </c>
      <c r="B6" s="184" t="s">
        <v>137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81</v>
      </c>
      <c r="R6" s="186" t="s">
        <v>81</v>
      </c>
      <c r="S6" s="186" t="s">
        <v>81</v>
      </c>
      <c r="T6" s="185" t="str">
        <f>'Detalle Horario Muestreo '!B2</f>
        <v>Corresponde al horarioEstablecimeinto vigente al que le pertenece este horario de operación.</v>
      </c>
      <c r="U6" s="795" t="s">
        <v>467</v>
      </c>
      <c r="V6" s="39" t="s">
        <v>413</v>
      </c>
      <c r="W6" s="43" t="s">
        <v>861</v>
      </c>
      <c r="X6" s="32" t="s">
        <v>862</v>
      </c>
    </row>
    <row r="7" spans="1:24" ht="45.75">
      <c r="A7" s="184" t="str">
        <f>'Detalle Horario Muestreo '!C3</f>
        <v>día</v>
      </c>
      <c r="B7" s="184" t="s">
        <v>821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81</v>
      </c>
      <c r="R7" s="186" t="s">
        <v>81</v>
      </c>
      <c r="S7" s="186" t="s">
        <v>81</v>
      </c>
      <c r="T7" s="185" t="str">
        <f>'Detalle Horario Muestreo '!C2</f>
        <v>Corresponde al día de la semana en que opera el establecimiento. Si un día no está registrado, significa que el establecimiento no opera ese día</v>
      </c>
      <c r="U7" s="795" t="s">
        <v>467</v>
      </c>
      <c r="V7" s="39" t="s">
        <v>413</v>
      </c>
      <c r="W7" s="43" t="s">
        <v>861</v>
      </c>
      <c r="X7" s="32" t="s">
        <v>470</v>
      </c>
    </row>
    <row r="8" spans="1:24" ht="45.75">
      <c r="A8" s="184" t="str">
        <f>'Detalle Horario Muestreo '!D3</f>
        <v>horaInicio</v>
      </c>
      <c r="B8" s="184" t="s">
        <v>94</v>
      </c>
      <c r="C8" s="184"/>
      <c r="D8" s="184"/>
      <c r="E8" s="184"/>
      <c r="F8" s="184"/>
      <c r="G8" s="184"/>
      <c r="H8" s="184"/>
      <c r="I8" s="184"/>
      <c r="J8" s="184"/>
      <c r="K8" s="185"/>
      <c r="L8" s="186" t="s">
        <v>81</v>
      </c>
      <c r="M8" s="186" t="s">
        <v>81</v>
      </c>
      <c r="N8" s="186" t="s">
        <v>81</v>
      </c>
      <c r="O8" s="186" t="s">
        <v>81</v>
      </c>
      <c r="P8" s="186" t="s">
        <v>78</v>
      </c>
      <c r="Q8" s="186" t="s">
        <v>81</v>
      </c>
      <c r="R8" s="186" t="s">
        <v>81</v>
      </c>
      <c r="S8" s="186" t="s">
        <v>81</v>
      </c>
      <c r="T8" s="185" t="str">
        <f>'Detalle Horario Muestreo '!D2</f>
        <v>Corresponde al atributo que indica la hora en que inicia la operación del establecimiento.</v>
      </c>
      <c r="U8" s="795" t="s">
        <v>467</v>
      </c>
      <c r="V8" s="39" t="s">
        <v>413</v>
      </c>
      <c r="W8" s="43" t="s">
        <v>861</v>
      </c>
      <c r="X8" s="828" t="s">
        <v>863</v>
      </c>
    </row>
    <row r="9" spans="1:24" ht="45.75">
      <c r="A9" s="184" t="str">
        <f>'Detalle Horario Muestreo '!E3</f>
        <v>horaFin</v>
      </c>
      <c r="B9" s="184" t="s">
        <v>94</v>
      </c>
      <c r="C9" s="184"/>
      <c r="D9" s="184"/>
      <c r="E9" s="184"/>
      <c r="F9" s="184"/>
      <c r="G9" s="184"/>
      <c r="H9" s="184"/>
      <c r="I9" s="184"/>
      <c r="J9" s="184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81</v>
      </c>
      <c r="R9" s="186" t="s">
        <v>81</v>
      </c>
      <c r="S9" s="186" t="s">
        <v>81</v>
      </c>
      <c r="T9" s="185" t="str">
        <f>'Detalle Horario Muestreo '!E2</f>
        <v>Corresponde al atributo que indica la hora en que finaliza la operación del establecimiento</v>
      </c>
      <c r="U9" s="795" t="s">
        <v>467</v>
      </c>
      <c r="V9" s="39" t="s">
        <v>413</v>
      </c>
      <c r="W9" s="43" t="s">
        <v>861</v>
      </c>
      <c r="X9" s="829" t="s">
        <v>472</v>
      </c>
    </row>
    <row r="10" spans="1:24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9"/>
      <c r="L10" s="180"/>
      <c r="M10" s="180"/>
      <c r="N10" s="180"/>
      <c r="O10" s="180"/>
      <c r="P10" s="180"/>
      <c r="Q10" s="180"/>
      <c r="R10" s="180"/>
      <c r="S10" s="180"/>
      <c r="T10" s="179"/>
    </row>
    <row r="12" spans="1:24">
      <c r="A12" s="1211" t="s">
        <v>414</v>
      </c>
      <c r="B12" s="1212"/>
      <c r="C12" s="1213"/>
    </row>
    <row r="13" spans="1:24">
      <c r="A13" s="126" t="s">
        <v>415</v>
      </c>
      <c r="B13" s="126" t="s">
        <v>2</v>
      </c>
      <c r="C13" s="126" t="s">
        <v>416</v>
      </c>
    </row>
    <row r="14" spans="1:24" ht="27" customHeight="1">
      <c r="A14" s="1250" t="s">
        <v>864</v>
      </c>
      <c r="B14" s="1255" t="str">
        <f>'Detalle Horario Muestreo '!F2</f>
        <v>El detalle horario no debe tener duplicidad en la combinación del horario establecimiento, día y rango horario de operación</v>
      </c>
      <c r="C14" s="203" t="str">
        <f>A6</f>
        <v>horarioSede</v>
      </c>
    </row>
    <row r="15" spans="1:24" ht="30.75" customHeight="1">
      <c r="A15" s="1251"/>
      <c r="B15" s="1256"/>
      <c r="C15" s="201" t="str">
        <f>A7</f>
        <v>día</v>
      </c>
      <c r="G15" s="1" t="s">
        <v>418</v>
      </c>
    </row>
    <row r="16" spans="1:24" ht="15" customHeight="1">
      <c r="A16" s="1251"/>
      <c r="B16" s="1256"/>
      <c r="C16" s="201" t="str">
        <f>A8</f>
        <v>horaInicio</v>
      </c>
    </row>
    <row r="17" spans="1:22" ht="39.75" customHeight="1">
      <c r="A17" s="1251"/>
      <c r="B17" s="1256"/>
      <c r="C17" s="202" t="str">
        <f>A9</f>
        <v>horaFin</v>
      </c>
    </row>
    <row r="26" spans="1:22">
      <c r="A26" s="840" t="s">
        <v>419</v>
      </c>
      <c r="B26" s="317"/>
      <c r="C26" s="317" t="s">
        <v>2</v>
      </c>
      <c r="D26" s="317"/>
      <c r="E26" s="318"/>
      <c r="F26" s="319"/>
      <c r="G26" s="317" t="s">
        <v>420</v>
      </c>
      <c r="H26" s="333"/>
      <c r="I26" s="319"/>
      <c r="J26" s="319" t="s">
        <v>421</v>
      </c>
      <c r="K26" s="319"/>
      <c r="L26" s="319"/>
      <c r="M26" s="318"/>
      <c r="N26" s="319" t="s">
        <v>422</v>
      </c>
      <c r="O26" s="319"/>
      <c r="P26" s="319"/>
      <c r="Q26" s="318"/>
      <c r="R26" s="319" t="s">
        <v>474</v>
      </c>
      <c r="S26" s="358"/>
      <c r="T26" s="290"/>
      <c r="U26" s="290"/>
      <c r="V26" s="290"/>
    </row>
    <row r="27" spans="1:22">
      <c r="A27" s="841"/>
      <c r="B27" s="346"/>
      <c r="C27" s="346"/>
      <c r="D27" s="340"/>
      <c r="E27" s="341" t="s">
        <v>423</v>
      </c>
      <c r="F27" s="337" t="s">
        <v>424</v>
      </c>
      <c r="G27" s="316"/>
      <c r="H27" s="333" t="s">
        <v>2</v>
      </c>
      <c r="I27" s="346" t="s">
        <v>66</v>
      </c>
      <c r="J27" s="339"/>
      <c r="K27" s="346" t="s">
        <v>2</v>
      </c>
      <c r="L27" s="340"/>
      <c r="M27" s="337" t="s">
        <v>425</v>
      </c>
      <c r="N27" s="334"/>
      <c r="O27" s="335" t="s">
        <v>2</v>
      </c>
      <c r="P27" s="335"/>
      <c r="Q27" s="1178" t="s">
        <v>426</v>
      </c>
      <c r="R27" s="1202"/>
      <c r="S27" s="358" t="s">
        <v>427</v>
      </c>
      <c r="T27" s="290"/>
      <c r="U27" s="290"/>
      <c r="V27" s="290"/>
    </row>
    <row r="28" spans="1:22" ht="96" customHeight="1">
      <c r="A28" s="842" t="s">
        <v>865</v>
      </c>
      <c r="B28" s="593"/>
      <c r="C28" s="594" t="s">
        <v>866</v>
      </c>
      <c r="D28" s="594"/>
      <c r="E28" s="344" t="s">
        <v>441</v>
      </c>
      <c r="F28" s="680" t="s">
        <v>119</v>
      </c>
      <c r="G28" s="683" t="s">
        <v>867</v>
      </c>
      <c r="H28" s="428"/>
      <c r="I28" s="595"/>
      <c r="J28" s="594"/>
      <c r="K28" s="594"/>
      <c r="L28" s="595"/>
      <c r="M28" s="365" t="s">
        <v>868</v>
      </c>
      <c r="N28" s="1264" t="s">
        <v>869</v>
      </c>
      <c r="O28" s="1258"/>
      <c r="P28" s="1259"/>
      <c r="Q28" s="1260" t="s">
        <v>870</v>
      </c>
      <c r="R28" s="1257"/>
      <c r="S28" s="552" t="s">
        <v>480</v>
      </c>
    </row>
    <row r="29" spans="1:22" ht="95.25" customHeight="1">
      <c r="A29" s="842"/>
      <c r="B29" s="596"/>
      <c r="C29" s="597"/>
      <c r="D29" s="597"/>
      <c r="E29" s="396"/>
      <c r="F29" s="681"/>
      <c r="G29" s="679"/>
      <c r="H29" s="430"/>
      <c r="I29" s="599"/>
      <c r="J29" s="597"/>
      <c r="K29" s="597"/>
      <c r="L29" s="599"/>
      <c r="M29" s="365" t="s">
        <v>871</v>
      </c>
      <c r="N29" s="1257" t="s">
        <v>872</v>
      </c>
      <c r="O29" s="1258"/>
      <c r="P29" s="1259"/>
      <c r="Q29" s="1260" t="s">
        <v>870</v>
      </c>
      <c r="R29" s="1257"/>
      <c r="S29" s="552" t="s">
        <v>480</v>
      </c>
      <c r="T29" s="291"/>
      <c r="U29" s="291"/>
    </row>
    <row r="30" spans="1:22" ht="87.75" customHeight="1">
      <c r="A30" s="842"/>
      <c r="B30" s="596"/>
      <c r="C30" s="597"/>
      <c r="D30" s="597"/>
      <c r="E30" s="396"/>
      <c r="F30" s="681"/>
      <c r="G30" s="679"/>
      <c r="H30" s="430"/>
      <c r="I30" s="599"/>
      <c r="J30" s="597"/>
      <c r="K30" s="597"/>
      <c r="L30" s="599"/>
      <c r="M30" s="365" t="s">
        <v>873</v>
      </c>
      <c r="N30" s="1257" t="s">
        <v>495</v>
      </c>
      <c r="O30" s="1258"/>
      <c r="P30" s="1259"/>
      <c r="Q30" s="1260" t="s">
        <v>870</v>
      </c>
      <c r="R30" s="1257"/>
      <c r="S30" s="552" t="s">
        <v>480</v>
      </c>
      <c r="T30" s="291"/>
      <c r="U30" s="291"/>
    </row>
    <row r="31" spans="1:22" ht="92.25" customHeight="1">
      <c r="A31" s="842"/>
      <c r="B31" s="596"/>
      <c r="C31" s="597"/>
      <c r="D31" s="597"/>
      <c r="E31" s="396"/>
      <c r="F31" s="681"/>
      <c r="G31" s="679"/>
      <c r="H31" s="430"/>
      <c r="I31" s="599"/>
      <c r="J31" s="597"/>
      <c r="K31" s="597"/>
      <c r="L31" s="599"/>
      <c r="M31" s="365" t="s">
        <v>874</v>
      </c>
      <c r="N31" s="1261" t="s">
        <v>875</v>
      </c>
      <c r="O31" s="1262"/>
      <c r="P31" s="1263"/>
      <c r="Q31" s="1257" t="s">
        <v>483</v>
      </c>
      <c r="R31" s="1258"/>
      <c r="S31" s="552" t="s">
        <v>484</v>
      </c>
    </row>
    <row r="32" spans="1:22" ht="79.5" customHeight="1">
      <c r="A32" s="843" t="s">
        <v>876</v>
      </c>
      <c r="B32" s="600"/>
      <c r="C32" s="580" t="s">
        <v>877</v>
      </c>
      <c r="D32" s="580"/>
      <c r="E32" s="517" t="s">
        <v>441</v>
      </c>
      <c r="F32" s="696" t="s">
        <v>119</v>
      </c>
      <c r="G32" s="550" t="s">
        <v>878</v>
      </c>
      <c r="H32" s="551"/>
      <c r="I32" s="361"/>
      <c r="J32" s="580"/>
      <c r="K32" s="580"/>
      <c r="L32" s="773"/>
      <c r="M32" s="517" t="s">
        <v>879</v>
      </c>
      <c r="N32" s="1272" t="s">
        <v>880</v>
      </c>
      <c r="O32" s="1273"/>
      <c r="P32" s="1274"/>
      <c r="Q32" s="1275" t="s">
        <v>881</v>
      </c>
      <c r="R32" s="1275"/>
      <c r="S32" s="774" t="s">
        <v>480</v>
      </c>
    </row>
    <row r="33" spans="1:19" ht="51.75" customHeight="1">
      <c r="A33" s="407"/>
      <c r="B33" s="601"/>
      <c r="C33" s="601"/>
      <c r="D33" s="601"/>
      <c r="E33" s="487" t="s">
        <v>369</v>
      </c>
      <c r="F33" s="369" t="s">
        <v>75</v>
      </c>
      <c r="G33" s="623" t="s">
        <v>882</v>
      </c>
      <c r="H33" s="624"/>
      <c r="I33" s="602"/>
      <c r="J33" s="601"/>
      <c r="K33" s="601"/>
      <c r="L33" s="601"/>
      <c r="M33" s="517" t="s">
        <v>873</v>
      </c>
      <c r="N33" s="1272" t="s">
        <v>495</v>
      </c>
      <c r="O33" s="1273"/>
      <c r="P33" s="1273"/>
      <c r="Q33" s="1272" t="s">
        <v>870</v>
      </c>
      <c r="R33" s="1273"/>
      <c r="S33" s="519" t="s">
        <v>480</v>
      </c>
    </row>
    <row r="34" spans="1:19" ht="43.5" customHeight="1">
      <c r="A34" s="407"/>
      <c r="B34" s="601"/>
      <c r="C34" s="601"/>
      <c r="D34" s="601"/>
      <c r="E34" s="372"/>
      <c r="F34" s="369"/>
      <c r="G34" s="431"/>
      <c r="H34" s="432"/>
      <c r="I34" s="602"/>
      <c r="J34" s="601"/>
      <c r="K34" s="601"/>
      <c r="L34" s="601"/>
      <c r="M34" s="768"/>
      <c r="N34" s="1228"/>
      <c r="O34" s="1229"/>
      <c r="P34" s="1229"/>
      <c r="Q34" s="1276"/>
      <c r="R34" s="1277"/>
      <c r="S34" s="774"/>
    </row>
    <row r="35" spans="1:19" ht="62.25" customHeight="1">
      <c r="A35" s="407"/>
      <c r="B35" s="601"/>
      <c r="C35" s="601"/>
      <c r="D35" s="601"/>
      <c r="E35" s="372"/>
      <c r="F35" s="370"/>
      <c r="G35" s="625"/>
      <c r="H35" s="626"/>
      <c r="I35" s="604"/>
      <c r="J35" s="603"/>
      <c r="K35" s="603"/>
      <c r="L35" s="603"/>
      <c r="M35" s="769"/>
      <c r="N35" s="1265"/>
      <c r="O35" s="1266"/>
      <c r="P35" s="1266"/>
      <c r="Q35" s="1267"/>
      <c r="R35" s="1268"/>
      <c r="S35" s="529"/>
    </row>
    <row r="36" spans="1:19" ht="111" customHeight="1">
      <c r="A36" s="844" t="s">
        <v>883</v>
      </c>
      <c r="B36" s="820"/>
      <c r="C36" s="584" t="s">
        <v>884</v>
      </c>
      <c r="D36" s="483"/>
      <c r="E36" s="483" t="s">
        <v>885</v>
      </c>
      <c r="F36" s="484" t="s">
        <v>75</v>
      </c>
      <c r="G36" s="486" t="s">
        <v>886</v>
      </c>
      <c r="H36" s="386"/>
      <c r="I36" s="354"/>
      <c r="J36" s="470"/>
      <c r="K36" s="382"/>
      <c r="L36" s="354"/>
      <c r="M36" s="470" t="s">
        <v>887</v>
      </c>
      <c r="N36" s="1269" t="s">
        <v>888</v>
      </c>
      <c r="O36" s="1270"/>
      <c r="P36" s="1271"/>
      <c r="Q36" s="1269" t="s">
        <v>437</v>
      </c>
      <c r="R36" s="1271"/>
      <c r="S36" s="403" t="s">
        <v>480</v>
      </c>
    </row>
    <row r="37" spans="1:19" ht="50.25" customHeight="1">
      <c r="A37" s="845"/>
      <c r="B37" s="606"/>
      <c r="C37" s="382"/>
      <c r="D37" s="484"/>
      <c r="E37" s="484"/>
      <c r="F37" s="484"/>
      <c r="G37" s="486"/>
      <c r="H37" s="386"/>
      <c r="I37" s="354"/>
      <c r="J37" s="470"/>
      <c r="K37" s="382"/>
      <c r="L37" s="354"/>
      <c r="M37" s="500"/>
      <c r="N37" s="1281"/>
      <c r="O37" s="1283"/>
      <c r="P37" s="1283" t="s">
        <v>480</v>
      </c>
      <c r="Q37" s="1281"/>
      <c r="R37" s="1282"/>
      <c r="S37" s="880"/>
    </row>
    <row r="38" spans="1:19" ht="72" customHeight="1">
      <c r="A38" s="845"/>
      <c r="B38" s="606"/>
      <c r="C38" s="382"/>
      <c r="D38" s="484"/>
      <c r="E38" s="484"/>
      <c r="F38" s="484"/>
      <c r="G38" s="486"/>
      <c r="H38" s="386"/>
      <c r="I38" s="354"/>
      <c r="J38" s="470"/>
      <c r="K38" s="382"/>
      <c r="L38" s="354"/>
      <c r="M38" s="470" t="s">
        <v>873</v>
      </c>
      <c r="N38" s="1269" t="s">
        <v>495</v>
      </c>
      <c r="O38" s="1270"/>
      <c r="P38" s="1270"/>
      <c r="Q38" s="1269" t="s">
        <v>437</v>
      </c>
      <c r="R38" s="1271"/>
      <c r="S38" s="881" t="s">
        <v>480</v>
      </c>
    </row>
    <row r="39" spans="1:19" ht="66" customHeight="1">
      <c r="A39" s="846"/>
      <c r="B39" s="821"/>
      <c r="C39" s="771"/>
      <c r="D39" s="485"/>
      <c r="E39" s="485"/>
      <c r="F39" s="484"/>
      <c r="G39" s="486"/>
      <c r="H39" s="386"/>
      <c r="I39" s="354"/>
      <c r="J39" s="470"/>
      <c r="K39" s="382"/>
      <c r="L39" s="354"/>
      <c r="M39" s="501"/>
      <c r="N39" s="1284"/>
      <c r="O39" s="1285"/>
      <c r="P39" s="1285"/>
      <c r="Q39" s="501"/>
      <c r="R39" s="882"/>
      <c r="S39" s="882"/>
    </row>
    <row r="40" spans="1:19" ht="96.75" customHeight="1">
      <c r="A40" s="847" t="s">
        <v>889</v>
      </c>
      <c r="B40" s="610"/>
      <c r="C40" s="582" t="s">
        <v>890</v>
      </c>
      <c r="D40" s="582"/>
      <c r="E40" s="415" t="s">
        <v>499</v>
      </c>
      <c r="F40" s="518" t="s">
        <v>891</v>
      </c>
      <c r="G40" s="389" t="s">
        <v>501</v>
      </c>
      <c r="H40" s="395"/>
      <c r="I40" s="391" t="s">
        <v>891</v>
      </c>
      <c r="J40" s="392" t="s">
        <v>892</v>
      </c>
      <c r="K40" s="583"/>
      <c r="L40" s="539"/>
      <c r="M40" s="778" t="s">
        <v>893</v>
      </c>
      <c r="N40" s="1279" t="s">
        <v>436</v>
      </c>
      <c r="O40" s="1279"/>
      <c r="P40" s="1279"/>
      <c r="Q40" s="1280" t="s">
        <v>436</v>
      </c>
      <c r="R40" s="1279"/>
      <c r="S40" s="778" t="s">
        <v>480</v>
      </c>
    </row>
    <row r="41" spans="1:19" ht="69.75" customHeight="1">
      <c r="A41" s="848"/>
      <c r="B41" s="775"/>
      <c r="C41" s="770"/>
      <c r="D41" s="770"/>
      <c r="E41" s="388"/>
      <c r="F41" s="388"/>
      <c r="G41" s="364"/>
      <c r="H41" s="353"/>
      <c r="I41" s="393"/>
      <c r="J41" s="1278"/>
      <c r="K41" s="1278"/>
      <c r="L41" s="1278"/>
      <c r="M41" s="778"/>
      <c r="N41" s="1279"/>
      <c r="O41" s="1279"/>
      <c r="P41" s="1279"/>
      <c r="Q41" s="1280"/>
      <c r="R41" s="1279"/>
      <c r="S41" s="778"/>
    </row>
  </sheetData>
  <mergeCells count="35">
    <mergeCell ref="J41:L41"/>
    <mergeCell ref="N41:P41"/>
    <mergeCell ref="Q41:R41"/>
    <mergeCell ref="Q37:R37"/>
    <mergeCell ref="N37:P37"/>
    <mergeCell ref="N38:P38"/>
    <mergeCell ref="Q38:R38"/>
    <mergeCell ref="N39:P39"/>
    <mergeCell ref="N40:P40"/>
    <mergeCell ref="Q40:R40"/>
    <mergeCell ref="N35:P35"/>
    <mergeCell ref="Q35:R35"/>
    <mergeCell ref="N36:P36"/>
    <mergeCell ref="Q36:R36"/>
    <mergeCell ref="N32:P32"/>
    <mergeCell ref="Q32:R32"/>
    <mergeCell ref="N33:P33"/>
    <mergeCell ref="Q33:R33"/>
    <mergeCell ref="N34:P34"/>
    <mergeCell ref="Q34:R34"/>
    <mergeCell ref="N30:P30"/>
    <mergeCell ref="Q30:R30"/>
    <mergeCell ref="N31:P31"/>
    <mergeCell ref="Q31:R31"/>
    <mergeCell ref="Q27:R27"/>
    <mergeCell ref="N28:P28"/>
    <mergeCell ref="Q28:R28"/>
    <mergeCell ref="N29:P29"/>
    <mergeCell ref="Q29:R29"/>
    <mergeCell ref="A1:T1"/>
    <mergeCell ref="B2:T2"/>
    <mergeCell ref="B3:T3"/>
    <mergeCell ref="B14:B17"/>
    <mergeCell ref="A14:A17"/>
    <mergeCell ref="A12:C12"/>
  </mergeCells>
  <conditionalFormatting sqref="N28:N30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10" xr:uid="{DBC29ECD-D69C-46D4-B8B0-C156935F1FBF}"/>
  </dataValidations>
  <hyperlinks>
    <hyperlink ref="A1" location="'Objetos de Dominio'!A1" display="Volver al inicio" xr:uid="{6189CE17-C997-4CB6-86BF-90BE3635B3DD}"/>
    <hyperlink ref="V4" location="'Objeto Dominio 2'!A17" display="'Objeto Dominio 2'!A17" xr:uid="{7910B069-6162-4767-96F6-7E13BDA6811A}"/>
    <hyperlink ref="W4" location="'Objeto Dominio 2'!A18" display="'Objeto Dominio 2'!A18" xr:uid="{0AA69D5D-BDC7-43E1-B90B-CC18C7601E0F}"/>
    <hyperlink ref="X4" location="'Objeto Dominio 2'!A19" display="'Objeto Dominio 2'!A19" xr:uid="{BB7DCCAD-F766-485F-83F2-4CE9D7026EE1}"/>
    <hyperlink ref="U4" location="'Objeto Dominio 2'!A16" display="'Objeto Dominio 2'!A16" xr:uid="{F0124A4C-C56F-4B0A-ACDC-691409064B1A}"/>
    <hyperlink ref="A1:T1" location="'Listado Objetos de Dominio'!A1" display="&lt;-Volver al inicio" xr:uid="{68D24D4F-578F-4CE8-BCEF-265D40D81C17}"/>
    <hyperlink ref="C14" location="'Dia Caracterización'!A6" display="=A6" xr:uid="{E0267F3F-6C2E-4AE0-81B2-CF24A1C53AA6}"/>
    <hyperlink ref="C15" location="'Excepción Horar Caracterización'!A10" display="=A8" xr:uid="{2EAF0347-EB65-4B0D-8207-C33C96BDC657}"/>
    <hyperlink ref="C14" location="'Ciudad Caracterización'!A6" display="=A6" xr:uid="{3AD02F1D-69B2-4535-885B-05C548F0B6F1}"/>
    <hyperlink ref="C15:C16" location="'Ciudad Caracterización'!A7" display="=A7" xr:uid="{9828FFCE-6C7E-4629-BF7F-79FA613EA555}"/>
    <hyperlink ref="B2:T2" location="'Listado Objetos de Dominio'!A7" display="='Listado Objetos de Dominio'!$A$7" xr:uid="{5F96DA48-5FA4-49FB-8905-E2DC9B8A3ED9}"/>
    <hyperlink ref="H40" location="'Tipo Relación Institución'!A6" display="'Tipo Relación Institución'!A6" xr:uid="{BEB67CAF-7412-4DBA-A366-01C5834FD721}"/>
    <hyperlink ref="A28:B28" location="'Objeto Dominio 2'!Q4" display="Reponsabilidad 1" xr:uid="{1F1F95CD-3600-41C7-9AFB-1173AF0421EB}"/>
    <hyperlink ref="A32:B32" location="'Objeto Dominio 2'!R4" display="Reponsabilidad 2" xr:uid="{AA5E9163-234A-4EAA-9AFF-BC32F9B62BF3}"/>
    <hyperlink ref="A36:B36" location="'Objeto Dominio 2'!S4" display="Reponsabilidad 3" xr:uid="{4D2F9A82-23DA-4FA2-B669-33DC094C8D06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D064EF6-B25E-40B5-B8A8-A50F994F3321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A5C2EAF3-E060-4188-955A-5C4349C79D3D}">
          <x14:formula1>
            <xm:f>Caracterizacion!$F$3</xm:f>
          </x14:formula1>
          <xm:sqref>J5</xm:sqref>
        </x14:dataValidation>
        <x14:dataValidation type="list" allowBlank="1" showInputMessage="1" showErrorMessage="1" xr:uid="{24B0723B-B6AC-4679-BAC2-9367026A90D7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FFDC41F3-51E2-4AFB-9068-3F7D7C3BEFFA}">
          <x14:formula1>
            <xm:f>Caracterizacion!$C$3:$C$18</xm:f>
          </x14:formula1>
          <xm:sqref>F6:G10 E5:E10</xm:sqref>
        </x14:dataValidation>
        <x14:dataValidation type="list" allowBlank="1" showInputMessage="1" showErrorMessage="1" xr:uid="{987C70F5-F759-43BA-963D-63D328E83A05}">
          <x14:formula1>
            <xm:f>Caracterizacion!$A$3:$A$14</xm:f>
          </x14:formula1>
          <xm:sqref>B5</xm:sqref>
        </x14:dataValidation>
        <x14:dataValidation type="list" allowBlank="1" showInputMessage="1" showErrorMessage="1" xr:uid="{03D9E50B-ABC2-4A25-9BD6-1B5D7E56C379}">
          <x14:formula1>
            <xm:f>Caracterizacion!$A$3:$A$40</xm:f>
          </x14:formula1>
          <xm:sqref>B6</xm:sqref>
        </x14:dataValidation>
        <x14:dataValidation type="list" allowBlank="1" showInputMessage="1" showErrorMessage="1" xr:uid="{425D1456-CC7B-42A9-8EB5-87D138847EF1}">
          <x14:formula1>
            <xm:f>Caracterizacion!$A$3:$A$41</xm:f>
          </x14:formula1>
          <xm:sqref>B7:B10</xm:sqref>
        </x14:dataValidation>
        <x14:dataValidation type="list" allowBlank="1" showInputMessage="1" showErrorMessage="1" xr:uid="{FB4CAF4E-DAAC-402E-8C60-2F918D0B7030}">
          <x14:formula1>
            <xm:f>Caracterizacion!$B$4:$B$506</xm:f>
          </x14:formula1>
          <xm:sqref>C5:D10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824E-EF49-47EC-9470-465CF62C0EBB}">
  <dimension ref="A2:H12"/>
  <sheetViews>
    <sheetView workbookViewId="0"/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1" bestFit="1" customWidth="1"/>
    <col min="5" max="5" width="18.5703125" customWidth="1"/>
    <col min="6" max="6" width="26.140625" bestFit="1" customWidth="1"/>
    <col min="7" max="7" width="18.42578125" bestFit="1" customWidth="1"/>
    <col min="8" max="8" width="18" bestFit="1" customWidth="1"/>
  </cols>
  <sheetData>
    <row r="2" spans="1:8" ht="23.25">
      <c r="A2" s="99" t="s">
        <v>894</v>
      </c>
      <c r="B2" s="99" t="s">
        <v>895</v>
      </c>
      <c r="C2" s="99" t="s">
        <v>896</v>
      </c>
      <c r="D2" s="122"/>
      <c r="E2" s="122"/>
      <c r="F2" s="122"/>
      <c r="G2" s="122"/>
      <c r="H2" s="122"/>
    </row>
    <row r="3" spans="1:8">
      <c r="A3" s="56" t="s">
        <v>369</v>
      </c>
      <c r="B3" s="56" t="s">
        <v>370</v>
      </c>
      <c r="C3" s="161" t="s">
        <v>509</v>
      </c>
      <c r="D3" s="130"/>
      <c r="E3" s="130"/>
      <c r="F3" s="130"/>
      <c r="G3" s="130"/>
      <c r="H3" s="130"/>
    </row>
    <row r="4" spans="1:8">
      <c r="A4" s="76" t="s">
        <v>897</v>
      </c>
      <c r="B4" s="56" t="s">
        <v>825</v>
      </c>
      <c r="C4" s="161" t="s">
        <v>825</v>
      </c>
      <c r="D4" s="131"/>
      <c r="E4" s="130"/>
      <c r="F4" s="130"/>
      <c r="G4" s="130"/>
      <c r="H4" s="130"/>
    </row>
    <row r="5" spans="1:8">
      <c r="A5" s="76" t="s">
        <v>898</v>
      </c>
      <c r="B5" s="56" t="s">
        <v>832</v>
      </c>
      <c r="C5" s="161" t="s">
        <v>832</v>
      </c>
      <c r="D5" s="131"/>
      <c r="E5" s="130"/>
      <c r="F5" s="130"/>
      <c r="G5" s="130"/>
      <c r="H5" s="130"/>
    </row>
    <row r="6" spans="1:8">
      <c r="A6" s="76" t="s">
        <v>899</v>
      </c>
      <c r="B6" s="56" t="s">
        <v>837</v>
      </c>
      <c r="C6" s="161" t="s">
        <v>837</v>
      </c>
      <c r="D6" s="131"/>
      <c r="E6" s="130"/>
      <c r="F6" s="130"/>
      <c r="G6" s="130"/>
      <c r="H6" s="130"/>
    </row>
    <row r="7" spans="1:8">
      <c r="A7" s="76" t="s">
        <v>900</v>
      </c>
      <c r="B7" s="56" t="s">
        <v>840</v>
      </c>
      <c r="C7" s="161" t="s">
        <v>840</v>
      </c>
      <c r="D7" s="131"/>
      <c r="E7" s="130"/>
      <c r="F7" s="130"/>
      <c r="G7" s="130"/>
      <c r="H7" s="130"/>
    </row>
    <row r="8" spans="1:8">
      <c r="A8" s="76" t="s">
        <v>901</v>
      </c>
      <c r="B8" s="56" t="s">
        <v>843</v>
      </c>
      <c r="C8" s="161" t="s">
        <v>843</v>
      </c>
      <c r="D8" s="130"/>
    </row>
    <row r="9" spans="1:8">
      <c r="A9" s="76" t="s">
        <v>902</v>
      </c>
      <c r="B9" s="56" t="s">
        <v>846</v>
      </c>
      <c r="C9" s="161" t="s">
        <v>846</v>
      </c>
      <c r="D9" s="130"/>
    </row>
    <row r="10" spans="1:8">
      <c r="A10" s="76" t="s">
        <v>903</v>
      </c>
      <c r="B10" s="56" t="s">
        <v>904</v>
      </c>
      <c r="C10" s="161" t="s">
        <v>904</v>
      </c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83E9-D6F0-4D90-A29A-976A78C6A488}">
  <dimension ref="A1:U14"/>
  <sheetViews>
    <sheetView zoomScale="85" zoomScaleNormal="85" workbookViewId="0">
      <pane xSplit="1" topLeftCell="U1" activePane="topRight" state="frozen"/>
      <selection pane="topRight" activeCell="U6" sqref="U6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Dominio'!$A$8</f>
        <v>Dia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4" t="s">
        <v>392</v>
      </c>
      <c r="B3" s="1187" t="str">
        <f>'Listado Objetos de Dominio'!$B$8</f>
        <v>Objeto de dominio que representa cada uno de los días de la semana en que opera una sede.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720" t="s">
        <v>2</v>
      </c>
      <c r="U4" s="717" t="str">
        <f>A14</f>
        <v>Consultar Información  del Día</v>
      </c>
    </row>
    <row r="5" spans="1:21">
      <c r="A5" s="11" t="str">
        <f>'Dia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721" t="str">
        <f>'Dia Muestreo'!A2</f>
        <v>Corresponde al identificador único que identifica cada día en el sistema</v>
      </c>
      <c r="U5" s="718" t="s">
        <v>468</v>
      </c>
    </row>
    <row r="6" spans="1:21" ht="20.25" customHeight="1">
      <c r="A6" s="11" t="str">
        <f>'Dia Muestreo'!B3</f>
        <v>nombre</v>
      </c>
      <c r="B6" s="5" t="s">
        <v>75</v>
      </c>
      <c r="C6" s="5">
        <v>1</v>
      </c>
      <c r="D6" s="5">
        <v>10</v>
      </c>
      <c r="E6" s="5"/>
      <c r="F6" s="5"/>
      <c r="G6" s="5"/>
      <c r="H6" s="5" t="s">
        <v>410</v>
      </c>
      <c r="I6" s="5" t="s">
        <v>906</v>
      </c>
      <c r="J6" s="5"/>
      <c r="K6" s="7"/>
      <c r="L6" s="13" t="s">
        <v>78</v>
      </c>
      <c r="M6" s="13" t="s">
        <v>78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13" t="s">
        <v>81</v>
      </c>
      <c r="T6" s="722" t="str">
        <f>'Dia Muestreo'!B2</f>
        <v>Corresponde al atributo que indica el nombre del día</v>
      </c>
      <c r="U6" s="719" t="s">
        <v>907</v>
      </c>
    </row>
    <row r="7" spans="1:21">
      <c r="I7" s="89"/>
      <c r="U7" s="291"/>
    </row>
    <row r="8" spans="1:21" ht="66.75" customHeight="1">
      <c r="A8" s="1254" t="s">
        <v>414</v>
      </c>
      <c r="B8" s="1254"/>
      <c r="C8" s="1254"/>
      <c r="G8" s="1" t="s">
        <v>418</v>
      </c>
      <c r="U8" s="291"/>
    </row>
    <row r="9" spans="1:21">
      <c r="A9" s="126" t="s">
        <v>415</v>
      </c>
      <c r="B9" s="126" t="s">
        <v>2</v>
      </c>
      <c r="C9" s="126" t="s">
        <v>416</v>
      </c>
    </row>
    <row r="10" spans="1:21" ht="74.25" customHeight="1">
      <c r="A10" s="103" t="s">
        <v>908</v>
      </c>
      <c r="B10" s="103" t="str">
        <f xml:space="preserve"> 'Dia Muestreo'!C2</f>
        <v>El día no debe tener duplicidad en su nombre</v>
      </c>
      <c r="C10" s="232" t="str">
        <f>A6</f>
        <v>nombre</v>
      </c>
    </row>
    <row r="12" spans="1:21">
      <c r="A12" s="316" t="s">
        <v>419</v>
      </c>
      <c r="B12" s="1244" t="s">
        <v>2</v>
      </c>
      <c r="C12" s="1207"/>
      <c r="D12" s="1178" t="s">
        <v>420</v>
      </c>
      <c r="E12" s="1202"/>
      <c r="F12" s="1202"/>
      <c r="G12" s="1202"/>
      <c r="H12" s="1202"/>
      <c r="I12" s="1179"/>
      <c r="J12" s="319"/>
      <c r="K12" s="1202" t="s">
        <v>421</v>
      </c>
      <c r="L12" s="1202"/>
      <c r="M12" s="1179"/>
      <c r="N12" s="1178" t="s">
        <v>422</v>
      </c>
      <c r="O12" s="1202"/>
      <c r="P12" s="1202"/>
      <c r="Q12" s="463"/>
      <c r="R12" s="319" t="s">
        <v>474</v>
      </c>
      <c r="S12" s="320"/>
      <c r="T12" s="290"/>
      <c r="U12" s="290"/>
    </row>
    <row r="13" spans="1:21">
      <c r="A13" s="339"/>
      <c r="B13" s="1245"/>
      <c r="C13" s="1246"/>
      <c r="D13" s="1178" t="s">
        <v>423</v>
      </c>
      <c r="E13" s="1202"/>
      <c r="F13" s="1202"/>
      <c r="G13" s="1247"/>
      <c r="H13" s="341" t="s">
        <v>424</v>
      </c>
      <c r="I13" s="341" t="s">
        <v>2</v>
      </c>
      <c r="J13" s="341" t="s">
        <v>66</v>
      </c>
      <c r="K13" s="1248" t="s">
        <v>2</v>
      </c>
      <c r="L13" s="1206"/>
      <c r="M13" s="1249"/>
      <c r="N13" s="337" t="s">
        <v>425</v>
      </c>
      <c r="O13" s="1248" t="s">
        <v>2</v>
      </c>
      <c r="P13" s="1207"/>
      <c r="Q13" s="1216" t="s">
        <v>426</v>
      </c>
      <c r="R13" s="1217"/>
      <c r="S13" s="300" t="s">
        <v>427</v>
      </c>
      <c r="T13" s="290"/>
      <c r="U13" s="290"/>
    </row>
    <row r="14" spans="1:21" ht="102" customHeight="1">
      <c r="A14" s="715" t="s">
        <v>909</v>
      </c>
      <c r="B14" s="1241" t="s">
        <v>910</v>
      </c>
      <c r="C14" s="1242"/>
      <c r="D14" s="1181" t="s">
        <v>499</v>
      </c>
      <c r="E14" s="1182"/>
      <c r="F14" s="1182"/>
      <c r="G14" s="1243"/>
      <c r="H14" s="561" t="s">
        <v>821</v>
      </c>
      <c r="I14" s="716" t="s">
        <v>911</v>
      </c>
      <c r="J14" s="308" t="s">
        <v>912</v>
      </c>
      <c r="K14" s="1181" t="s">
        <v>913</v>
      </c>
      <c r="L14" s="1182"/>
      <c r="M14" s="1243"/>
      <c r="N14" s="692" t="s">
        <v>914</v>
      </c>
      <c r="O14" s="1181" t="s">
        <v>436</v>
      </c>
      <c r="P14" s="1182"/>
      <c r="Q14" s="1181" t="s">
        <v>437</v>
      </c>
      <c r="R14" s="1182"/>
      <c r="S14" s="307" t="s">
        <v>438</v>
      </c>
    </row>
  </sheetData>
  <mergeCells count="18">
    <mergeCell ref="B14:C14"/>
    <mergeCell ref="D14:G14"/>
    <mergeCell ref="K14:M14"/>
    <mergeCell ref="O14:P14"/>
    <mergeCell ref="Q14:R14"/>
    <mergeCell ref="B13:C13"/>
    <mergeCell ref="D13:G13"/>
    <mergeCell ref="K13:M13"/>
    <mergeCell ref="O13:P13"/>
    <mergeCell ref="Q13:R13"/>
    <mergeCell ref="A1:T1"/>
    <mergeCell ref="B2:T2"/>
    <mergeCell ref="B3:T3"/>
    <mergeCell ref="A8:C8"/>
    <mergeCell ref="B12:C12"/>
    <mergeCell ref="D12:I12"/>
    <mergeCell ref="K12:M12"/>
    <mergeCell ref="N12:P12"/>
  </mergeCells>
  <dataValidations count="1">
    <dataValidation allowBlank="1" showInputMessage="1" showErrorMessage="1" sqref="H5:I5 H6" xr:uid="{495977A9-4075-4E70-AF23-364817345F8E}"/>
  </dataValidations>
  <hyperlinks>
    <hyperlink ref="A1" location="'Objetos de Dominio'!A1" display="Volver al inicio" xr:uid="{8DDA5666-EBCA-4BAB-BDAF-BB694228B33E}"/>
    <hyperlink ref="U4" location="'Objeto Dominio 2'!A16" display="'Objeto Dominio 2'!A16" xr:uid="{C8BF585E-1B39-42BE-A7A9-A7BE5E4F6D8F}"/>
    <hyperlink ref="A1:T1" location="'Listado Objetos de Dominio'!A1" display="&lt;-Volver al inicio" xr:uid="{EC40A6B1-6A31-44F6-A9E0-4855748F47CB}"/>
    <hyperlink ref="C10" location="'Dia Caracterización'!A6" display="=A6" xr:uid="{09AF20F6-0741-44E9-8E0F-7694782C0AE2}"/>
    <hyperlink ref="B2:T2" location="'Listado Objetos de Dominio'!A8" display="='Listado Objetos de Dominio'!$A$8" xr:uid="{64CCE1F5-CEC7-4D87-A1F9-F6424505D696}"/>
    <hyperlink ref="A14:B14" location="'Objeto Dominio 2'!R4" display="Reponsabilidad 2" xr:uid="{641C4525-B7F9-46D0-9BA0-02848F49833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129E0E5-C504-4F91-8B67-79859018336B}">
          <x14:formula1>
            <xm:f>Caracterizacion!$C$3:$C$18</xm:f>
          </x14:formula1>
          <xm:sqref>E5:E6 F6:G6</xm:sqref>
        </x14:dataValidation>
        <x14:dataValidation type="list" allowBlank="1" showInputMessage="1" showErrorMessage="1" xr:uid="{BF82D776-DDB2-4FB8-B10C-2D03677E986F}">
          <x14:formula1>
            <xm:f>Caracterizacion!$H$3:$H$4</xm:f>
          </x14:formula1>
          <xm:sqref>L5:S6</xm:sqref>
        </x14:dataValidation>
        <x14:dataValidation type="custom" allowBlank="1" showInputMessage="1" showErrorMessage="1" xr:uid="{6A4A420B-A7D5-40AE-90E2-523BCBE229AB}">
          <x14:formula1>
            <xm:f>Caracterizacion!$F$3</xm:f>
          </x14:formula1>
          <xm:sqref>J5</xm:sqref>
        </x14:dataValidation>
        <x14:dataValidation type="list" allowBlank="1" showInputMessage="1" showErrorMessage="1" xr:uid="{E5049ACF-127A-4073-8C43-46050B7A9177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CC091407-C1E4-4163-A533-928EF9C1AB00}">
          <x14:formula1>
            <xm:f>Caracterizacion!$A$3:$A$40</xm:f>
          </x14:formula1>
          <xm:sqref>B6</xm:sqref>
        </x14:dataValidation>
        <x14:dataValidation type="list" allowBlank="1" showInputMessage="1" showErrorMessage="1" xr:uid="{27F582FF-7F06-4FC5-A2BD-A50AE1DDD064}">
          <x14:formula1>
            <xm:f>Caracterizacion!$A$3:$A$14</xm:f>
          </x14:formula1>
          <xm:sqref>B5</xm:sqref>
        </x14:dataValidation>
        <x14:dataValidation type="list" allowBlank="1" showInputMessage="1" showErrorMessage="1" xr:uid="{105FCA46-D6F8-4307-A605-E50D1E6A35ED}">
          <x14:formula1>
            <xm:f>Caracterizacion!$B$4:$B$506</xm:f>
          </x14:formula1>
          <xm:sqref>C5:D6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87E6-6C63-4FDC-BE2D-CB045C5F5C47}">
  <dimension ref="A2:G80"/>
  <sheetViews>
    <sheetView topLeftCell="C2" workbookViewId="0">
      <selection activeCell="G3" sqref="G3:G5"/>
    </sheetView>
  </sheetViews>
  <sheetFormatPr defaultRowHeight="15"/>
  <cols>
    <col min="1" max="1" width="40.140625" bestFit="1" customWidth="1"/>
    <col min="2" max="2" width="36.85546875" bestFit="1" customWidth="1"/>
    <col min="3" max="3" width="32.5703125" customWidth="1"/>
    <col min="4" max="4" width="30.7109375" bestFit="1" customWidth="1"/>
    <col min="5" max="5" width="42.7109375" bestFit="1" customWidth="1"/>
    <col min="6" max="6" width="20.5703125" bestFit="1" customWidth="1"/>
    <col min="7" max="7" width="26.28515625" bestFit="1" customWidth="1"/>
  </cols>
  <sheetData>
    <row r="2" spans="1:7" ht="23.25">
      <c r="A2" s="125" t="s">
        <v>915</v>
      </c>
      <c r="B2" s="125" t="s">
        <v>916</v>
      </c>
      <c r="C2" s="125" t="s">
        <v>917</v>
      </c>
      <c r="D2" s="125" t="s">
        <v>918</v>
      </c>
      <c r="E2" s="125" t="s">
        <v>919</v>
      </c>
      <c r="F2" s="125" t="s">
        <v>920</v>
      </c>
      <c r="G2" s="122"/>
    </row>
    <row r="3" spans="1:7">
      <c r="A3" s="129" t="s">
        <v>369</v>
      </c>
      <c r="B3" s="129" t="s">
        <v>921</v>
      </c>
      <c r="C3" s="229" t="s">
        <v>922</v>
      </c>
      <c r="D3" s="229" t="s">
        <v>923</v>
      </c>
      <c r="E3" s="226" t="s">
        <v>149</v>
      </c>
      <c r="F3" s="230" t="s">
        <v>169</v>
      </c>
      <c r="G3" s="130"/>
    </row>
    <row r="4" spans="1:7">
      <c r="A4" s="200" t="s">
        <v>239</v>
      </c>
      <c r="B4" s="262" t="s">
        <v>924</v>
      </c>
      <c r="C4" s="229" t="s">
        <v>925</v>
      </c>
      <c r="D4" s="229" t="s">
        <v>926</v>
      </c>
      <c r="E4" s="226" t="s">
        <v>927</v>
      </c>
      <c r="F4" s="226" t="s">
        <v>928</v>
      </c>
      <c r="G4" s="175"/>
    </row>
    <row r="5" spans="1:7">
      <c r="A5" s="200" t="s">
        <v>241</v>
      </c>
      <c r="B5" s="263">
        <v>45302</v>
      </c>
      <c r="C5" s="229" t="s">
        <v>929</v>
      </c>
      <c r="D5" s="229" t="s">
        <v>930</v>
      </c>
      <c r="E5" s="226" t="s">
        <v>931</v>
      </c>
      <c r="F5" s="226" t="s">
        <v>932</v>
      </c>
      <c r="G5" s="175"/>
    </row>
    <row r="6" spans="1:7">
      <c r="B6" s="130"/>
      <c r="C6" s="231"/>
      <c r="D6" s="130"/>
      <c r="E6" s="130"/>
      <c r="F6" s="130"/>
      <c r="G6" s="175"/>
    </row>
    <row r="7" spans="1:7">
      <c r="B7" s="130"/>
      <c r="C7" s="231"/>
      <c r="D7" s="130"/>
      <c r="E7" s="130"/>
      <c r="F7" s="130"/>
      <c r="G7" s="175"/>
    </row>
    <row r="8" spans="1:7">
      <c r="B8" s="130"/>
      <c r="C8" s="231"/>
      <c r="D8" s="130"/>
      <c r="E8" s="130"/>
    </row>
    <row r="9" spans="1:7">
      <c r="B9" s="130"/>
      <c r="C9" s="231"/>
      <c r="D9" s="130"/>
      <c r="E9" s="130"/>
    </row>
    <row r="10" spans="1:7">
      <c r="B10" s="130"/>
      <c r="C10" s="231"/>
      <c r="D10" s="130"/>
      <c r="E10" s="130"/>
    </row>
    <row r="11" spans="1:7">
      <c r="B11" s="130"/>
      <c r="C11" s="231"/>
      <c r="D11" s="130"/>
      <c r="E11" s="130"/>
    </row>
    <row r="12" spans="1:7">
      <c r="B12" s="130"/>
      <c r="C12" s="231"/>
      <c r="D12" s="130"/>
      <c r="E12" s="130"/>
    </row>
    <row r="13" spans="1:7">
      <c r="B13" s="130"/>
      <c r="C13" s="231"/>
      <c r="D13" s="130"/>
      <c r="E13" s="130"/>
    </row>
    <row r="14" spans="1:7">
      <c r="B14" s="130"/>
      <c r="C14" s="231"/>
      <c r="D14" s="130"/>
      <c r="E14" s="130"/>
    </row>
    <row r="15" spans="1:7">
      <c r="B15" s="130"/>
      <c r="C15" s="231"/>
      <c r="D15" s="130"/>
      <c r="E15" s="130"/>
    </row>
    <row r="16" spans="1:7">
      <c r="B16" s="130"/>
      <c r="C16" s="231"/>
      <c r="D16" s="130"/>
      <c r="E16" s="130"/>
    </row>
    <row r="17" spans="2:5">
      <c r="B17" s="130"/>
      <c r="C17" s="231"/>
      <c r="D17" s="130"/>
      <c r="E17" s="130"/>
    </row>
    <row r="18" spans="2:5">
      <c r="B18" s="130"/>
      <c r="C18" s="231"/>
      <c r="D18" s="130"/>
      <c r="E18" s="130"/>
    </row>
    <row r="19" spans="2:5">
      <c r="B19" s="130"/>
      <c r="C19" s="231"/>
      <c r="D19" s="130"/>
      <c r="E19" s="130"/>
    </row>
    <row r="20" spans="2:5">
      <c r="B20" s="130"/>
      <c r="C20" s="231"/>
      <c r="D20" s="130"/>
      <c r="E20" s="130"/>
    </row>
    <row r="21" spans="2:5">
      <c r="B21" s="130"/>
      <c r="C21" s="231"/>
      <c r="D21" s="130"/>
      <c r="E21" s="130"/>
    </row>
    <row r="22" spans="2:5">
      <c r="B22" s="130"/>
      <c r="C22" s="231"/>
      <c r="D22" s="130"/>
      <c r="E22" s="130"/>
    </row>
    <row r="23" spans="2:5">
      <c r="B23" s="130"/>
      <c r="C23" s="231"/>
      <c r="D23" s="130"/>
      <c r="E23" s="130"/>
    </row>
    <row r="24" spans="2:5">
      <c r="B24" s="130"/>
      <c r="C24" s="231"/>
      <c r="D24" s="130"/>
      <c r="E24" s="130"/>
    </row>
    <row r="25" spans="2:5">
      <c r="B25" s="130"/>
      <c r="C25" s="231"/>
      <c r="D25" s="130"/>
    </row>
    <row r="26" spans="2:5">
      <c r="B26" s="130"/>
      <c r="C26" s="231"/>
      <c r="D26" s="130"/>
    </row>
    <row r="27" spans="2:5">
      <c r="B27" s="130"/>
      <c r="C27" s="231"/>
      <c r="D27" s="130"/>
    </row>
    <row r="28" spans="2:5">
      <c r="B28" s="130"/>
      <c r="C28" s="231"/>
      <c r="D28" s="130"/>
    </row>
    <row r="29" spans="2:5">
      <c r="B29" s="130"/>
      <c r="C29" s="231"/>
      <c r="D29" s="130"/>
    </row>
    <row r="30" spans="2:5">
      <c r="B30" s="130"/>
      <c r="C30" s="231"/>
      <c r="D30" s="130"/>
    </row>
    <row r="31" spans="2:5">
      <c r="B31" s="130"/>
      <c r="C31" s="231"/>
      <c r="D31" s="130"/>
    </row>
    <row r="32" spans="2:5">
      <c r="B32" s="130"/>
      <c r="C32" s="231"/>
      <c r="D32" s="130"/>
    </row>
    <row r="33" spans="1:4">
      <c r="B33" s="130"/>
      <c r="C33" s="231"/>
      <c r="D33" s="130"/>
    </row>
    <row r="34" spans="1:4">
      <c r="B34" s="130"/>
      <c r="C34" s="131"/>
      <c r="D34" s="130"/>
    </row>
    <row r="35" spans="1:4">
      <c r="B35" s="130"/>
      <c r="C35" s="131"/>
      <c r="D35" s="130"/>
    </row>
    <row r="36" spans="1:4">
      <c r="B36" s="130"/>
      <c r="C36" s="131"/>
      <c r="D36" s="130"/>
    </row>
    <row r="37" spans="1:4">
      <c r="B37" s="130"/>
      <c r="C37" s="131"/>
      <c r="D37" s="130"/>
    </row>
    <row r="38" spans="1:4">
      <c r="B38" s="130"/>
      <c r="C38" s="227"/>
      <c r="D38" s="130"/>
    </row>
    <row r="39" spans="1:4">
      <c r="A39" s="73"/>
      <c r="B39" s="130"/>
      <c r="C39" s="227"/>
      <c r="D39" s="130"/>
    </row>
    <row r="40" spans="1:4">
      <c r="B40" s="130"/>
      <c r="C40" s="131"/>
      <c r="D40" s="130"/>
    </row>
    <row r="41" spans="1:4">
      <c r="B41" s="130"/>
      <c r="C41" s="131"/>
      <c r="D41" s="130"/>
    </row>
    <row r="42" spans="1:4">
      <c r="B42" s="130"/>
      <c r="C42" s="131"/>
      <c r="D42" s="130"/>
    </row>
    <row r="43" spans="1:4">
      <c r="B43" s="130"/>
      <c r="C43" s="131"/>
      <c r="D43" s="130"/>
    </row>
    <row r="44" spans="1:4">
      <c r="B44" s="130"/>
      <c r="C44" s="131"/>
      <c r="D44" s="130"/>
    </row>
    <row r="45" spans="1:4">
      <c r="B45" s="130"/>
      <c r="C45" s="131"/>
      <c r="D45" s="130"/>
    </row>
    <row r="46" spans="1:4">
      <c r="B46" s="130"/>
      <c r="C46" s="131"/>
      <c r="D46" s="130"/>
    </row>
    <row r="47" spans="1:4">
      <c r="B47" s="130"/>
      <c r="C47" s="131"/>
      <c r="D47" s="130"/>
    </row>
    <row r="48" spans="1:4">
      <c r="B48" s="130"/>
      <c r="C48" s="131"/>
      <c r="D48" s="130"/>
    </row>
    <row r="49" spans="2:4">
      <c r="B49" s="130"/>
      <c r="C49" s="131"/>
      <c r="D49" s="130"/>
    </row>
    <row r="50" spans="2:4">
      <c r="B50" s="130"/>
      <c r="C50" s="131"/>
      <c r="D50" s="130"/>
    </row>
    <row r="51" spans="2:4">
      <c r="B51" s="130"/>
      <c r="C51" s="131"/>
      <c r="D51" s="130"/>
    </row>
    <row r="52" spans="2:4">
      <c r="B52" s="130"/>
      <c r="C52" s="131"/>
      <c r="D52" s="130"/>
    </row>
    <row r="53" spans="2:4">
      <c r="B53" s="130"/>
      <c r="C53" s="131"/>
      <c r="D53" s="130"/>
    </row>
    <row r="54" spans="2:4">
      <c r="B54" s="130"/>
      <c r="C54" s="227"/>
      <c r="D54" s="130"/>
    </row>
    <row r="55" spans="2:4">
      <c r="B55" s="130"/>
      <c r="C55" s="227"/>
      <c r="D55" s="130"/>
    </row>
    <row r="56" spans="2:4">
      <c r="B56" s="130"/>
      <c r="C56" s="131"/>
      <c r="D56" s="130"/>
    </row>
    <row r="57" spans="2:4">
      <c r="B57" s="130"/>
      <c r="C57" s="131"/>
      <c r="D57" s="130"/>
    </row>
    <row r="58" spans="2:4">
      <c r="B58" s="130"/>
      <c r="C58" s="131"/>
      <c r="D58" s="130"/>
    </row>
    <row r="59" spans="2:4">
      <c r="B59" s="130"/>
      <c r="C59" s="131"/>
      <c r="D59" s="130"/>
    </row>
    <row r="60" spans="2:4">
      <c r="B60" s="130"/>
      <c r="C60" s="131"/>
      <c r="D60" s="130"/>
    </row>
    <row r="61" spans="2:4">
      <c r="B61" s="130"/>
      <c r="C61" s="131"/>
      <c r="D61" s="130"/>
    </row>
    <row r="62" spans="2:4">
      <c r="B62" s="130"/>
      <c r="C62" s="131"/>
      <c r="D62" s="130"/>
    </row>
    <row r="63" spans="2:4">
      <c r="B63" s="130"/>
      <c r="C63" s="227"/>
      <c r="D63" s="130"/>
    </row>
    <row r="64" spans="2:4">
      <c r="B64" s="130"/>
      <c r="C64" s="227"/>
      <c r="D64" s="130"/>
    </row>
    <row r="65" spans="2:4">
      <c r="B65" s="130"/>
      <c r="C65" s="227"/>
      <c r="D65" s="130"/>
    </row>
    <row r="66" spans="2:4">
      <c r="B66" s="130"/>
      <c r="C66" s="227"/>
      <c r="D66" s="130"/>
    </row>
    <row r="67" spans="2:4">
      <c r="B67" s="130"/>
      <c r="C67" s="227"/>
      <c r="D67" s="130"/>
    </row>
    <row r="68" spans="2:4">
      <c r="B68" s="130"/>
      <c r="C68" s="227"/>
      <c r="D68" s="130"/>
    </row>
    <row r="69" spans="2:4">
      <c r="B69" s="130"/>
      <c r="C69" s="227"/>
      <c r="D69" s="130"/>
    </row>
    <row r="70" spans="2:4">
      <c r="B70" s="130"/>
      <c r="C70" s="227"/>
      <c r="D70" s="130"/>
    </row>
    <row r="71" spans="2:4">
      <c r="B71" s="130"/>
      <c r="C71" s="227"/>
      <c r="D71" s="130"/>
    </row>
    <row r="72" spans="2:4">
      <c r="B72" s="130"/>
      <c r="C72" s="131"/>
      <c r="D72" s="130"/>
    </row>
    <row r="73" spans="2:4">
      <c r="B73" s="130"/>
      <c r="C73" s="131"/>
      <c r="D73" s="130"/>
    </row>
    <row r="74" spans="2:4">
      <c r="B74" s="130"/>
      <c r="C74" s="131"/>
      <c r="D74" s="130"/>
    </row>
    <row r="75" spans="2:4">
      <c r="B75" s="130"/>
      <c r="C75" s="131"/>
      <c r="D75" s="130"/>
    </row>
    <row r="76" spans="2:4">
      <c r="B76" s="130"/>
      <c r="C76" s="131"/>
      <c r="D76" s="130"/>
    </row>
    <row r="77" spans="2:4">
      <c r="B77" s="130"/>
      <c r="C77" s="131"/>
      <c r="D77" s="130"/>
    </row>
    <row r="78" spans="2:4">
      <c r="B78" s="130"/>
      <c r="C78" s="131"/>
      <c r="D78" s="130"/>
    </row>
    <row r="79" spans="2:4">
      <c r="B79" s="130"/>
      <c r="C79" s="131"/>
      <c r="D79" s="130"/>
    </row>
    <row r="80" spans="2:4">
      <c r="B80" s="130"/>
      <c r="C80" s="131"/>
      <c r="D80" s="130"/>
    </row>
  </sheetData>
  <hyperlinks>
    <hyperlink ref="E3" location="Motocicleta!A2" display="motocicleta" xr:uid="{79AE0106-EB36-4ADA-9A26-A425654324EE}"/>
    <hyperlink ref="F3" location="Sede!A2" display="sede" xr:uid="{294FF785-F72B-4272-A8C7-EEACF008EA53}"/>
    <hyperlink ref="E4" location="Motocicleta!F3" display="MRC35E" xr:uid="{F0CC3DAD-AB55-45A1-BBD4-4A12E25A4B77}"/>
    <hyperlink ref="F4" location="Sede!E3" display="Sede A - Baike universe" xr:uid="{04C8432A-9D02-4B50-ACBA-65D958EF5351}"/>
    <hyperlink ref="E5" location="Motocicleta!F4" display="YBR67A" xr:uid="{8067907E-025C-4ED5-9068-50269CDCFDE1}"/>
    <hyperlink ref="F5" location="Sede!E5" display="Sede A - Dos Ruedas" xr:uid="{C3B6EBAA-9BF7-48F1-A3CE-FF2E2F92A5F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65CD-8312-4EBB-8BFB-2C30026BF522}">
  <dimension ref="A1:X34"/>
  <sheetViews>
    <sheetView zoomScale="85" zoomScaleNormal="85" workbookViewId="0">
      <pane xSplit="1" topLeftCell="B1" activePane="topRight" state="frozen"/>
      <selection pane="topRight" activeCell="A12" sqref="A12"/>
    </sheetView>
  </sheetViews>
  <sheetFormatPr defaultColWidth="11.42578125" defaultRowHeight="15"/>
  <cols>
    <col min="1" max="1" width="24" style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20.28515625" style="1" customWidth="1"/>
    <col min="6" max="6" width="17.28515625" style="1" customWidth="1"/>
    <col min="7" max="7" width="28.5703125" style="1" bestFit="1" customWidth="1"/>
    <col min="8" max="8" width="48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45.5703125" style="1" customWidth="1"/>
    <col min="22" max="22" width="30.85546875" style="1" customWidth="1"/>
    <col min="23" max="23" width="50.140625" style="1" bestFit="1" customWidth="1"/>
    <col min="24" max="24" width="94.42578125" style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186" t="str">
        <f>'Listado Objetos de Dominio'!$A$9</f>
        <v>Diagnostico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4">
      <c r="A3" s="189" t="s">
        <v>392</v>
      </c>
      <c r="B3" s="1210" t="str">
        <f>'Listado Objetos de Dominio'!$B$9</f>
        <v>Objeto de dominio que representa la evaluación técnica realizada a una motocicleta por parte de una sede.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A24</f>
        <v>Registrar  Información del Diagnóstico</v>
      </c>
      <c r="V4" s="35" t="str">
        <f>A28</f>
        <v>Modificar Información del  Diagnóstico</v>
      </c>
      <c r="W4" s="36" t="str">
        <f>A31</f>
        <v>Eliminar Información del Diagnóstico</v>
      </c>
      <c r="X4" s="2" t="str">
        <f>A33</f>
        <v>Consultar  Información del Diagnóstico</v>
      </c>
    </row>
    <row r="5" spans="1:24">
      <c r="A5" s="184" t="str">
        <f>'Diagnotico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'Diagnotico Muestreo '!A2</f>
        <v>Corresponde al identificador único que identifica cada diagnóstico realizado a una motocicleta.</v>
      </c>
      <c r="U5" s="795" t="s">
        <v>467</v>
      </c>
      <c r="V5" s="39" t="s">
        <v>409</v>
      </c>
      <c r="W5" s="43" t="s">
        <v>467</v>
      </c>
      <c r="X5" s="47" t="s">
        <v>468</v>
      </c>
    </row>
    <row r="6" spans="1:24" ht="20.25" customHeight="1">
      <c r="A6" s="184" t="str">
        <f>'Diagnotico Muestreo '!B3</f>
        <v>fecha</v>
      </c>
      <c r="B6" s="184" t="s">
        <v>91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78</v>
      </c>
      <c r="R6" s="186" t="s">
        <v>81</v>
      </c>
      <c r="S6" s="186" t="s">
        <v>81</v>
      </c>
      <c r="T6" s="185" t="str">
        <f>'Diagnotico Muestreo '!B2</f>
        <v>Corresponde al atributo que indica la fecha en que se realizó el diagnóstico.</v>
      </c>
      <c r="U6" s="795" t="s">
        <v>467</v>
      </c>
      <c r="V6" s="39" t="s">
        <v>413</v>
      </c>
      <c r="W6" s="799" t="s">
        <v>933</v>
      </c>
      <c r="X6" s="47" t="s">
        <v>934</v>
      </c>
    </row>
    <row r="7" spans="1:24" ht="72" customHeight="1">
      <c r="A7" s="184" t="str">
        <f>'Diagnotico Muestreo '!C3</f>
        <v>descripcionProblema</v>
      </c>
      <c r="B7" s="184" t="s">
        <v>75</v>
      </c>
      <c r="C7" s="184">
        <v>1</v>
      </c>
      <c r="D7" s="184">
        <v>250</v>
      </c>
      <c r="E7" s="184"/>
      <c r="F7" s="184"/>
      <c r="G7" s="184"/>
      <c r="H7" s="184" t="s">
        <v>410</v>
      </c>
      <c r="I7" s="5" t="s">
        <v>411</v>
      </c>
      <c r="J7" s="184"/>
      <c r="K7" s="185"/>
      <c r="L7" s="186" t="s">
        <v>78</v>
      </c>
      <c r="M7" s="186" t="s">
        <v>78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'Diagnotico Muestreo '!C2</f>
        <v>Corresponde al atributo que describe el problema reportado o encontrado en la motocicleta.</v>
      </c>
      <c r="U7" s="795" t="s">
        <v>467</v>
      </c>
      <c r="V7" s="39" t="s">
        <v>413</v>
      </c>
      <c r="W7" s="799" t="s">
        <v>933</v>
      </c>
      <c r="X7" s="47" t="s">
        <v>935</v>
      </c>
    </row>
    <row r="8" spans="1:24" ht="54.75" customHeight="1">
      <c r="A8" s="184" t="str">
        <f>'Diagnotico Muestreo '!D3</f>
        <v>posibleSolucion</v>
      </c>
      <c r="B8" s="184" t="s">
        <v>75</v>
      </c>
      <c r="C8" s="184">
        <v>1</v>
      </c>
      <c r="D8" s="184">
        <v>250</v>
      </c>
      <c r="E8" s="184"/>
      <c r="F8" s="184"/>
      <c r="G8" s="184"/>
      <c r="H8" s="184" t="s">
        <v>410</v>
      </c>
      <c r="I8" s="5" t="s">
        <v>411</v>
      </c>
      <c r="J8" s="184"/>
      <c r="K8" s="185"/>
      <c r="L8" s="186" t="s">
        <v>78</v>
      </c>
      <c r="M8" s="186" t="s">
        <v>78</v>
      </c>
      <c r="N8" s="186" t="s">
        <v>81</v>
      </c>
      <c r="O8" s="186" t="s">
        <v>81</v>
      </c>
      <c r="P8" s="186" t="s">
        <v>78</v>
      </c>
      <c r="Q8" s="186" t="s">
        <v>78</v>
      </c>
      <c r="R8" s="186" t="s">
        <v>81</v>
      </c>
      <c r="S8" s="186" t="s">
        <v>81</v>
      </c>
      <c r="T8" s="185" t="str">
        <f>'Diagnotico Muestreo '!D2</f>
        <v>Corresponde al atributo que indica la posible solución técnica al problema diagnosticado.</v>
      </c>
      <c r="U8" s="795" t="s">
        <v>467</v>
      </c>
      <c r="V8" s="39" t="s">
        <v>413</v>
      </c>
      <c r="W8" s="799" t="s">
        <v>933</v>
      </c>
      <c r="X8" s="968" t="s">
        <v>936</v>
      </c>
    </row>
    <row r="9" spans="1:24" ht="44.25" customHeight="1">
      <c r="A9" s="184" t="str">
        <f>'Diagnotico Muestreo '!E3</f>
        <v>motocicleta</v>
      </c>
      <c r="B9" s="184" t="s">
        <v>149</v>
      </c>
      <c r="C9" s="184"/>
      <c r="D9" s="184"/>
      <c r="E9" s="184"/>
      <c r="F9" s="184"/>
      <c r="G9" s="184"/>
      <c r="H9" s="184"/>
      <c r="I9" s="184"/>
      <c r="J9" s="184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81</v>
      </c>
      <c r="R9" s="186" t="s">
        <v>78</v>
      </c>
      <c r="S9" s="186" t="s">
        <v>81</v>
      </c>
      <c r="T9" s="185" t="str">
        <f>'Diagnotico Muestreo '!E2</f>
        <v>Corresponde al motocicleta diagnosticada e indica la matricula.</v>
      </c>
      <c r="U9" s="795" t="s">
        <v>467</v>
      </c>
      <c r="V9" s="39" t="s">
        <v>409</v>
      </c>
      <c r="W9" s="799" t="s">
        <v>933</v>
      </c>
      <c r="X9" s="968" t="s">
        <v>937</v>
      </c>
    </row>
    <row r="10" spans="1:24" ht="36" customHeight="1">
      <c r="A10" s="184" t="str">
        <f>'Diagnotico Muestreo '!F3</f>
        <v>sede</v>
      </c>
      <c r="B10" s="184" t="s">
        <v>169</v>
      </c>
      <c r="C10" s="184"/>
      <c r="D10" s="184"/>
      <c r="E10" s="184"/>
      <c r="F10" s="184"/>
      <c r="G10" s="184"/>
      <c r="H10" s="184"/>
      <c r="I10" s="184"/>
      <c r="J10" s="184"/>
      <c r="K10" s="185"/>
      <c r="L10" s="186" t="s">
        <v>81</v>
      </c>
      <c r="M10" s="186" t="s">
        <v>81</v>
      </c>
      <c r="N10" s="186" t="s">
        <v>81</v>
      </c>
      <c r="O10" s="186" t="s">
        <v>81</v>
      </c>
      <c r="P10" s="186" t="s">
        <v>78</v>
      </c>
      <c r="Q10" s="186" t="s">
        <v>78</v>
      </c>
      <c r="R10" s="186" t="s">
        <v>81</v>
      </c>
      <c r="S10" s="186" t="s">
        <v>81</v>
      </c>
      <c r="T10" s="185" t="str">
        <f>'Diagnotico Muestreo '!F2</f>
        <v>Corresponde a la sede donde se realizó el diagnóstico.</v>
      </c>
      <c r="U10" s="795" t="s">
        <v>467</v>
      </c>
      <c r="V10" s="39" t="s">
        <v>413</v>
      </c>
      <c r="W10" s="998" t="s">
        <v>933</v>
      </c>
      <c r="X10" s="997" t="s">
        <v>938</v>
      </c>
    </row>
    <row r="13" spans="1:24" ht="35.25" customHeight="1">
      <c r="G13" s="1" t="s">
        <v>418</v>
      </c>
    </row>
    <row r="14" spans="1:24">
      <c r="A14" s="1211" t="s">
        <v>414</v>
      </c>
      <c r="B14" s="1212"/>
      <c r="C14" s="1213"/>
    </row>
    <row r="15" spans="1:24">
      <c r="A15" s="193" t="s">
        <v>415</v>
      </c>
      <c r="B15" s="193" t="s">
        <v>2</v>
      </c>
      <c r="C15" s="126" t="s">
        <v>416</v>
      </c>
    </row>
    <row r="16" spans="1:24">
      <c r="A16" s="223"/>
      <c r="B16" s="223"/>
      <c r="C16" s="228"/>
    </row>
    <row r="17" spans="1:22">
      <c r="A17" s="224"/>
      <c r="B17" s="225"/>
      <c r="C17" s="232"/>
    </row>
    <row r="22" spans="1:22">
      <c r="A22" s="358" t="s">
        <v>419</v>
      </c>
      <c r="B22" s="317"/>
      <c r="C22" s="317" t="s">
        <v>2</v>
      </c>
      <c r="D22" s="317"/>
      <c r="E22" s="318"/>
      <c r="F22" s="319"/>
      <c r="G22" s="317" t="s">
        <v>420</v>
      </c>
      <c r="H22" s="333"/>
      <c r="I22" s="319"/>
      <c r="J22" s="319" t="s">
        <v>421</v>
      </c>
      <c r="K22" s="319"/>
      <c r="L22" s="319"/>
      <c r="M22" s="318"/>
      <c r="N22" s="319" t="s">
        <v>422</v>
      </c>
      <c r="O22" s="319"/>
      <c r="P22" s="319"/>
      <c r="Q22" s="318"/>
      <c r="R22" s="319" t="s">
        <v>474</v>
      </c>
      <c r="S22" s="288"/>
      <c r="T22" s="290"/>
      <c r="U22" s="290"/>
      <c r="V22" s="290"/>
    </row>
    <row r="23" spans="1:22">
      <c r="A23" s="312"/>
      <c r="B23" s="346"/>
      <c r="C23" s="346"/>
      <c r="D23" s="340"/>
      <c r="E23" s="341" t="s">
        <v>423</v>
      </c>
      <c r="F23" s="337" t="s">
        <v>424</v>
      </c>
      <c r="G23" s="316"/>
      <c r="H23" s="359" t="s">
        <v>2</v>
      </c>
      <c r="I23" s="346" t="s">
        <v>66</v>
      </c>
      <c r="J23" s="339"/>
      <c r="K23" s="346" t="s">
        <v>2</v>
      </c>
      <c r="L23" s="340"/>
      <c r="M23" s="337" t="s">
        <v>425</v>
      </c>
      <c r="N23" s="339"/>
      <c r="O23" s="346" t="s">
        <v>2</v>
      </c>
      <c r="P23" s="346"/>
      <c r="Q23" s="1244" t="s">
        <v>426</v>
      </c>
      <c r="R23" s="1206"/>
      <c r="S23" s="288" t="s">
        <v>427</v>
      </c>
      <c r="T23" s="290"/>
      <c r="U23" s="290"/>
      <c r="V23" s="290"/>
    </row>
    <row r="24" spans="1:22" ht="78.75" customHeight="1">
      <c r="A24" s="406" t="s">
        <v>939</v>
      </c>
      <c r="B24" s="357"/>
      <c r="C24" s="350" t="s">
        <v>940</v>
      </c>
      <c r="D24" s="350"/>
      <c r="E24" s="344" t="s">
        <v>441</v>
      </c>
      <c r="F24" s="680" t="s">
        <v>941</v>
      </c>
      <c r="G24" s="683" t="s">
        <v>942</v>
      </c>
      <c r="H24" s="428"/>
      <c r="I24" s="351"/>
      <c r="J24" s="355"/>
      <c r="K24" s="355"/>
      <c r="L24" s="524"/>
      <c r="M24" s="520" t="s">
        <v>943</v>
      </c>
      <c r="N24" s="1257" t="s">
        <v>495</v>
      </c>
      <c r="O24" s="1258"/>
      <c r="P24" s="1258"/>
      <c r="Q24" s="1257" t="s">
        <v>437</v>
      </c>
      <c r="R24" s="1258"/>
      <c r="S24" s="552" t="s">
        <v>438</v>
      </c>
    </row>
    <row r="25" spans="1:22" ht="70.5" customHeight="1">
      <c r="A25" s="406"/>
      <c r="B25" s="378"/>
      <c r="C25" s="377"/>
      <c r="D25" s="377"/>
      <c r="E25" s="396"/>
      <c r="F25" s="681"/>
      <c r="G25" s="679"/>
      <c r="H25" s="430"/>
      <c r="I25" s="376"/>
      <c r="J25" s="375"/>
      <c r="K25" s="375"/>
      <c r="L25" s="525"/>
      <c r="M25" s="520" t="s">
        <v>944</v>
      </c>
      <c r="N25" s="1286" t="s">
        <v>869</v>
      </c>
      <c r="O25" s="1222"/>
      <c r="P25" s="1222"/>
      <c r="Q25" s="1287" t="s">
        <v>945</v>
      </c>
      <c r="R25" s="1288"/>
      <c r="S25" s="399" t="s">
        <v>438</v>
      </c>
      <c r="T25" s="291"/>
      <c r="U25" s="291"/>
    </row>
    <row r="26" spans="1:22" ht="68.25" customHeight="1">
      <c r="A26" s="406"/>
      <c r="B26" s="378"/>
      <c r="C26" s="377"/>
      <c r="D26" s="377"/>
      <c r="E26" s="396"/>
      <c r="F26" s="681"/>
      <c r="G26" s="679"/>
      <c r="H26" s="430"/>
      <c r="I26" s="376"/>
      <c r="J26" s="375"/>
      <c r="K26" s="375"/>
      <c r="L26" s="525"/>
      <c r="M26" s="520" t="s">
        <v>946</v>
      </c>
      <c r="N26" s="1257" t="s">
        <v>947</v>
      </c>
      <c r="O26" s="1258"/>
      <c r="P26" s="1258"/>
      <c r="Q26" s="1289" t="s">
        <v>948</v>
      </c>
      <c r="R26" s="1290"/>
      <c r="S26" s="995" t="s">
        <v>438</v>
      </c>
      <c r="T26" s="291"/>
      <c r="U26" s="291"/>
    </row>
    <row r="27" spans="1:22" ht="43.5" customHeight="1">
      <c r="A27" s="406"/>
      <c r="B27" s="378"/>
      <c r="C27" s="377"/>
      <c r="D27" s="377"/>
      <c r="E27" s="396"/>
      <c r="F27" s="682"/>
      <c r="G27" s="856"/>
      <c r="H27" s="505"/>
      <c r="I27" s="376"/>
      <c r="J27" s="375"/>
      <c r="K27" s="375"/>
      <c r="L27" s="376"/>
      <c r="M27" s="779" t="s">
        <v>949</v>
      </c>
      <c r="N27" s="1286" t="s">
        <v>950</v>
      </c>
      <c r="O27" s="1222"/>
      <c r="P27" s="1222"/>
      <c r="Q27" s="1291" t="s">
        <v>483</v>
      </c>
      <c r="R27" s="1286"/>
      <c r="S27" s="553" t="s">
        <v>951</v>
      </c>
      <c r="T27" s="291"/>
      <c r="U27" s="291"/>
    </row>
    <row r="28" spans="1:22" ht="30.75">
      <c r="A28" s="379" t="s">
        <v>952</v>
      </c>
      <c r="B28" s="380"/>
      <c r="C28" s="360" t="s">
        <v>953</v>
      </c>
      <c r="D28" s="360"/>
      <c r="E28" s="517" t="s">
        <v>369</v>
      </c>
      <c r="F28" s="677" t="s">
        <v>75</v>
      </c>
      <c r="G28" s="506" t="s">
        <v>954</v>
      </c>
      <c r="H28" s="708"/>
      <c r="I28" s="710"/>
      <c r="J28" s="709"/>
      <c r="K28" s="360"/>
      <c r="L28" s="773"/>
      <c r="M28" s="521" t="s">
        <v>943</v>
      </c>
      <c r="N28" s="1273" t="s">
        <v>495</v>
      </c>
      <c r="O28" s="1273"/>
      <c r="P28" s="1273"/>
      <c r="Q28" s="1272" t="s">
        <v>437</v>
      </c>
      <c r="R28" s="1273"/>
      <c r="S28" s="519" t="s">
        <v>438</v>
      </c>
    </row>
    <row r="29" spans="1:22" ht="51" customHeight="1">
      <c r="A29" s="407"/>
      <c r="B29" s="366"/>
      <c r="C29" s="366"/>
      <c r="D29" s="366"/>
      <c r="E29" s="488" t="s">
        <v>441</v>
      </c>
      <c r="F29" s="522" t="s">
        <v>941</v>
      </c>
      <c r="G29" s="431" t="s">
        <v>955</v>
      </c>
      <c r="H29" s="431"/>
      <c r="I29" s="689"/>
      <c r="J29" s="689"/>
      <c r="K29" s="363"/>
      <c r="L29" s="363"/>
      <c r="M29" s="678"/>
      <c r="N29" s="1266"/>
      <c r="O29" s="1266"/>
      <c r="P29" s="1266"/>
      <c r="Q29" s="1265"/>
      <c r="R29" s="1266"/>
      <c r="S29" s="529"/>
    </row>
    <row r="30" spans="1:22" ht="34.5" customHeight="1">
      <c r="A30" s="507"/>
      <c r="B30" s="509"/>
      <c r="C30" s="349"/>
      <c r="D30" s="349"/>
      <c r="E30" s="500"/>
      <c r="F30" s="397"/>
      <c r="G30" s="523"/>
      <c r="H30" s="384"/>
      <c r="I30" s="354"/>
      <c r="J30" s="352"/>
      <c r="K30" s="349"/>
      <c r="L30" s="354"/>
      <c r="M30" s="398"/>
      <c r="N30" s="1270"/>
      <c r="O30" s="1270"/>
      <c r="P30" s="1270"/>
      <c r="Q30" s="356"/>
      <c r="R30" s="502"/>
      <c r="S30" s="403"/>
    </row>
    <row r="31" spans="1:22" ht="102" customHeight="1">
      <c r="A31" s="508" t="s">
        <v>956</v>
      </c>
      <c r="B31" s="509"/>
      <c r="C31" s="349" t="s">
        <v>957</v>
      </c>
      <c r="D31" s="349"/>
      <c r="E31" s="470" t="s">
        <v>499</v>
      </c>
      <c r="F31" s="398" t="s">
        <v>958</v>
      </c>
      <c r="G31" s="486" t="s">
        <v>501</v>
      </c>
      <c r="H31" s="386"/>
      <c r="I31" s="354" t="s">
        <v>959</v>
      </c>
      <c r="J31" s="385" t="s">
        <v>960</v>
      </c>
      <c r="K31" s="349"/>
      <c r="L31" s="354"/>
      <c r="M31" s="398" t="s">
        <v>943</v>
      </c>
      <c r="N31" s="1270" t="s">
        <v>495</v>
      </c>
      <c r="O31" s="1270"/>
      <c r="P31" s="1270" t="s">
        <v>480</v>
      </c>
      <c r="Q31" s="1269" t="s">
        <v>437</v>
      </c>
      <c r="R31" s="1270"/>
      <c r="S31" s="777" t="s">
        <v>480</v>
      </c>
    </row>
    <row r="32" spans="1:22" ht="81.75" customHeight="1">
      <c r="A32" s="508"/>
      <c r="B32" s="509"/>
      <c r="C32" s="349"/>
      <c r="D32" s="349"/>
      <c r="E32" s="470"/>
      <c r="F32" s="398"/>
      <c r="G32" s="486"/>
      <c r="H32" s="386"/>
      <c r="I32" s="354"/>
      <c r="J32" s="352"/>
      <c r="K32" s="349"/>
      <c r="L32" s="354"/>
      <c r="M32" s="704" t="s">
        <v>961</v>
      </c>
      <c r="N32" s="1294" t="s">
        <v>962</v>
      </c>
      <c r="O32" s="1295"/>
      <c r="P32" s="1296"/>
      <c r="Q32" s="1295" t="s">
        <v>963</v>
      </c>
      <c r="R32" s="1296"/>
      <c r="S32" s="881" t="s">
        <v>438</v>
      </c>
    </row>
    <row r="33" spans="1:19" ht="60.75" customHeight="1">
      <c r="A33" s="394" t="s">
        <v>964</v>
      </c>
      <c r="B33" s="394"/>
      <c r="C33" s="390" t="s">
        <v>965</v>
      </c>
      <c r="D33" s="390"/>
      <c r="E33" s="518" t="s">
        <v>369</v>
      </c>
      <c r="F33" s="518" t="s">
        <v>75</v>
      </c>
      <c r="G33" s="389" t="s">
        <v>966</v>
      </c>
      <c r="H33" s="395"/>
      <c r="I33" s="391"/>
      <c r="J33" s="392"/>
      <c r="K33" s="390"/>
      <c r="L33" s="539"/>
      <c r="M33" s="996" t="s">
        <v>967</v>
      </c>
      <c r="N33" s="1280" t="s">
        <v>436</v>
      </c>
      <c r="O33" s="1279"/>
      <c r="P33" s="1297"/>
      <c r="Q33" s="1279" t="s">
        <v>437</v>
      </c>
      <c r="R33" s="1279"/>
      <c r="S33" s="420" t="s">
        <v>438</v>
      </c>
    </row>
    <row r="34" spans="1:19" ht="41.25" customHeight="1">
      <c r="A34" s="537"/>
      <c r="B34" s="537"/>
      <c r="C34" s="538"/>
      <c r="D34" s="538"/>
      <c r="E34" s="388"/>
      <c r="F34" s="388"/>
      <c r="G34" s="364"/>
      <c r="H34" s="353"/>
      <c r="I34" s="393"/>
      <c r="J34" s="1278"/>
      <c r="K34" s="1278"/>
      <c r="L34" s="1278"/>
      <c r="M34" s="542"/>
      <c r="N34" s="1292"/>
      <c r="O34" s="1278"/>
      <c r="P34" s="1293"/>
      <c r="Q34" s="1278"/>
      <c r="R34" s="1278"/>
      <c r="S34" s="540"/>
    </row>
  </sheetData>
  <mergeCells count="27">
    <mergeCell ref="J34:L34"/>
    <mergeCell ref="N34:P34"/>
    <mergeCell ref="Q34:R34"/>
    <mergeCell ref="N30:P30"/>
    <mergeCell ref="N31:P31"/>
    <mergeCell ref="Q31:R31"/>
    <mergeCell ref="N32:P32"/>
    <mergeCell ref="N33:P33"/>
    <mergeCell ref="Q33:R33"/>
    <mergeCell ref="Q32:R32"/>
    <mergeCell ref="N27:P27"/>
    <mergeCell ref="Q27:R27"/>
    <mergeCell ref="N28:P28"/>
    <mergeCell ref="Q28:R28"/>
    <mergeCell ref="N29:P29"/>
    <mergeCell ref="Q29:R29"/>
    <mergeCell ref="N24:P24"/>
    <mergeCell ref="Q24:R24"/>
    <mergeCell ref="N25:P25"/>
    <mergeCell ref="Q25:R25"/>
    <mergeCell ref="N26:P26"/>
    <mergeCell ref="Q26:R26"/>
    <mergeCell ref="A1:T1"/>
    <mergeCell ref="B2:T2"/>
    <mergeCell ref="B3:T3"/>
    <mergeCell ref="A14:C14"/>
    <mergeCell ref="Q23:R23"/>
  </mergeCells>
  <conditionalFormatting sqref="N24:N27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FF692936-32C2-400B-B957-0BF87354EB92}"/>
  </dataValidations>
  <hyperlinks>
    <hyperlink ref="A1" location="'Objetos de Dominio'!A1" display="Volver al inicio" xr:uid="{A2F5DD87-3886-40BC-AC51-1076DF07B859}"/>
    <hyperlink ref="V4" location="'Objeto Dominio 2'!A17" display="'Objeto Dominio 2'!A17" xr:uid="{5FCE90BB-55B7-47AF-8A24-84AE9FCF8463}"/>
    <hyperlink ref="W4" location="'Objeto Dominio 2'!A18" display="'Objeto Dominio 2'!A18" xr:uid="{13CFB682-D9D3-4687-A63B-708F81841A02}"/>
    <hyperlink ref="X4" location="'Objeto Dominio 2'!A19" display="'Objeto Dominio 2'!A19" xr:uid="{8A17755F-76D8-494F-A0DE-13CE31B62D64}"/>
    <hyperlink ref="U4" location="'Objeto Dominio 2'!A16" display="'Objeto Dominio 2'!A16" xr:uid="{81CA2439-714F-4800-A766-AD27DF70A3A0}"/>
    <hyperlink ref="A1:T1" location="'Listado Objetos de Dominio'!A1" display="&lt;-Volver al inicio" xr:uid="{188D541A-19E7-468D-9FBB-3EB7B1DADFBF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77A3C15-5558-4462-AE17-3199DE77CC7D}">
          <x14:formula1>
            <xm:f>Caracterizacion!$B$4:$B$506</xm:f>
          </x14:formula1>
          <xm:sqref>C5:D10 E9:I10</xm:sqref>
        </x14:dataValidation>
        <x14:dataValidation type="list" allowBlank="1" showInputMessage="1" showErrorMessage="1" xr:uid="{E8991A12-E00D-4388-98D1-FE201CA1E83B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EDE2367E-933B-46C0-AE76-847AA8C6AE24}">
          <x14:formula1>
            <xm:f>Caracterizacion!$C$3:$C$18</xm:f>
          </x14:formula1>
          <xm:sqref>F6:G8 E5:E8</xm:sqref>
        </x14:dataValidation>
        <x14:dataValidation type="list" allowBlank="1" showInputMessage="1" showErrorMessage="1" xr:uid="{4607FF38-3B60-49D4-AEDD-73A50E904E27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500E23BF-6296-4704-BD63-817DC4080BF9}">
          <x14:formula1>
            <xm:f>Caracterizacion!$F$3</xm:f>
          </x14:formula1>
          <xm:sqref>J5</xm:sqref>
        </x14:dataValidation>
        <x14:dataValidation type="list" allowBlank="1" showInputMessage="1" showErrorMessage="1" xr:uid="{729E8C7A-8DBA-464F-A88B-646726D60409}">
          <x14:formula1>
            <xm:f>Caracterizacion!$A$3:$A$14</xm:f>
          </x14:formula1>
          <xm:sqref>B5</xm:sqref>
        </x14:dataValidation>
        <x14:dataValidation type="list" allowBlank="1" showInputMessage="1" showErrorMessage="1" xr:uid="{F8C59E40-1510-4BF8-BF7C-F9976446C1B4}">
          <x14:formula1>
            <xm:f>Caracterizacion!$A$3:$A$40</xm:f>
          </x14:formula1>
          <xm:sqref>B6:B9</xm:sqref>
        </x14:dataValidation>
        <x14:dataValidation type="list" allowBlank="1" showInputMessage="1" showErrorMessage="1" xr:uid="{FFEA370A-39D4-45AA-8F1C-021485860818}">
          <x14:formula1>
            <xm:f>Caracterizacion!$A$3:$A$51</xm:f>
          </x14:formula1>
          <xm:sqref>B10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2CC4-C91A-4525-B3AB-1BC4E51FA1EA}">
  <dimension ref="A2:I77"/>
  <sheetViews>
    <sheetView workbookViewId="0"/>
  </sheetViews>
  <sheetFormatPr defaultRowHeight="15"/>
  <cols>
    <col min="1" max="1" width="40.140625" bestFit="1" customWidth="1"/>
    <col min="2" max="2" width="63.140625" customWidth="1"/>
    <col min="3" max="3" width="32.5703125" customWidth="1"/>
    <col min="4" max="4" width="38.42578125" bestFit="1" customWidth="1"/>
    <col min="5" max="5" width="42.85546875" bestFit="1" customWidth="1"/>
    <col min="6" max="6" width="19.5703125" bestFit="1" customWidth="1"/>
    <col min="7" max="7" width="93.28515625" bestFit="1" customWidth="1"/>
    <col min="8" max="8" width="93.7109375" bestFit="1" customWidth="1"/>
    <col min="9" max="9" width="124.7109375" bestFit="1" customWidth="1"/>
  </cols>
  <sheetData>
    <row r="2" spans="1:9" ht="23.25">
      <c r="A2" s="807" t="s">
        <v>968</v>
      </c>
      <c r="B2" s="807" t="s">
        <v>969</v>
      </c>
      <c r="C2" s="807" t="s">
        <v>970</v>
      </c>
      <c r="D2" s="122"/>
      <c r="E2" s="122"/>
      <c r="F2" s="122"/>
      <c r="G2" s="122"/>
      <c r="H2" s="122"/>
      <c r="I2" s="122"/>
    </row>
    <row r="3" spans="1:9">
      <c r="A3" s="808" t="s">
        <v>369</v>
      </c>
      <c r="B3" s="808" t="s">
        <v>370</v>
      </c>
      <c r="C3" s="809" t="s">
        <v>371</v>
      </c>
      <c r="D3" s="117"/>
      <c r="E3" s="117"/>
      <c r="F3" s="117"/>
      <c r="G3" s="117"/>
      <c r="H3" s="209"/>
      <c r="I3" s="209"/>
    </row>
    <row r="4" spans="1:9">
      <c r="A4" s="810" t="s">
        <v>239</v>
      </c>
      <c r="B4" s="808" t="s">
        <v>971</v>
      </c>
      <c r="C4" s="811" t="s">
        <v>971</v>
      </c>
      <c r="D4" s="117"/>
      <c r="E4" s="117"/>
      <c r="F4" s="117"/>
      <c r="G4" s="117"/>
      <c r="H4" s="59"/>
      <c r="I4" s="59"/>
    </row>
    <row r="5" spans="1:9">
      <c r="A5" s="810" t="s">
        <v>241</v>
      </c>
      <c r="B5" s="808" t="s">
        <v>972</v>
      </c>
      <c r="C5" s="811" t="s">
        <v>972</v>
      </c>
      <c r="D5" s="117"/>
      <c r="E5" s="117"/>
      <c r="F5" s="117"/>
      <c r="G5" s="117"/>
      <c r="H5" s="59"/>
      <c r="I5" s="59"/>
    </row>
    <row r="6" spans="1:9">
      <c r="A6" s="810" t="s">
        <v>243</v>
      </c>
      <c r="B6" s="808" t="s">
        <v>973</v>
      </c>
      <c r="C6" s="811" t="s">
        <v>973</v>
      </c>
      <c r="D6" s="59"/>
      <c r="G6" s="59"/>
    </row>
    <row r="7" spans="1:9">
      <c r="A7" s="810" t="s">
        <v>245</v>
      </c>
      <c r="B7" s="808" t="s">
        <v>974</v>
      </c>
      <c r="C7" s="811" t="s">
        <v>974</v>
      </c>
      <c r="D7" s="59"/>
      <c r="G7" s="59"/>
    </row>
    <row r="8" spans="1:9">
      <c r="B8" s="59"/>
      <c r="C8" s="117"/>
      <c r="D8" s="59"/>
      <c r="G8" s="59"/>
    </row>
    <row r="9" spans="1:9">
      <c r="B9" s="59"/>
      <c r="C9" s="117"/>
      <c r="D9" s="59"/>
      <c r="G9" s="59"/>
    </row>
    <row r="10" spans="1:9">
      <c r="B10" s="59"/>
      <c r="C10" s="117"/>
      <c r="D10" s="59"/>
    </row>
    <row r="11" spans="1:9">
      <c r="B11" s="59"/>
      <c r="C11" s="117"/>
      <c r="D11" s="59"/>
    </row>
    <row r="12" spans="1:9">
      <c r="B12" s="59"/>
      <c r="C12" s="117"/>
      <c r="D12" s="59"/>
    </row>
    <row r="13" spans="1:9">
      <c r="B13" s="59"/>
      <c r="C13" s="117"/>
      <c r="D13" s="59"/>
    </row>
    <row r="14" spans="1:9">
      <c r="B14" s="59"/>
      <c r="C14" s="117"/>
      <c r="D14" s="59"/>
    </row>
    <row r="15" spans="1:9">
      <c r="B15" s="59"/>
      <c r="C15" s="117"/>
      <c r="D15" s="59"/>
    </row>
    <row r="16" spans="1:9">
      <c r="B16" s="59"/>
      <c r="C16" s="117"/>
      <c r="D16" s="59"/>
    </row>
    <row r="17" spans="2:4">
      <c r="B17" s="59"/>
      <c r="C17" s="117"/>
      <c r="D17" s="59"/>
    </row>
    <row r="18" spans="2:4">
      <c r="B18" s="59"/>
      <c r="C18" s="117"/>
      <c r="D18" s="59"/>
    </row>
    <row r="19" spans="2:4">
      <c r="B19" s="59"/>
      <c r="C19" s="117"/>
      <c r="D19" s="59"/>
    </row>
    <row r="20" spans="2:4">
      <c r="B20" s="59"/>
      <c r="C20" s="117"/>
      <c r="D20" s="59"/>
    </row>
    <row r="21" spans="2:4">
      <c r="B21" s="59"/>
      <c r="C21" s="117"/>
      <c r="D21" s="59"/>
    </row>
    <row r="22" spans="2:4">
      <c r="B22" s="59"/>
      <c r="C22" s="117"/>
      <c r="D22" s="59"/>
    </row>
    <row r="23" spans="2:4">
      <c r="B23" s="59"/>
      <c r="C23" s="117"/>
      <c r="D23" s="59"/>
    </row>
    <row r="24" spans="2:4">
      <c r="B24" s="59"/>
      <c r="C24" s="117"/>
      <c r="D24" s="59"/>
    </row>
    <row r="25" spans="2:4">
      <c r="B25" s="59"/>
      <c r="C25" s="117"/>
      <c r="D25" s="59"/>
    </row>
    <row r="26" spans="2:4">
      <c r="B26" s="59"/>
      <c r="C26" s="117"/>
      <c r="D26" s="59"/>
    </row>
    <row r="27" spans="2:4">
      <c r="B27" s="59"/>
      <c r="C27" s="117"/>
      <c r="D27" s="59"/>
    </row>
    <row r="28" spans="2:4">
      <c r="B28" s="59"/>
      <c r="C28" s="117"/>
      <c r="D28" s="59"/>
    </row>
    <row r="29" spans="2:4">
      <c r="B29" s="59"/>
      <c r="C29" s="117"/>
      <c r="D29" s="59"/>
    </row>
    <row r="30" spans="2:4">
      <c r="B30" s="59"/>
      <c r="C30" s="117"/>
      <c r="D30" s="59"/>
    </row>
    <row r="31" spans="2:4">
      <c r="B31" s="59"/>
      <c r="C31" s="117"/>
      <c r="D31" s="59"/>
    </row>
    <row r="32" spans="2:4">
      <c r="B32" s="59"/>
      <c r="C32" s="117"/>
      <c r="D32" s="59"/>
    </row>
    <row r="33" spans="1:4">
      <c r="B33" s="59"/>
      <c r="C33" s="117"/>
      <c r="D33" s="59"/>
    </row>
    <row r="34" spans="1:4">
      <c r="B34" s="59"/>
      <c r="C34" s="117"/>
      <c r="D34" s="59"/>
    </row>
    <row r="35" spans="1:4">
      <c r="B35" s="59"/>
      <c r="C35" s="118"/>
      <c r="D35" s="59"/>
    </row>
    <row r="36" spans="1:4">
      <c r="A36" s="73"/>
      <c r="B36" s="59"/>
      <c r="C36" s="118"/>
      <c r="D36" s="59"/>
    </row>
    <row r="37" spans="1:4">
      <c r="B37" s="59"/>
      <c r="C37" s="117"/>
      <c r="D37" s="59"/>
    </row>
    <row r="38" spans="1:4">
      <c r="B38" s="59"/>
      <c r="C38" s="117"/>
      <c r="D38" s="59"/>
    </row>
    <row r="39" spans="1:4">
      <c r="B39" s="59"/>
      <c r="C39" s="117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8"/>
      <c r="D51" s="59"/>
    </row>
    <row r="52" spans="2:4">
      <c r="B52" s="59"/>
      <c r="C52" s="118"/>
      <c r="D52" s="59"/>
    </row>
    <row r="53" spans="2:4">
      <c r="B53" s="59"/>
      <c r="C53" s="117"/>
      <c r="D53" s="59"/>
    </row>
    <row r="54" spans="2:4">
      <c r="B54" s="59"/>
      <c r="C54" s="117"/>
      <c r="D54" s="59"/>
    </row>
    <row r="55" spans="2:4">
      <c r="B55" s="59"/>
      <c r="C55" s="117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8"/>
      <c r="D60" s="59"/>
    </row>
    <row r="61" spans="2:4">
      <c r="B61" s="59"/>
      <c r="C61" s="118"/>
      <c r="D61" s="59"/>
    </row>
    <row r="62" spans="2:4">
      <c r="B62" s="59"/>
      <c r="C62" s="118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7"/>
      <c r="D69" s="59"/>
    </row>
    <row r="70" spans="2:4">
      <c r="B70" s="59"/>
      <c r="C70" s="117"/>
      <c r="D70" s="59"/>
    </row>
    <row r="71" spans="2:4">
      <c r="B71" s="59"/>
      <c r="C71" s="117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225B-A156-4CC0-8BB4-68C533A1D8BA}">
  <sheetPr>
    <tabColor rgb="FFFF0000"/>
  </sheetPr>
  <dimension ref="A1:U25"/>
  <sheetViews>
    <sheetView zoomScale="85" zoomScaleNormal="85" workbookViewId="0">
      <pane xSplit="1" topLeftCell="L1" activePane="topRight" state="frozen"/>
      <selection pane="topRight" activeCell="H5" sqref="H5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0.140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43.28515625" style="1" customWidth="1"/>
    <col min="22" max="22" width="52.28515625" style="1" bestFit="1" customWidth="1"/>
    <col min="23" max="16384" width="11.42578125" style="1"/>
  </cols>
  <sheetData>
    <row r="1" spans="1:21">
      <c r="A1" s="1185"/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Dominio'!$A$13</f>
        <v>Estado Servicio Realizado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189" t="s">
        <v>392</v>
      </c>
      <c r="B3" s="1210" t="str">
        <f>'Listado Objetos de Dominio'!$B$13</f>
        <v>Objeto de dominio que representa el estado actual de un servicio en proceso o finalizado.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1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819" t="s">
        <v>2</v>
      </c>
      <c r="U4" s="816" t="str">
        <f>A23</f>
        <v>Consultar Información del Estado del Servicio Realizado</v>
      </c>
    </row>
    <row r="5" spans="1:21">
      <c r="A5" s="184" t="str">
        <f>'Estad servicio Realiz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706" t="str">
        <f>'Estad servicio Realiz Muestreo '!A2</f>
        <v>Corresponde al identificador único que identifica cada estado posible de un servicio realizado en el sistema</v>
      </c>
      <c r="U5" s="817" t="s">
        <v>467</v>
      </c>
    </row>
    <row r="6" spans="1:21" ht="20.25" customHeight="1">
      <c r="A6" s="216" t="str">
        <f>'Estad servicio Realiz Muestreo '!B3</f>
        <v>nombre</v>
      </c>
      <c r="B6" s="216" t="s">
        <v>75</v>
      </c>
      <c r="C6" s="216">
        <v>1</v>
      </c>
      <c r="D6" s="216">
        <v>15</v>
      </c>
      <c r="E6" s="216"/>
      <c r="F6" s="216"/>
      <c r="G6" s="216"/>
      <c r="H6" s="216" t="s">
        <v>410</v>
      </c>
      <c r="I6" s="5" t="s">
        <v>411</v>
      </c>
      <c r="J6" s="216"/>
      <c r="K6" s="217"/>
      <c r="L6" s="218" t="s">
        <v>78</v>
      </c>
      <c r="M6" s="218" t="s">
        <v>78</v>
      </c>
      <c r="N6" s="218" t="s">
        <v>81</v>
      </c>
      <c r="O6" s="218" t="s">
        <v>81</v>
      </c>
      <c r="P6" s="218" t="s">
        <v>78</v>
      </c>
      <c r="Q6" s="218" t="s">
        <v>81</v>
      </c>
      <c r="R6" s="218" t="s">
        <v>81</v>
      </c>
      <c r="S6" s="218" t="s">
        <v>81</v>
      </c>
      <c r="T6" s="791" t="str">
        <f>'Estad servicio Realiz Muestreo '!B2</f>
        <v>Corresponde al atributo que indica el nombre del estado que puede tener un servicio realizado</v>
      </c>
      <c r="U6" s="818" t="s">
        <v>467</v>
      </c>
    </row>
    <row r="7" spans="1:21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9"/>
      <c r="L7" s="180"/>
      <c r="M7" s="180"/>
      <c r="N7" s="180"/>
      <c r="O7" s="180"/>
      <c r="P7" s="180"/>
      <c r="Q7" s="180"/>
      <c r="R7" s="180"/>
      <c r="S7" s="180"/>
      <c r="T7" s="179"/>
      <c r="U7" s="178"/>
    </row>
    <row r="8" spans="1:21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9"/>
      <c r="L8" s="180"/>
      <c r="M8" s="180"/>
      <c r="N8" s="180"/>
      <c r="O8" s="180"/>
      <c r="P8" s="180"/>
      <c r="Q8" s="180"/>
      <c r="R8" s="180"/>
      <c r="S8" s="180"/>
      <c r="T8" s="179"/>
      <c r="U8" s="178"/>
    </row>
    <row r="9" spans="1:21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9"/>
      <c r="L9" s="180"/>
      <c r="M9" s="180"/>
      <c r="N9" s="180"/>
      <c r="O9" s="180"/>
      <c r="P9" s="180"/>
      <c r="Q9" s="180"/>
      <c r="R9" s="180"/>
      <c r="S9" s="180"/>
      <c r="T9" s="179"/>
      <c r="U9" s="178"/>
    </row>
    <row r="10" spans="1:21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9"/>
      <c r="L10" s="180"/>
      <c r="M10" s="180"/>
      <c r="N10" s="180"/>
      <c r="O10" s="180"/>
      <c r="P10" s="180"/>
      <c r="Q10" s="180"/>
      <c r="R10" s="180"/>
      <c r="S10" s="180"/>
      <c r="T10" s="179"/>
      <c r="U10" s="178"/>
    </row>
    <row r="11" spans="1:21" ht="15" customHeight="1"/>
    <row r="12" spans="1:21" ht="35.25" customHeight="1">
      <c r="A12" s="1211" t="s">
        <v>414</v>
      </c>
      <c r="B12" s="1212"/>
      <c r="C12" s="1213"/>
      <c r="G12" s="1" t="s">
        <v>418</v>
      </c>
    </row>
    <row r="13" spans="1:21">
      <c r="A13" s="193" t="s">
        <v>415</v>
      </c>
      <c r="B13" s="193" t="s">
        <v>2</v>
      </c>
      <c r="C13" s="126" t="s">
        <v>416</v>
      </c>
    </row>
    <row r="14" spans="1:21" ht="40.5" customHeight="1">
      <c r="A14" s="1214" t="s">
        <v>975</v>
      </c>
      <c r="B14" s="1214" t="str">
        <f>'Estad servicio Realiz Muestreo '!C2</f>
        <v>El estado del servicio realizado no debe tener duplicidad en el nombre del estado</v>
      </c>
      <c r="C14" s="1252" t="str">
        <f>A6</f>
        <v>nombre</v>
      </c>
    </row>
    <row r="15" spans="1:21" ht="36" customHeight="1">
      <c r="A15" s="1215"/>
      <c r="B15" s="1215"/>
      <c r="C15" s="1298"/>
    </row>
    <row r="21" spans="1:21">
      <c r="A21" s="358" t="s">
        <v>419</v>
      </c>
      <c r="B21" s="317"/>
      <c r="C21" s="317" t="s">
        <v>2</v>
      </c>
      <c r="D21" s="317"/>
      <c r="E21" s="318"/>
      <c r="F21" s="319"/>
      <c r="G21" s="317" t="s">
        <v>420</v>
      </c>
      <c r="H21" s="333"/>
      <c r="I21" s="319"/>
      <c r="J21" s="319" t="s">
        <v>421</v>
      </c>
      <c r="K21" s="319"/>
      <c r="L21" s="319"/>
      <c r="M21" s="318"/>
      <c r="N21" s="319" t="s">
        <v>422</v>
      </c>
      <c r="O21" s="319"/>
      <c r="P21" s="319"/>
      <c r="Q21" s="318"/>
      <c r="R21" s="319" t="s">
        <v>474</v>
      </c>
      <c r="S21" s="358"/>
      <c r="T21" s="290"/>
      <c r="U21" s="290"/>
    </row>
    <row r="22" spans="1:21">
      <c r="A22" s="300"/>
      <c r="B22" s="346"/>
      <c r="C22" s="346"/>
      <c r="D22" s="340"/>
      <c r="E22" s="341" t="s">
        <v>423</v>
      </c>
      <c r="F22" s="337" t="s">
        <v>424</v>
      </c>
      <c r="G22" s="316"/>
      <c r="H22" s="333" t="s">
        <v>2</v>
      </c>
      <c r="I22" s="346" t="s">
        <v>66</v>
      </c>
      <c r="J22" s="339"/>
      <c r="K22" s="346" t="s">
        <v>2</v>
      </c>
      <c r="L22" s="340"/>
      <c r="M22" s="337" t="s">
        <v>425</v>
      </c>
      <c r="N22" s="339"/>
      <c r="O22" s="346" t="s">
        <v>2</v>
      </c>
      <c r="P22" s="346"/>
      <c r="Q22" s="1244" t="s">
        <v>426</v>
      </c>
      <c r="R22" s="1206"/>
      <c r="S22" s="358" t="s">
        <v>427</v>
      </c>
      <c r="T22" s="290"/>
      <c r="U22" s="290"/>
    </row>
    <row r="23" spans="1:21" ht="73.5" customHeight="1">
      <c r="A23" s="660" t="s">
        <v>976</v>
      </c>
      <c r="B23" s="593"/>
      <c r="C23" s="594" t="s">
        <v>940</v>
      </c>
      <c r="D23" s="594"/>
      <c r="E23" s="344" t="s">
        <v>441</v>
      </c>
      <c r="F23" s="680" t="s">
        <v>131</v>
      </c>
      <c r="G23" s="683" t="s">
        <v>501</v>
      </c>
      <c r="H23" s="595"/>
      <c r="I23" s="595" t="s">
        <v>977</v>
      </c>
      <c r="J23" s="683" t="s">
        <v>978</v>
      </c>
      <c r="K23" s="594"/>
      <c r="L23" s="812"/>
      <c r="M23" s="779" t="s">
        <v>979</v>
      </c>
      <c r="N23" s="1218" t="s">
        <v>436</v>
      </c>
      <c r="O23" s="1219"/>
      <c r="P23" s="1219"/>
      <c r="Q23" s="1218" t="s">
        <v>980</v>
      </c>
      <c r="R23" s="1220"/>
      <c r="S23" s="783" t="s">
        <v>480</v>
      </c>
    </row>
    <row r="24" spans="1:21" ht="24.75" customHeight="1">
      <c r="A24" s="670"/>
      <c r="B24" s="813"/>
      <c r="C24" s="639"/>
      <c r="D24" s="639"/>
      <c r="E24" s="638"/>
      <c r="F24" s="682"/>
      <c r="G24" s="640"/>
      <c r="H24" s="814"/>
      <c r="I24" s="814"/>
      <c r="J24" s="639"/>
      <c r="K24" s="639"/>
      <c r="L24" s="815"/>
      <c r="M24" s="784"/>
      <c r="N24" s="1225"/>
      <c r="O24" s="1226"/>
      <c r="P24" s="1226"/>
      <c r="Q24" s="1225"/>
      <c r="R24" s="1227"/>
      <c r="S24" s="785"/>
      <c r="T24" s="291"/>
      <c r="U24" s="291"/>
    </row>
    <row r="25" spans="1:21" ht="19.5" hidden="1" customHeight="1">
      <c r="A25" s="670"/>
      <c r="B25" s="813"/>
      <c r="C25" s="639"/>
      <c r="D25" s="639"/>
      <c r="E25" s="638"/>
      <c r="F25" s="682"/>
      <c r="G25" s="640"/>
      <c r="H25" s="814"/>
      <c r="I25" s="814"/>
      <c r="J25" s="639"/>
      <c r="K25" s="639"/>
      <c r="L25" s="815"/>
      <c r="M25" s="784"/>
      <c r="N25" s="1225"/>
      <c r="O25" s="1226"/>
      <c r="P25" s="1226"/>
      <c r="Q25" s="1225"/>
      <c r="R25" s="1227"/>
      <c r="S25" s="785"/>
      <c r="T25" s="291"/>
      <c r="U25" s="291"/>
    </row>
  </sheetData>
  <mergeCells count="14">
    <mergeCell ref="N23:P23"/>
    <mergeCell ref="Q23:R23"/>
    <mergeCell ref="N25:P25"/>
    <mergeCell ref="Q25:R25"/>
    <mergeCell ref="Q22:R22"/>
    <mergeCell ref="N24:P24"/>
    <mergeCell ref="Q24:R24"/>
    <mergeCell ref="A1:T1"/>
    <mergeCell ref="B2:T2"/>
    <mergeCell ref="B3:T3"/>
    <mergeCell ref="A12:C12"/>
    <mergeCell ref="A14:A15"/>
    <mergeCell ref="B14:B15"/>
    <mergeCell ref="C14:C15"/>
  </mergeCells>
  <conditionalFormatting sqref="N23:N25">
    <cfRule type="colorScale" priority="6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6E4F56EC-D83A-4C80-839A-E2A7A6528BB7}"/>
  </dataValidations>
  <hyperlinks>
    <hyperlink ref="U4" location="'Objeto Dominio 2'!A16" display="'Objeto Dominio 2'!A16" xr:uid="{57B10654-36E1-4719-8F95-DC8928992C2D}"/>
    <hyperlink ref="C14" location="'Dia Caracterización'!A6" display="=A6" xr:uid="{D5A7E1E0-0A58-4E0E-90E8-F677DE65425B}"/>
    <hyperlink ref="C14" location="'Calificación Caracterización'!A6" display="=A6" xr:uid="{8FD96DE4-DEDB-4064-9D3B-DCD7F3837B9D}"/>
    <hyperlink ref="C14:C15" location="'Estad servicio RealCaracterizac'!A6" display="=A6" xr:uid="{60343771-683C-489D-905B-A4ABFDCA8655}"/>
    <hyperlink ref="B2:T2" location="'Listado Objetos de Dominio'!A12" display="='Listado Objetos de Dominio'!$A$12" xr:uid="{173C9B34-C6EE-422F-815F-0BEC39EE4C51}"/>
    <hyperlink ref="A23:B23" location="'Objeto Dominio 2'!Q4" display="Reponsabilidad 1" xr:uid="{2ADC15E4-44D2-4AA7-B602-04C9B9EC94F9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11D2C72-100B-4F0F-ABB1-B3A255350963}">
          <x14:formula1>
            <xm:f>Caracterizacion!$A$3:$A$42</xm:f>
          </x14:formula1>
          <xm:sqref>B9</xm:sqref>
        </x14:dataValidation>
        <x14:dataValidation type="list" allowBlank="1" showInputMessage="1" showErrorMessage="1" xr:uid="{E5E5DA9F-52F8-48E1-8AAE-BBF5377E6581}">
          <x14:formula1>
            <xm:f>Caracterizacion!$H$3:$H$4</xm:f>
          </x14:formula1>
          <xm:sqref>L5:S10</xm:sqref>
        </x14:dataValidation>
        <x14:dataValidation type="custom" allowBlank="1" showInputMessage="1" showErrorMessage="1" xr:uid="{7F1DB3BF-87F5-44FB-8556-502FC03C3332}">
          <x14:formula1>
            <xm:f>Caracterizacion!$F$3</xm:f>
          </x14:formula1>
          <xm:sqref>J5</xm:sqref>
        </x14:dataValidation>
        <x14:dataValidation type="list" allowBlank="1" showInputMessage="1" showErrorMessage="1" xr:uid="{7B17D66D-019D-493D-89E1-B6CD45F69FFD}">
          <x14:formula1>
            <xm:f>Caracterizacion!$A$3:$A$14</xm:f>
          </x14:formula1>
          <xm:sqref>B5</xm:sqref>
        </x14:dataValidation>
        <x14:dataValidation type="list" allowBlank="1" showInputMessage="1" showErrorMessage="1" xr:uid="{DDC9C190-9E7A-4BDF-968C-1F59A843A46B}">
          <x14:formula1>
            <xm:f>Caracterizacion!$A$3:$A$40</xm:f>
          </x14:formula1>
          <xm:sqref>B6:B8 B10</xm:sqref>
        </x14:dataValidation>
        <x14:dataValidation type="list" allowBlank="1" showInputMessage="1" showErrorMessage="1" xr:uid="{2081CC10-9C2F-4626-9512-3DE7766AC99A}">
          <x14:formula1>
            <xm:f>Caracterizacion!$C$3:$C$18</xm:f>
          </x14:formula1>
          <xm:sqref>E5:E10</xm:sqref>
        </x14:dataValidation>
        <x14:dataValidation type="list" allowBlank="1" showInputMessage="1" showErrorMessage="1" xr:uid="{06C48ADC-2039-41CC-942C-664692E73A25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5BE0EBCC-D0F0-4A9B-84BE-10892AAE86E1}">
          <x14:formula1>
            <xm:f>Caracterizacion!$B$3:$B$515</xm:f>
          </x14:formula1>
          <xm:sqref>F5:G10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BD2-771B-4A10-9990-CD8CA4211A20}">
  <dimension ref="A2:H77"/>
  <sheetViews>
    <sheetView workbookViewId="0">
      <selection activeCell="B3" sqref="B3"/>
    </sheetView>
  </sheetViews>
  <sheetFormatPr defaultRowHeight="15"/>
  <cols>
    <col min="1" max="1" width="40.140625" bestFit="1" customWidth="1"/>
    <col min="2" max="2" width="34.85546875" customWidth="1"/>
    <col min="3" max="3" width="32.5703125" customWidth="1"/>
    <col min="4" max="4" width="38.42578125" bestFit="1" customWidth="1"/>
    <col min="5" max="5" width="19.5703125" bestFit="1" customWidth="1"/>
    <col min="6" max="6" width="93.28515625" bestFit="1" customWidth="1"/>
    <col min="7" max="7" width="93.7109375" bestFit="1" customWidth="1"/>
    <col min="8" max="8" width="124.7109375" bestFit="1" customWidth="1"/>
  </cols>
  <sheetData>
    <row r="2" spans="1:8" ht="34.5">
      <c r="A2" s="125" t="s">
        <v>981</v>
      </c>
      <c r="B2" s="125" t="s">
        <v>982</v>
      </c>
      <c r="C2" s="125" t="s">
        <v>983</v>
      </c>
      <c r="D2" s="125" t="s">
        <v>984</v>
      </c>
      <c r="E2" s="122"/>
      <c r="F2" s="122"/>
      <c r="G2" s="122"/>
      <c r="H2" s="122"/>
    </row>
    <row r="3" spans="1:8">
      <c r="A3" s="56" t="s">
        <v>369</v>
      </c>
      <c r="B3" s="277" t="s">
        <v>985</v>
      </c>
      <c r="C3" s="277" t="s">
        <v>149</v>
      </c>
      <c r="D3" s="134" t="s">
        <v>509</v>
      </c>
      <c r="E3" s="117"/>
      <c r="F3" s="117"/>
      <c r="G3" s="209"/>
      <c r="H3" s="209"/>
    </row>
    <row r="4" spans="1:8">
      <c r="A4" s="200" t="s">
        <v>255</v>
      </c>
      <c r="B4" s="277" t="s">
        <v>986</v>
      </c>
      <c r="C4" s="277" t="s">
        <v>927</v>
      </c>
      <c r="D4" s="134" t="str">
        <f>B4 &amp; " - "&amp;C4</f>
        <v>Frontal  - MRC35E</v>
      </c>
      <c r="E4" s="117"/>
      <c r="F4" s="117"/>
      <c r="G4" s="59"/>
      <c r="H4" s="59"/>
    </row>
    <row r="5" spans="1:8">
      <c r="A5" s="200" t="s">
        <v>257</v>
      </c>
      <c r="B5" s="277" t="s">
        <v>987</v>
      </c>
      <c r="C5" s="277" t="s">
        <v>927</v>
      </c>
      <c r="D5" s="134" t="str">
        <f t="shared" ref="D5:D9" si="0">B5 &amp; " - "&amp;C5</f>
        <v>Lateral  - MRC35E</v>
      </c>
      <c r="E5" s="117"/>
      <c r="F5" s="117"/>
      <c r="G5" s="59"/>
      <c r="H5" s="59"/>
    </row>
    <row r="6" spans="1:8">
      <c r="A6" s="200" t="s">
        <v>259</v>
      </c>
      <c r="B6" s="277" t="s">
        <v>988</v>
      </c>
      <c r="C6" s="277" t="s">
        <v>927</v>
      </c>
      <c r="D6" s="134" t="str">
        <f t="shared" si="0"/>
        <v>Trasera  - MRC35E</v>
      </c>
      <c r="F6" s="59"/>
    </row>
    <row r="7" spans="1:8">
      <c r="A7" s="200" t="s">
        <v>261</v>
      </c>
      <c r="B7" s="277" t="s">
        <v>986</v>
      </c>
      <c r="C7" s="277" t="s">
        <v>989</v>
      </c>
      <c r="D7" s="134" t="str">
        <f t="shared" si="0"/>
        <v>Frontal  - AXA66N</v>
      </c>
      <c r="F7" s="59"/>
    </row>
    <row r="8" spans="1:8">
      <c r="A8" s="200" t="s">
        <v>263</v>
      </c>
      <c r="B8" s="277" t="s">
        <v>987</v>
      </c>
      <c r="C8" s="277" t="s">
        <v>989</v>
      </c>
      <c r="D8" s="134" t="str">
        <f t="shared" si="0"/>
        <v>Lateral  - AXA66N</v>
      </c>
      <c r="F8" s="59"/>
    </row>
    <row r="9" spans="1:8">
      <c r="A9" s="200" t="s">
        <v>265</v>
      </c>
      <c r="B9" s="277" t="s">
        <v>988</v>
      </c>
      <c r="C9" s="277" t="s">
        <v>989</v>
      </c>
      <c r="D9" s="134" t="str">
        <f t="shared" si="0"/>
        <v>Trasera  - AXA66N</v>
      </c>
      <c r="F9" s="59"/>
    </row>
    <row r="10" spans="1:8">
      <c r="B10" s="59"/>
      <c r="C10" s="117"/>
      <c r="D10" s="59"/>
    </row>
    <row r="11" spans="1:8">
      <c r="B11" s="59"/>
      <c r="C11" s="117"/>
      <c r="D11" s="59"/>
    </row>
    <row r="12" spans="1:8">
      <c r="B12" s="59"/>
      <c r="C12" s="117"/>
      <c r="D12" s="59"/>
    </row>
    <row r="13" spans="1:8">
      <c r="B13" s="59"/>
      <c r="C13" s="117"/>
      <c r="D13" s="59"/>
    </row>
    <row r="14" spans="1:8">
      <c r="B14" s="59"/>
      <c r="C14" s="117"/>
      <c r="D14" s="59"/>
    </row>
    <row r="15" spans="1:8">
      <c r="B15" s="59"/>
      <c r="C15" s="117"/>
      <c r="D15" s="59"/>
    </row>
    <row r="16" spans="1:8">
      <c r="B16" s="59"/>
      <c r="C16" s="117"/>
      <c r="D16" s="59"/>
    </row>
    <row r="17" spans="2:4">
      <c r="B17" s="59"/>
      <c r="C17" s="117"/>
      <c r="D17" s="59"/>
    </row>
    <row r="18" spans="2:4">
      <c r="B18" s="59"/>
      <c r="C18" s="117"/>
      <c r="D18" s="59"/>
    </row>
    <row r="19" spans="2:4">
      <c r="B19" s="59"/>
      <c r="C19" s="117"/>
      <c r="D19" s="59"/>
    </row>
    <row r="20" spans="2:4">
      <c r="B20" s="59"/>
      <c r="C20" s="117"/>
      <c r="D20" s="59"/>
    </row>
    <row r="21" spans="2:4">
      <c r="B21" s="59"/>
      <c r="C21" s="117"/>
      <c r="D21" s="59"/>
    </row>
    <row r="22" spans="2:4">
      <c r="B22" s="59"/>
      <c r="C22" s="117"/>
      <c r="D22" s="59"/>
    </row>
    <row r="23" spans="2:4">
      <c r="B23" s="59"/>
      <c r="C23" s="117"/>
      <c r="D23" s="59"/>
    </row>
    <row r="24" spans="2:4">
      <c r="B24" s="59"/>
      <c r="C24" s="117"/>
      <c r="D24" s="59"/>
    </row>
    <row r="25" spans="2:4">
      <c r="B25" s="59"/>
      <c r="C25" s="117"/>
      <c r="D25" s="59"/>
    </row>
    <row r="26" spans="2:4">
      <c r="B26" s="59"/>
      <c r="C26" s="117"/>
      <c r="D26" s="59"/>
    </row>
    <row r="27" spans="2:4">
      <c r="B27" s="59"/>
      <c r="C27" s="117"/>
      <c r="D27" s="59"/>
    </row>
    <row r="28" spans="2:4">
      <c r="B28" s="59"/>
      <c r="C28" s="117"/>
      <c r="D28" s="59"/>
    </row>
    <row r="29" spans="2:4">
      <c r="B29" s="59"/>
      <c r="C29" s="117"/>
      <c r="D29" s="59"/>
    </row>
    <row r="30" spans="2:4">
      <c r="B30" s="59"/>
      <c r="C30" s="117"/>
      <c r="D30" s="59"/>
    </row>
    <row r="31" spans="2:4">
      <c r="B31" s="59"/>
      <c r="C31" s="117"/>
      <c r="D31" s="59"/>
    </row>
    <row r="32" spans="2:4">
      <c r="B32" s="59"/>
      <c r="C32" s="117"/>
      <c r="D32" s="59"/>
    </row>
    <row r="33" spans="1:4">
      <c r="B33" s="59"/>
      <c r="C33" s="117"/>
      <c r="D33" s="59"/>
    </row>
    <row r="34" spans="1:4">
      <c r="B34" s="59"/>
      <c r="C34" s="117"/>
      <c r="D34" s="59"/>
    </row>
    <row r="35" spans="1:4">
      <c r="B35" s="59"/>
      <c r="C35" s="118"/>
      <c r="D35" s="59"/>
    </row>
    <row r="36" spans="1:4">
      <c r="A36" s="73"/>
      <c r="B36" s="59"/>
      <c r="C36" s="118"/>
      <c r="D36" s="59"/>
    </row>
    <row r="37" spans="1:4">
      <c r="B37" s="59"/>
      <c r="C37" s="117"/>
      <c r="D37" s="59"/>
    </row>
    <row r="38" spans="1:4">
      <c r="B38" s="59"/>
      <c r="C38" s="117"/>
      <c r="D38" s="59"/>
    </row>
    <row r="39" spans="1:4">
      <c r="B39" s="59"/>
      <c r="C39" s="117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8"/>
      <c r="D51" s="59"/>
    </row>
    <row r="52" spans="2:4">
      <c r="B52" s="59"/>
      <c r="C52" s="118"/>
      <c r="D52" s="59"/>
    </row>
    <row r="53" spans="2:4">
      <c r="B53" s="59"/>
      <c r="C53" s="117"/>
      <c r="D53" s="59"/>
    </row>
    <row r="54" spans="2:4">
      <c r="B54" s="59"/>
      <c r="C54" s="117"/>
      <c r="D54" s="59"/>
    </row>
    <row r="55" spans="2:4">
      <c r="B55" s="59"/>
      <c r="C55" s="117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8"/>
      <c r="D60" s="59"/>
    </row>
    <row r="61" spans="2:4">
      <c r="B61" s="59"/>
      <c r="C61" s="118"/>
      <c r="D61" s="59"/>
    </row>
    <row r="62" spans="2:4">
      <c r="B62" s="59"/>
      <c r="C62" s="118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7"/>
      <c r="D69" s="59"/>
    </row>
    <row r="70" spans="2:4">
      <c r="B70" s="59"/>
      <c r="C70" s="117"/>
      <c r="D70" s="59"/>
    </row>
    <row r="71" spans="2:4">
      <c r="B71" s="59"/>
      <c r="C71" s="117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</sheetData>
  <hyperlinks>
    <hyperlink ref="B3" location="Imagen!A2" display="Imagen" xr:uid="{6FABDEC5-56F3-4712-BF9A-BA0DB6F1459F}"/>
    <hyperlink ref="C3" location="Motocicleta!A2" display="motocicleta" xr:uid="{D386D51A-8DEE-4635-BB19-05E9A7852FB0}"/>
    <hyperlink ref="B4" location="Imagen!C3" display="Frontal - urlImagen1" xr:uid="{168278AA-B9CC-4516-AB9E-61C8A3CDFD3A}"/>
    <hyperlink ref="C4" location="Motocicleta!K3" display="MRC35E" xr:uid="{9BD69327-A0E7-475C-8A6C-309AC4C413EE}"/>
    <hyperlink ref="B5" location="Imagen!C4" display="Lateral - urlImagen2" xr:uid="{46CC3421-27E3-4B40-B05F-1CE2B757B44D}"/>
    <hyperlink ref="C5" location="Motocicleta!K3" display="MRC35E" xr:uid="{6FD193A2-2980-4693-9692-6CA22E94D81A}"/>
    <hyperlink ref="C6" location="Motocicleta!K3" display="MRC35E" xr:uid="{4E65C123-8C38-4E9B-A9BD-6A55D5A12468}"/>
    <hyperlink ref="B7" location="Imagen!C3" display="Frontal - urlImagen1" xr:uid="{FC07CBBB-57C8-477A-96E4-F2EECFD18CF1}"/>
    <hyperlink ref="C7" location="Motocicleta!F10" display="AXA66N" xr:uid="{A48B3C9E-1D0D-4B31-A800-AA4A82CE2C09}"/>
    <hyperlink ref="B8" location="Imagen!C4" display="Lateral - urlImagen2" xr:uid="{C592580D-632C-4021-856D-A5E4E8BD3BD2}"/>
    <hyperlink ref="C8" location="Motocicleta!F10" display="AXA66N" xr:uid="{C7549265-09F9-464A-B54E-71C4CD31C497}"/>
    <hyperlink ref="B9" location="Imagen!C5" display="Trasera - urlImagen3" xr:uid="{4F2B3EE3-9C43-4B7E-8C72-13FF1830F7E6}"/>
    <hyperlink ref="C9" location="Motocicleta!F10" display="AXA66N" xr:uid="{C289A139-C497-4728-8BD6-AFBA3BCF1282}"/>
    <hyperlink ref="B6" location="Imagen!C5" display="Trasera - urlImagen3" xr:uid="{61F121FA-4F13-4BC8-9F74-F2D6A1A229A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B7A9-813B-497B-8DEE-3E992CDF5854}">
  <dimension ref="A1:X28"/>
  <sheetViews>
    <sheetView zoomScale="85" zoomScaleNormal="85" workbookViewId="0">
      <pane xSplit="1" topLeftCell="F1" activePane="topRight" state="frozen"/>
      <selection pane="topRight" activeCell="F14" sqref="F14"/>
    </sheetView>
  </sheetViews>
  <sheetFormatPr defaultColWidth="11.42578125" defaultRowHeight="15"/>
  <cols>
    <col min="1" max="1" width="41.85546875" style="1" customWidth="1"/>
    <col min="2" max="2" width="23.140625" style="1" customWidth="1"/>
    <col min="3" max="3" width="23" style="1" bestFit="1" customWidth="1"/>
    <col min="4" max="4" width="25.7109375" style="1" customWidth="1"/>
    <col min="5" max="5" width="11.5703125" style="1" bestFit="1" customWidth="1"/>
    <col min="6" max="6" width="26.85546875" style="1" customWidth="1"/>
    <col min="7" max="7" width="28.5703125" style="1" bestFit="1" customWidth="1"/>
    <col min="8" max="8" width="53.7109375" style="1" customWidth="1"/>
    <col min="9" max="9" width="112.85546875" style="1" customWidth="1"/>
    <col min="10" max="10" width="14.7109375" style="1" bestFit="1" customWidth="1"/>
    <col min="11" max="11" width="18.140625" style="1" bestFit="1" customWidth="1"/>
    <col min="12" max="12" width="44.5703125" style="1" customWidth="1"/>
    <col min="13" max="13" width="33.85546875" style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22.7109375" style="1" customWidth="1"/>
    <col min="18" max="18" width="33.28515625" style="1" customWidth="1"/>
    <col min="19" max="19" width="25" style="1" bestFit="1" customWidth="1"/>
    <col min="20" max="20" width="113.140625" style="1" customWidth="1"/>
    <col min="21" max="21" width="39.85546875" style="1" customWidth="1"/>
    <col min="22" max="22" width="43.7109375" style="1" customWidth="1"/>
    <col min="23" max="23" width="39.28515625" style="1" customWidth="1"/>
    <col min="24" max="24" width="58.42578125" style="1" customWidth="1"/>
    <col min="25" max="25" width="52.28515625" style="1" bestFit="1" customWidth="1"/>
    <col min="26" max="16384" width="11.42578125" style="1"/>
  </cols>
  <sheetData>
    <row r="1" spans="1:24">
      <c r="A1" s="1185" t="s">
        <v>990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186" t="str">
        <f>'Listado Objetos de Dominio'!$A$15</f>
        <v xml:space="preserve">Evidencia Fotográfica 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4">
      <c r="A3" s="189" t="s">
        <v>392</v>
      </c>
      <c r="B3" s="1210" t="str">
        <f>'Listado Objetos de Dominio'!$B$15</f>
        <v>Objeto de dominio que representa las imágenes asociadas a una motocicleta.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A20</f>
        <v>Cargar evidencia fotográfica de la  Motocicleta</v>
      </c>
      <c r="V4" s="35" t="str">
        <f>A23</f>
        <v>Actualizar evidencia fotográfica de la  Motocicleta</v>
      </c>
      <c r="W4" s="36" t="str">
        <f>A27</f>
        <v>Eliminar evidencia fotográfica de la  Motocicleta</v>
      </c>
      <c r="X4" s="2" t="str">
        <f>A25</f>
        <v>Consultar evidencia fotográfica de la Motocicleta</v>
      </c>
    </row>
    <row r="5" spans="1:24">
      <c r="A5" s="184" t="str">
        <f>'Evidencia Fotográfica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4"/>
      <c r="L5" s="184" t="s">
        <v>81</v>
      </c>
      <c r="M5" s="184" t="s">
        <v>81</v>
      </c>
      <c r="N5" s="184" t="s">
        <v>78</v>
      </c>
      <c r="O5" s="184" t="s">
        <v>81</v>
      </c>
      <c r="P5" s="184" t="s">
        <v>78</v>
      </c>
      <c r="Q5" s="184" t="s">
        <v>81</v>
      </c>
      <c r="R5" s="184" t="s">
        <v>81</v>
      </c>
      <c r="S5" s="184" t="s">
        <v>78</v>
      </c>
      <c r="T5" s="184" t="str">
        <f>'Evidencia Fotográfica Muestreo'!B2</f>
        <v>Corresponde al atributo que indica el ángulo de la evidencia fotográfica de la motocicleta.</v>
      </c>
      <c r="U5" s="795" t="s">
        <v>467</v>
      </c>
      <c r="V5" s="39" t="s">
        <v>409</v>
      </c>
      <c r="W5" s="43" t="s">
        <v>467</v>
      </c>
      <c r="X5" s="47" t="s">
        <v>408</v>
      </c>
    </row>
    <row r="6" spans="1:24" ht="89.25" customHeight="1">
      <c r="A6" s="184" t="str">
        <f>'Evidencia Fotográfica Muestreo'!B3</f>
        <v>anguloEvidencia</v>
      </c>
      <c r="B6" s="184" t="s">
        <v>75</v>
      </c>
      <c r="C6" s="184">
        <v>7</v>
      </c>
      <c r="D6" s="184">
        <v>15</v>
      </c>
      <c r="E6" s="184"/>
      <c r="F6" s="184"/>
      <c r="G6" s="184"/>
      <c r="H6" s="184" t="s">
        <v>410</v>
      </c>
      <c r="I6" s="216" t="s">
        <v>411</v>
      </c>
      <c r="J6" s="184"/>
      <c r="K6" s="184"/>
      <c r="L6" s="184" t="s">
        <v>81</v>
      </c>
      <c r="M6" s="184" t="s">
        <v>81</v>
      </c>
      <c r="N6" s="184" t="s">
        <v>81</v>
      </c>
      <c r="O6" s="184" t="s">
        <v>81</v>
      </c>
      <c r="P6" s="184" t="s">
        <v>78</v>
      </c>
      <c r="Q6" s="184" t="s">
        <v>78</v>
      </c>
      <c r="R6" s="184" t="s">
        <v>81</v>
      </c>
      <c r="S6" s="184" t="s">
        <v>81</v>
      </c>
      <c r="T6" s="184" t="str">
        <f>'Evidencia Fotográfica Muestreo'!B2</f>
        <v>Corresponde al atributo que indica el ángulo de la evidencia fotográfica de la motocicleta.</v>
      </c>
      <c r="U6" s="798" t="s">
        <v>467</v>
      </c>
      <c r="V6" s="39" t="s">
        <v>409</v>
      </c>
      <c r="W6" s="43" t="s">
        <v>933</v>
      </c>
      <c r="X6" s="47" t="s">
        <v>991</v>
      </c>
    </row>
    <row r="7" spans="1:24" ht="80.25" customHeight="1">
      <c r="A7" s="184" t="str">
        <f>'Evidencia Fotográfica Muestreo'!C3</f>
        <v>motocicleta</v>
      </c>
      <c r="B7" s="184" t="s">
        <v>149</v>
      </c>
      <c r="C7" s="184"/>
      <c r="D7" s="184"/>
      <c r="E7" s="184"/>
      <c r="F7" s="184"/>
      <c r="G7" s="184"/>
      <c r="H7" s="706"/>
      <c r="I7" s="184"/>
      <c r="J7" s="1173"/>
      <c r="K7" s="216"/>
      <c r="L7" s="184" t="s">
        <v>81</v>
      </c>
      <c r="M7" s="184" t="s">
        <v>81</v>
      </c>
      <c r="N7" s="184" t="s">
        <v>81</v>
      </c>
      <c r="O7" s="184" t="s">
        <v>81</v>
      </c>
      <c r="P7" s="184" t="s">
        <v>78</v>
      </c>
      <c r="Q7" s="184" t="s">
        <v>78</v>
      </c>
      <c r="R7" s="184" t="s">
        <v>78</v>
      </c>
      <c r="S7" s="184" t="s">
        <v>81</v>
      </c>
      <c r="T7" s="184" t="str">
        <f>'Evidencia Fotográfica Muestreo'!C2</f>
        <v>Corresponde al atributo que indica la placa de la motocicleta a la que pertenece la evidencia fotográfica.</v>
      </c>
      <c r="U7" s="798" t="s">
        <v>467</v>
      </c>
      <c r="V7" s="39" t="s">
        <v>409</v>
      </c>
      <c r="W7" s="43" t="s">
        <v>933</v>
      </c>
      <c r="X7" s="968" t="s">
        <v>992</v>
      </c>
    </row>
    <row r="8" spans="1:24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9"/>
      <c r="L8" s="180"/>
      <c r="M8" s="180"/>
      <c r="N8" s="180"/>
      <c r="O8" s="180"/>
      <c r="P8" s="180"/>
      <c r="Q8" s="180"/>
      <c r="R8" s="180"/>
      <c r="S8" s="180"/>
      <c r="T8" s="179"/>
      <c r="U8" s="178"/>
    </row>
    <row r="9" spans="1:24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9"/>
      <c r="L9" s="180"/>
      <c r="M9" s="180"/>
      <c r="N9" s="180"/>
      <c r="O9" s="180"/>
      <c r="P9" s="180"/>
      <c r="Q9" s="180"/>
      <c r="R9" s="180"/>
      <c r="S9" s="180"/>
      <c r="T9" s="179"/>
      <c r="U9" s="178"/>
    </row>
    <row r="10" spans="1:24" ht="15" customHeight="1"/>
    <row r="11" spans="1:24" ht="35.25" customHeight="1">
      <c r="A11" s="1211" t="s">
        <v>414</v>
      </c>
      <c r="B11" s="1212"/>
      <c r="C11" s="1213"/>
      <c r="G11" s="1" t="s">
        <v>418</v>
      </c>
    </row>
    <row r="12" spans="1:24">
      <c r="A12" s="193" t="s">
        <v>415</v>
      </c>
      <c r="B12" s="193" t="s">
        <v>2</v>
      </c>
      <c r="C12" s="193" t="s">
        <v>416</v>
      </c>
    </row>
    <row r="13" spans="1:24" ht="40.5" customHeight="1">
      <c r="A13" s="1214" t="s">
        <v>993</v>
      </c>
      <c r="B13" s="1299" t="str">
        <f>'Evidencia Fotográfica Muestreo'!D2</f>
        <v>La evidencia fotográfica de la motocicleta no debe tener duplicidad en la combinación del tipo de evidencia fotográfica y la placa de la motocicleta</v>
      </c>
      <c r="C13" s="220" t="str">
        <f>A6</f>
        <v>anguloEvidencia</v>
      </c>
    </row>
    <row r="14" spans="1:24" ht="106.5" customHeight="1">
      <c r="A14" s="1215"/>
      <c r="B14" s="1300"/>
      <c r="C14" s="220" t="str">
        <f>A7</f>
        <v>motocicleta</v>
      </c>
    </row>
    <row r="18" spans="1:22">
      <c r="A18" s="358" t="s">
        <v>419</v>
      </c>
      <c r="B18" s="317"/>
      <c r="C18" s="317" t="s">
        <v>2</v>
      </c>
      <c r="D18" s="317"/>
      <c r="E18" s="318"/>
      <c r="F18" s="319"/>
      <c r="G18" s="317" t="s">
        <v>420</v>
      </c>
      <c r="H18" s="333"/>
      <c r="I18" s="319"/>
      <c r="J18" s="319" t="s">
        <v>421</v>
      </c>
      <c r="K18" s="319"/>
      <c r="L18" s="319"/>
      <c r="M18" s="318"/>
      <c r="N18" s="319" t="s">
        <v>422</v>
      </c>
      <c r="O18" s="319"/>
      <c r="P18" s="319"/>
      <c r="Q18" s="318"/>
      <c r="R18" s="319" t="s">
        <v>474</v>
      </c>
      <c r="S18" s="358"/>
      <c r="T18" s="290"/>
      <c r="U18" s="290"/>
      <c r="V18" s="290"/>
    </row>
    <row r="19" spans="1:22">
      <c r="A19" s="312"/>
      <c r="B19" s="346"/>
      <c r="C19" s="346"/>
      <c r="D19" s="340"/>
      <c r="E19" s="341" t="s">
        <v>423</v>
      </c>
      <c r="F19" s="337" t="s">
        <v>424</v>
      </c>
      <c r="G19" s="316"/>
      <c r="H19" s="333" t="s">
        <v>2</v>
      </c>
      <c r="I19" s="346" t="s">
        <v>66</v>
      </c>
      <c r="J19" s="339"/>
      <c r="K19" s="346" t="s">
        <v>2</v>
      </c>
      <c r="L19" s="340"/>
      <c r="M19" s="337" t="s">
        <v>425</v>
      </c>
      <c r="N19" s="334"/>
      <c r="O19" s="335" t="s">
        <v>2</v>
      </c>
      <c r="P19" s="335"/>
      <c r="Q19" s="1178" t="s">
        <v>426</v>
      </c>
      <c r="R19" s="1202"/>
      <c r="S19" s="358" t="s">
        <v>427</v>
      </c>
      <c r="T19" s="290"/>
      <c r="U19" s="290"/>
      <c r="V19" s="290"/>
    </row>
    <row r="20" spans="1:22" ht="77.25" customHeight="1">
      <c r="A20" s="660" t="s">
        <v>994</v>
      </c>
      <c r="B20" s="593"/>
      <c r="C20" s="832" t="s">
        <v>995</v>
      </c>
      <c r="D20" s="594"/>
      <c r="E20" s="344" t="s">
        <v>996</v>
      </c>
      <c r="F20" s="680" t="s">
        <v>997</v>
      </c>
      <c r="G20" s="683" t="s">
        <v>998</v>
      </c>
      <c r="H20" s="595"/>
      <c r="I20" s="833"/>
      <c r="J20" s="683"/>
      <c r="K20" s="594"/>
      <c r="L20" s="832"/>
      <c r="M20" s="990" t="s">
        <v>999</v>
      </c>
      <c r="N20" s="1301" t="s">
        <v>495</v>
      </c>
      <c r="O20" s="1301"/>
      <c r="P20" s="1302"/>
      <c r="Q20" s="1301" t="s">
        <v>870</v>
      </c>
      <c r="R20" s="1301"/>
      <c r="S20" s="680" t="s">
        <v>438</v>
      </c>
    </row>
    <row r="21" spans="1:22" ht="42.75" customHeight="1">
      <c r="A21" s="598"/>
      <c r="B21" s="633"/>
      <c r="C21" s="633"/>
      <c r="D21" s="633"/>
      <c r="E21" s="598"/>
      <c r="F21" s="855"/>
      <c r="G21" s="679"/>
      <c r="H21" s="643"/>
      <c r="I21" s="643"/>
      <c r="J21" s="633"/>
      <c r="K21" s="633"/>
      <c r="L21" s="633"/>
      <c r="M21" s="991" t="s">
        <v>1000</v>
      </c>
      <c r="N21" s="1303" t="s">
        <v>1001</v>
      </c>
      <c r="O21" s="1303"/>
      <c r="P21" s="1303"/>
      <c r="Q21" s="1301" t="s">
        <v>1002</v>
      </c>
      <c r="R21" s="1301"/>
      <c r="S21" s="680" t="s">
        <v>438</v>
      </c>
    </row>
    <row r="22" spans="1:22" ht="42.75" customHeight="1">
      <c r="A22" s="598"/>
      <c r="B22" s="640"/>
      <c r="C22" s="640"/>
      <c r="D22" s="640"/>
      <c r="E22" s="644"/>
      <c r="F22" s="714"/>
      <c r="G22" s="856"/>
      <c r="H22" s="645"/>
      <c r="I22" s="645"/>
      <c r="J22" s="640"/>
      <c r="K22" s="640"/>
      <c r="L22" s="640"/>
      <c r="M22" s="990" t="s">
        <v>1003</v>
      </c>
      <c r="N22" s="1304" t="s">
        <v>1004</v>
      </c>
      <c r="O22" s="1305"/>
      <c r="P22" s="1306"/>
      <c r="Q22" s="1307" t="s">
        <v>483</v>
      </c>
      <c r="R22" s="1301"/>
      <c r="S22" s="680" t="s">
        <v>1005</v>
      </c>
    </row>
    <row r="23" spans="1:22" ht="77.25" customHeight="1">
      <c r="A23" s="1159" t="s">
        <v>1006</v>
      </c>
      <c r="B23" s="653"/>
      <c r="C23" s="972" t="s">
        <v>1007</v>
      </c>
      <c r="D23" s="942"/>
      <c r="E23" s="782" t="s">
        <v>369</v>
      </c>
      <c r="F23" s="782" t="s">
        <v>75</v>
      </c>
      <c r="G23" s="970" t="s">
        <v>1008</v>
      </c>
      <c r="H23" s="971"/>
      <c r="I23" s="522"/>
      <c r="J23" s="623"/>
      <c r="K23" s="942"/>
      <c r="L23" s="972"/>
      <c r="M23" s="992" t="s">
        <v>999</v>
      </c>
      <c r="N23" s="1277" t="s">
        <v>495</v>
      </c>
      <c r="O23" s="1277"/>
      <c r="P23" s="1277"/>
      <c r="Q23" s="1311" t="s">
        <v>881</v>
      </c>
      <c r="R23" s="1312"/>
      <c r="S23" s="973" t="s">
        <v>438</v>
      </c>
    </row>
    <row r="24" spans="1:22" ht="110.25" customHeight="1">
      <c r="A24" s="974"/>
      <c r="B24" s="974"/>
      <c r="C24" s="788"/>
      <c r="D24" s="788"/>
      <c r="E24" s="943" t="s">
        <v>996</v>
      </c>
      <c r="F24" s="943" t="s">
        <v>997</v>
      </c>
      <c r="G24" s="975" t="s">
        <v>1009</v>
      </c>
      <c r="H24" s="976"/>
      <c r="I24" s="604"/>
      <c r="J24" s="1268"/>
      <c r="K24" s="1268"/>
      <c r="L24" s="1268"/>
      <c r="M24" s="975" t="s">
        <v>1000</v>
      </c>
      <c r="N24" s="1312" t="s">
        <v>1001</v>
      </c>
      <c r="O24" s="1313"/>
      <c r="P24" s="1314"/>
      <c r="Q24" s="1277" t="s">
        <v>1002</v>
      </c>
      <c r="R24" s="1277"/>
      <c r="S24" s="369" t="s">
        <v>438</v>
      </c>
    </row>
    <row r="25" spans="1:22" ht="93.75" customHeight="1">
      <c r="A25" s="1160" t="s">
        <v>1010</v>
      </c>
      <c r="B25" s="977"/>
      <c r="C25" s="911" t="s">
        <v>1011</v>
      </c>
      <c r="D25" s="941"/>
      <c r="E25" s="919" t="s">
        <v>430</v>
      </c>
      <c r="F25" s="922" t="s">
        <v>1012</v>
      </c>
      <c r="G25" s="978" t="s">
        <v>501</v>
      </c>
      <c r="H25" s="979"/>
      <c r="I25" s="980"/>
      <c r="J25" s="1308" t="s">
        <v>1013</v>
      </c>
      <c r="K25" s="1236"/>
      <c r="L25" s="1309"/>
      <c r="M25" s="993" t="s">
        <v>1014</v>
      </c>
      <c r="N25" s="1238" t="s">
        <v>436</v>
      </c>
      <c r="O25" s="1238"/>
      <c r="P25" s="1238"/>
      <c r="Q25" s="1234" t="s">
        <v>870</v>
      </c>
      <c r="R25" s="1238"/>
      <c r="S25" s="923" t="s">
        <v>438</v>
      </c>
    </row>
    <row r="26" spans="1:22" ht="96.75" customHeight="1">
      <c r="A26" s="981"/>
      <c r="B26" s="981"/>
      <c r="C26" s="940"/>
      <c r="D26" s="940"/>
      <c r="E26" s="927"/>
      <c r="F26" s="982"/>
      <c r="G26" s="983"/>
      <c r="H26" s="984"/>
      <c r="I26" s="985"/>
      <c r="J26" s="1233"/>
      <c r="K26" s="1233"/>
      <c r="L26" s="1233"/>
      <c r="M26" s="994"/>
      <c r="N26" s="1233"/>
      <c r="O26" s="1233"/>
      <c r="P26" s="1233"/>
      <c r="Q26" s="1310"/>
      <c r="R26" s="1233"/>
      <c r="S26" s="935"/>
    </row>
    <row r="27" spans="1:22" ht="83.25" customHeight="1">
      <c r="A27" s="898" t="s">
        <v>1015</v>
      </c>
      <c r="B27" s="898"/>
      <c r="C27" s="607" t="s">
        <v>1016</v>
      </c>
      <c r="D27" s="584"/>
      <c r="E27" s="500" t="s">
        <v>369</v>
      </c>
      <c r="F27" s="383" t="s">
        <v>75</v>
      </c>
      <c r="G27" s="986" t="s">
        <v>1017</v>
      </c>
      <c r="H27" s="987"/>
      <c r="I27" s="880"/>
      <c r="J27" s="523" t="s">
        <v>1018</v>
      </c>
      <c r="K27" s="584"/>
      <c r="L27" s="607"/>
      <c r="M27" s="999" t="s">
        <v>1019</v>
      </c>
      <c r="N27" s="1270" t="s">
        <v>1020</v>
      </c>
      <c r="O27" s="1270"/>
      <c r="P27" s="1270"/>
      <c r="Q27" s="1269" t="s">
        <v>1021</v>
      </c>
      <c r="R27" s="1270"/>
      <c r="S27" s="403" t="s">
        <v>438</v>
      </c>
    </row>
    <row r="28" spans="1:22" ht="78" customHeight="1">
      <c r="A28" s="988"/>
      <c r="B28" s="988"/>
      <c r="C28" s="771"/>
      <c r="D28" s="771"/>
      <c r="E28" s="501"/>
      <c r="F28" s="501"/>
      <c r="G28" s="902"/>
      <c r="H28" s="989"/>
      <c r="I28" s="882"/>
      <c r="J28" s="1285"/>
      <c r="K28" s="1285"/>
      <c r="L28" s="1285"/>
      <c r="M28" s="777"/>
      <c r="N28" s="1285"/>
      <c r="O28" s="1285"/>
      <c r="P28" s="1285"/>
      <c r="Q28" s="1284"/>
      <c r="R28" s="1285"/>
      <c r="S28" s="777"/>
    </row>
  </sheetData>
  <mergeCells count="29">
    <mergeCell ref="J25:L25"/>
    <mergeCell ref="Q19:R19"/>
    <mergeCell ref="N27:P27"/>
    <mergeCell ref="Q27:R27"/>
    <mergeCell ref="J28:L28"/>
    <mergeCell ref="N28:P28"/>
    <mergeCell ref="Q28:R28"/>
    <mergeCell ref="N25:P25"/>
    <mergeCell ref="Q25:R25"/>
    <mergeCell ref="J26:L26"/>
    <mergeCell ref="N26:P26"/>
    <mergeCell ref="Q26:R26"/>
    <mergeCell ref="N23:P23"/>
    <mergeCell ref="Q23:R23"/>
    <mergeCell ref="J24:L24"/>
    <mergeCell ref="N24:P24"/>
    <mergeCell ref="Q24:R24"/>
    <mergeCell ref="N20:P20"/>
    <mergeCell ref="Q20:R20"/>
    <mergeCell ref="N21:P21"/>
    <mergeCell ref="Q21:R21"/>
    <mergeCell ref="N22:P22"/>
    <mergeCell ref="Q22:R22"/>
    <mergeCell ref="A1:T1"/>
    <mergeCell ref="B2:T2"/>
    <mergeCell ref="B3:T3"/>
    <mergeCell ref="A11:C11"/>
    <mergeCell ref="A13:A14"/>
    <mergeCell ref="B13:B14"/>
  </mergeCells>
  <dataValidations count="1">
    <dataValidation allowBlank="1" showInputMessage="1" showErrorMessage="1" sqref="H5:I5 H6:H7" xr:uid="{277F9E94-7DB2-4E7C-B9D0-B2F3BC11753F}"/>
  </dataValidations>
  <hyperlinks>
    <hyperlink ref="A1" location="'Objetos de Dominio'!A1" display="Volver al inicio" xr:uid="{7114D074-CB7B-4335-B354-C3BDE8D3891A}"/>
    <hyperlink ref="V4" location="'Objeto Dominio 2'!A17" display="'Objeto Dominio 2'!A17" xr:uid="{969DEED1-45E6-4FB3-B217-0665EB0C784C}"/>
    <hyperlink ref="W4" location="'Objeto Dominio 2'!A18" display="'Objeto Dominio 2'!A18" xr:uid="{4BA77C97-77B8-460F-842C-A82145C035B8}"/>
    <hyperlink ref="X4" location="'Objeto Dominio 2'!A19" display="'Objeto Dominio 2'!A19" xr:uid="{BD50A0B8-8C29-4515-8B90-F79D290F1C6A}"/>
    <hyperlink ref="U4" location="'Objeto Dominio 2'!A16" display="'Objeto Dominio 2'!A16" xr:uid="{CC6A1F3C-EB36-45A8-A531-7E5C3475573F}"/>
    <hyperlink ref="A1:T1" location="'Listado Objetos de Dominio'!A1" display="&lt;-Volver al inicio" xr:uid="{873CAE51-3948-4810-8B2C-92D96AD6E19A}"/>
    <hyperlink ref="C14" location="'Foto Caracterizació '!A7" display="=A7" xr:uid="{FFF33FF9-D787-4A81-AB8D-C169BD06641E}"/>
    <hyperlink ref="C13" location="'Foto Caracterizació '!A6" display="=A6" xr:uid="{EC013295-6F04-4ED4-9AD8-DC3B3CE31935}"/>
    <hyperlink ref="H23" location="'Tipo Relación Institución'!A6" display="'Tipo Relación Institución'!A6" xr:uid="{E7F19A08-0760-44AC-AC91-541F992FB4C0}"/>
    <hyperlink ref="G27" location="'Tipo Relación Institución'!A6" display="'Tipo Relación Institución'!A6" xr:uid="{E0293490-26BB-4055-AD3A-493B730CA9A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7FC05DA-FD1F-497A-9FE0-4359B210AC9E}">
          <x14:formula1>
            <xm:f>Caracterizacion!$A$3:$A$40</xm:f>
          </x14:formula1>
          <xm:sqref>B6:B7 B9</xm:sqref>
        </x14:dataValidation>
        <x14:dataValidation type="list" allowBlank="1" showInputMessage="1" showErrorMessage="1" xr:uid="{11617CA9-F2BD-4D75-B3C8-72575EF5B279}">
          <x14:formula1>
            <xm:f>Caracterizacion!$A$3:$A$14</xm:f>
          </x14:formula1>
          <xm:sqref>B5</xm:sqref>
        </x14:dataValidation>
        <x14:dataValidation type="custom" allowBlank="1" showInputMessage="1" showErrorMessage="1" xr:uid="{F936E519-6A78-4D6F-BE3F-E1FF9928949D}">
          <x14:formula1>
            <xm:f>Caracterizacion!$F$3</xm:f>
          </x14:formula1>
          <xm:sqref>J5 J7:J8</xm:sqref>
        </x14:dataValidation>
        <x14:dataValidation type="list" allowBlank="1" showInputMessage="1" showErrorMessage="1" xr:uid="{7C33C877-9B47-4B72-892F-FF5E550CFE8E}">
          <x14:formula1>
            <xm:f>Caracterizacion!$A$3:$A$42</xm:f>
          </x14:formula1>
          <xm:sqref>B8</xm:sqref>
        </x14:dataValidation>
        <x14:dataValidation type="list" allowBlank="1" showInputMessage="1" showErrorMessage="1" xr:uid="{769150F2-D2F0-4F0B-AC32-6E19B4292653}">
          <x14:formula1>
            <xm:f>Caracterizacion!$B$3:$B$515</xm:f>
          </x14:formula1>
          <xm:sqref>F5:G9</xm:sqref>
        </x14:dataValidation>
        <x14:dataValidation type="list" allowBlank="1" showInputMessage="1" showErrorMessage="1" xr:uid="{C66D2FCD-6A1B-4DCC-93F4-D74504BBCCC1}">
          <x14:formula1>
            <xm:f>Caracterizacion!$B$4:$B$506</xm:f>
          </x14:formula1>
          <xm:sqref>C5:D9</xm:sqref>
        </x14:dataValidation>
        <x14:dataValidation type="list" allowBlank="1" showInputMessage="1" showErrorMessage="1" xr:uid="{AFCE20B0-2BB6-4E6C-AEB7-F116779EDB28}">
          <x14:formula1>
            <xm:f>Caracterizacion!$C$3:$C$18</xm:f>
          </x14:formula1>
          <xm:sqref>E5:E9</xm:sqref>
        </x14:dataValidation>
        <x14:dataValidation type="list" allowBlank="1" showInputMessage="1" showErrorMessage="1" xr:uid="{F46E5FB3-FB43-478A-9229-3E2296806795}">
          <x14:formula1>
            <xm:f>Caracterizacion!$H$3:$H$4</xm:f>
          </x14:formula1>
          <xm:sqref>L5:S9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5973-C330-4A7C-8B1C-0CABD3A603E4}">
  <dimension ref="A2:H12"/>
  <sheetViews>
    <sheetView workbookViewId="0">
      <selection activeCell="B15" sqref="B15"/>
    </sheetView>
  </sheetViews>
  <sheetFormatPr defaultRowHeight="15"/>
  <cols>
    <col min="1" max="1" width="40.140625" bestFit="1" customWidth="1"/>
    <col min="2" max="2" width="44" customWidth="1"/>
    <col min="3" max="3" width="32.5703125" customWidth="1"/>
    <col min="4" max="4" width="21" bestFit="1" customWidth="1"/>
    <col min="5" max="5" width="18.5703125" customWidth="1"/>
    <col min="6" max="6" width="26.140625" bestFit="1" customWidth="1"/>
    <col min="7" max="7" width="20.5703125" bestFit="1" customWidth="1"/>
    <col min="8" max="8" width="26.28515625" bestFit="1" customWidth="1"/>
  </cols>
  <sheetData>
    <row r="2" spans="1:8" ht="46.5">
      <c r="A2" s="125" t="s">
        <v>1022</v>
      </c>
      <c r="B2" s="125" t="s">
        <v>1023</v>
      </c>
      <c r="C2" s="125" t="s">
        <v>1024</v>
      </c>
      <c r="D2" s="125" t="s">
        <v>1025</v>
      </c>
      <c r="E2" s="125" t="s">
        <v>1026</v>
      </c>
      <c r="F2" s="125" t="s">
        <v>1027</v>
      </c>
      <c r="G2" s="125" t="s">
        <v>1028</v>
      </c>
      <c r="H2" s="125" t="s">
        <v>1029</v>
      </c>
    </row>
    <row r="3" spans="1:8">
      <c r="A3" s="56" t="s">
        <v>369</v>
      </c>
      <c r="B3" s="56" t="s">
        <v>137</v>
      </c>
      <c r="C3" s="56" t="s">
        <v>1030</v>
      </c>
      <c r="D3" s="56" t="s">
        <v>1031</v>
      </c>
      <c r="E3" s="56" t="s">
        <v>1032</v>
      </c>
      <c r="F3" s="56" t="s">
        <v>1033</v>
      </c>
      <c r="G3" s="162" t="s">
        <v>509</v>
      </c>
      <c r="H3" s="162" t="s">
        <v>509</v>
      </c>
    </row>
    <row r="4" spans="1:8">
      <c r="A4" s="135" t="s">
        <v>1034</v>
      </c>
      <c r="B4" s="56" t="s">
        <v>824</v>
      </c>
      <c r="C4" s="163">
        <v>45485</v>
      </c>
      <c r="D4" s="163">
        <v>45485</v>
      </c>
      <c r="E4" s="56" t="s">
        <v>1035</v>
      </c>
      <c r="F4" s="164">
        <v>0.99930555555555556</v>
      </c>
      <c r="G4" s="162" t="s">
        <v>1036</v>
      </c>
      <c r="H4" s="165" t="s">
        <v>1037</v>
      </c>
    </row>
    <row r="5" spans="1:8">
      <c r="A5" s="135" t="s">
        <v>1038</v>
      </c>
      <c r="B5" s="56" t="s">
        <v>824</v>
      </c>
      <c r="C5" s="163">
        <v>45809</v>
      </c>
      <c r="D5" s="163">
        <v>45809</v>
      </c>
      <c r="E5" s="56" t="s">
        <v>1035</v>
      </c>
      <c r="F5" s="164">
        <v>0.99930555555555556</v>
      </c>
      <c r="G5" s="162" t="s">
        <v>1039</v>
      </c>
      <c r="H5" s="165" t="s">
        <v>1040</v>
      </c>
    </row>
    <row r="6" spans="1:8">
      <c r="A6" s="135" t="s">
        <v>1041</v>
      </c>
      <c r="B6" s="56" t="s">
        <v>849</v>
      </c>
      <c r="C6" s="190" t="s">
        <v>1042</v>
      </c>
      <c r="D6" s="163">
        <v>44562</v>
      </c>
      <c r="E6" s="56" t="s">
        <v>827</v>
      </c>
      <c r="F6" s="164">
        <v>0.99930555555555556</v>
      </c>
      <c r="G6" s="162" t="s">
        <v>1043</v>
      </c>
      <c r="H6" s="165" t="s">
        <v>1044</v>
      </c>
    </row>
    <row r="7" spans="1:8">
      <c r="A7" s="135" t="s">
        <v>1045</v>
      </c>
      <c r="B7" s="56" t="s">
        <v>849</v>
      </c>
      <c r="C7" s="163">
        <v>44348</v>
      </c>
      <c r="D7" s="163">
        <v>44713</v>
      </c>
      <c r="E7" s="56" t="s">
        <v>1035</v>
      </c>
      <c r="F7" s="164">
        <v>0.99930555555555556</v>
      </c>
      <c r="G7" s="162" t="s">
        <v>1046</v>
      </c>
      <c r="H7" s="165" t="s">
        <v>1047</v>
      </c>
    </row>
    <row r="8" spans="1:8">
      <c r="B8" s="59"/>
      <c r="C8" s="59"/>
      <c r="D8" s="130"/>
    </row>
    <row r="9" spans="1:8">
      <c r="B9" s="59"/>
      <c r="C9" s="59"/>
      <c r="D9" s="130"/>
    </row>
    <row r="10" spans="1:8">
      <c r="B10" s="59"/>
      <c r="C10" s="59"/>
      <c r="D10" s="130"/>
    </row>
    <row r="11" spans="1:8">
      <c r="B11" s="132"/>
      <c r="C11" s="131"/>
      <c r="D11" s="130"/>
    </row>
    <row r="12" spans="1:8">
      <c r="B12" s="132"/>
      <c r="C12" s="131"/>
      <c r="D12" s="13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F3C0-3A5C-4D58-AF5B-888DC3DFF03F}">
  <sheetPr>
    <tabColor rgb="FFFFFF00"/>
  </sheetPr>
  <dimension ref="A1:Z50"/>
  <sheetViews>
    <sheetView zoomScale="85" zoomScaleNormal="85" workbookViewId="0">
      <pane xSplit="1" topLeftCell="B1" activePane="topRight" state="frozen"/>
      <selection pane="topRight" activeCell="T19" sqref="T19"/>
    </sheetView>
  </sheetViews>
  <sheetFormatPr defaultColWidth="11.42578125" defaultRowHeight="15"/>
  <cols>
    <col min="1" max="1" width="46.28515625" style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20.85546875" style="1" customWidth="1"/>
    <col min="7" max="7" width="28.5703125" style="1" bestFit="1" customWidth="1"/>
    <col min="8" max="8" width="61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53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26" width="44.28515625" style="1" customWidth="1"/>
    <col min="27" max="16384" width="11.42578125" style="1"/>
  </cols>
  <sheetData>
    <row r="1" spans="1:26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6">
      <c r="A2" s="4" t="s">
        <v>391</v>
      </c>
      <c r="B2" s="1209" t="str">
        <f>'Listado Objetos de Dominio'!$A$14</f>
        <v>Excepción Horario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6">
      <c r="A3" s="4" t="s">
        <v>392</v>
      </c>
      <c r="B3" s="1187" t="str">
        <f>'Listado Objetos de Dominio'!$B$14</f>
        <v>Objeto de dominio que representa las excepciones o casos especiales en los horarios de atención.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6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A21</f>
        <v>Registrar Información de la Excepción de  Horario</v>
      </c>
      <c r="V4" s="35" t="str">
        <f>A26</f>
        <v>Modificar Información de la Excepción Horario</v>
      </c>
      <c r="W4" s="36" t="str">
        <f>A28</f>
        <v>Eliminar Información de la Excepción Horario</v>
      </c>
      <c r="X4" s="756" t="str">
        <f>A32</f>
        <v>Consultar Información de la  Excepción Horario</v>
      </c>
      <c r="Y4" s="835" t="e">
        <f>#REF!</f>
        <v>#REF!</v>
      </c>
      <c r="Z4" s="454" t="e">
        <f>#REF!</f>
        <v>#REF!</v>
      </c>
    </row>
    <row r="5" spans="1:26" ht="21" customHeight="1">
      <c r="A5" s="11" t="str">
        <f>'Excepción Horario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'Excepción Horario Muestreo'!A2</f>
        <v>Corresponde al identificador único que identifica cada excepción de horario en el sistema.</v>
      </c>
      <c r="U5" s="401" t="s">
        <v>467</v>
      </c>
      <c r="V5" s="39" t="s">
        <v>409</v>
      </c>
      <c r="W5" s="43" t="s">
        <v>467</v>
      </c>
      <c r="X5" s="32" t="s">
        <v>468</v>
      </c>
      <c r="Y5" s="834" t="s">
        <v>1048</v>
      </c>
      <c r="Z5" s="457" t="s">
        <v>1048</v>
      </c>
    </row>
    <row r="6" spans="1:26" ht="81" customHeight="1">
      <c r="A6" s="11" t="str">
        <f>'Excepción Horario Muestreo'!B3</f>
        <v>horarioSede</v>
      </c>
      <c r="B6" s="5" t="s">
        <v>1049</v>
      </c>
      <c r="C6" s="5"/>
      <c r="D6" s="5"/>
      <c r="E6" s="5"/>
      <c r="F6" s="5"/>
      <c r="G6" s="5"/>
      <c r="H6" s="5"/>
      <c r="I6" s="5"/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'Excepción Horario Muestreo'!B2</f>
        <v>Corresponde al horarioEstebleciemiento que indica el horario del establecimiento al que se le aplica la excepción.</v>
      </c>
      <c r="U6" s="401" t="s">
        <v>467</v>
      </c>
      <c r="V6" s="39" t="s">
        <v>413</v>
      </c>
      <c r="W6" s="43" t="s">
        <v>467</v>
      </c>
      <c r="X6" s="32" t="s">
        <v>1050</v>
      </c>
      <c r="Y6" s="834" t="s">
        <v>1048</v>
      </c>
      <c r="Z6" s="457" t="s">
        <v>1048</v>
      </c>
    </row>
    <row r="7" spans="1:26" ht="74.25" customHeight="1">
      <c r="A7" s="11" t="str">
        <f>'Excepción Horario Muestreo'!C3</f>
        <v>fecahInicioExep</v>
      </c>
      <c r="B7" s="5" t="s">
        <v>91</v>
      </c>
      <c r="C7" s="5"/>
      <c r="D7" s="5"/>
      <c r="E7" s="5"/>
      <c r="F7" s="5"/>
      <c r="G7" s="5"/>
      <c r="H7" s="5"/>
      <c r="I7" s="5"/>
      <c r="J7" s="5"/>
      <c r="K7" s="7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7" t="str">
        <f>'Excepción Horario Muestreo'!C2</f>
        <v>Corresponde al horarioEstablecimeinto que indica la fecha inicial de la excepción.</v>
      </c>
      <c r="U7" s="401" t="s">
        <v>467</v>
      </c>
      <c r="V7" s="39" t="s">
        <v>413</v>
      </c>
      <c r="W7" s="43" t="s">
        <v>467</v>
      </c>
      <c r="X7" s="32" t="s">
        <v>1051</v>
      </c>
      <c r="Y7" s="834" t="s">
        <v>1048</v>
      </c>
      <c r="Z7" s="457" t="s">
        <v>1048</v>
      </c>
    </row>
    <row r="8" spans="1:26" ht="51.75" customHeight="1">
      <c r="A8" s="11" t="str">
        <f>'Excepción Horario Muestreo'!D3</f>
        <v>fechaFinExep</v>
      </c>
      <c r="B8" s="5" t="s">
        <v>91</v>
      </c>
      <c r="C8" s="5"/>
      <c r="D8" s="5"/>
      <c r="E8" s="5"/>
      <c r="F8" s="5"/>
      <c r="G8" s="5"/>
      <c r="H8" s="5"/>
      <c r="I8" s="5"/>
      <c r="J8" s="5"/>
      <c r="K8" s="7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'Excepción Horario Muestreo'!D2</f>
        <v>Corresponde al atributo que indica la fecha final de la excepción.</v>
      </c>
      <c r="U8" s="401" t="s">
        <v>467</v>
      </c>
      <c r="V8" s="39" t="s">
        <v>413</v>
      </c>
      <c r="W8" s="43" t="s">
        <v>467</v>
      </c>
      <c r="X8" s="32" t="s">
        <v>863</v>
      </c>
      <c r="Y8" s="834" t="s">
        <v>1048</v>
      </c>
      <c r="Z8" s="457" t="s">
        <v>1048</v>
      </c>
    </row>
    <row r="9" spans="1:26" ht="48.75" customHeight="1">
      <c r="A9" s="11" t="str">
        <f>'Excepción Horario Muestreo'!E3</f>
        <v>horaInicioExep</v>
      </c>
      <c r="B9" s="5" t="s">
        <v>94</v>
      </c>
      <c r="C9" s="5"/>
      <c r="D9" s="5"/>
      <c r="E9" s="5"/>
      <c r="F9" s="5"/>
      <c r="G9" s="5"/>
      <c r="H9" s="5"/>
      <c r="I9" s="5"/>
      <c r="J9" s="5"/>
      <c r="K9" s="7"/>
      <c r="L9" s="13" t="s">
        <v>81</v>
      </c>
      <c r="M9" s="13" t="s">
        <v>81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'Excepción Horario Muestreo'!E2</f>
        <v>Corresponde al atributo que indica la hora inicial de la excepción.</v>
      </c>
      <c r="U9" s="401" t="s">
        <v>467</v>
      </c>
      <c r="V9" s="39" t="s">
        <v>413</v>
      </c>
      <c r="W9" s="43" t="s">
        <v>467</v>
      </c>
      <c r="X9" s="32" t="s">
        <v>472</v>
      </c>
      <c r="Y9" s="834" t="s">
        <v>1048</v>
      </c>
      <c r="Z9" s="457" t="s">
        <v>1048</v>
      </c>
    </row>
    <row r="10" spans="1:26" ht="52.5" customHeight="1">
      <c r="A10" s="11" t="str">
        <f>'Excepción Horario Muestreo'!F3</f>
        <v>horaFinExep</v>
      </c>
      <c r="B10" s="5" t="s">
        <v>94</v>
      </c>
      <c r="C10" s="5"/>
      <c r="D10" s="5"/>
      <c r="E10" s="5"/>
      <c r="F10" s="5"/>
      <c r="G10" s="5"/>
      <c r="H10" s="5"/>
      <c r="I10" s="5"/>
      <c r="J10" s="5"/>
      <c r="K10" s="7"/>
      <c r="L10" s="13" t="s">
        <v>81</v>
      </c>
      <c r="M10" s="13" t="s">
        <v>81</v>
      </c>
      <c r="N10" s="13" t="s">
        <v>81</v>
      </c>
      <c r="O10" s="13" t="s">
        <v>81</v>
      </c>
      <c r="P10" s="13" t="s">
        <v>78</v>
      </c>
      <c r="Q10" s="13" t="s">
        <v>78</v>
      </c>
      <c r="R10" s="13" t="s">
        <v>81</v>
      </c>
      <c r="S10" s="13" t="s">
        <v>81</v>
      </c>
      <c r="T10" s="7" t="str">
        <f>'Excepción Horario Muestreo'!F2</f>
        <v>Corresponde al atributo que indica la hora final de la excepción.</v>
      </c>
      <c r="U10" s="401" t="s">
        <v>467</v>
      </c>
      <c r="V10" s="39" t="s">
        <v>413</v>
      </c>
      <c r="W10" s="43" t="s">
        <v>467</v>
      </c>
      <c r="X10" s="32" t="s">
        <v>1052</v>
      </c>
      <c r="Y10" s="834" t="s">
        <v>1048</v>
      </c>
      <c r="Z10" s="457" t="s">
        <v>1048</v>
      </c>
    </row>
    <row r="12" spans="1:26">
      <c r="A12" s="159" t="s">
        <v>414</v>
      </c>
      <c r="B12" s="159"/>
      <c r="C12" s="159"/>
    </row>
    <row r="13" spans="1:26">
      <c r="A13" s="126" t="s">
        <v>415</v>
      </c>
      <c r="B13" s="126" t="s">
        <v>2</v>
      </c>
      <c r="C13" s="126" t="s">
        <v>416</v>
      </c>
    </row>
    <row r="14" spans="1:26" ht="27" customHeight="1">
      <c r="A14" s="1250" t="s">
        <v>1053</v>
      </c>
      <c r="B14" s="1250" t="str">
        <f>'Excepción Horario Muestreo'!G2</f>
        <v>La excepción de horario no debe tener duplicidad en la combinación de fecha de inicio y hora de inicio.</v>
      </c>
      <c r="C14" s="232" t="str">
        <f>A7</f>
        <v>fecahInicioExep</v>
      </c>
    </row>
    <row r="15" spans="1:26" ht="30.75" customHeight="1">
      <c r="A15" s="1251"/>
      <c r="B15" s="1251"/>
      <c r="C15" s="232" t="str">
        <f>A9</f>
        <v>horaInicioExep</v>
      </c>
      <c r="G15" s="1" t="s">
        <v>418</v>
      </c>
    </row>
    <row r="16" spans="1:26">
      <c r="A16" s="1250" t="s">
        <v>1054</v>
      </c>
      <c r="B16" s="1250" t="str">
        <f>'Excepción Horario Muestreo'!H2</f>
        <v>La excepción de horario no debe tener duplicidad en la combinación de fecha de fin y hora de fin</v>
      </c>
      <c r="C16" s="232" t="str">
        <f>A8</f>
        <v>fechaFinExep</v>
      </c>
    </row>
    <row r="17" spans="1:22" ht="46.5" customHeight="1">
      <c r="A17" s="1251"/>
      <c r="B17" s="1251"/>
      <c r="C17" s="232" t="str">
        <f>A10</f>
        <v>horaFinExep</v>
      </c>
    </row>
    <row r="19" spans="1:22" ht="30.75">
      <c r="A19" s="723" t="s">
        <v>419</v>
      </c>
      <c r="B19" s="724"/>
      <c r="C19" s="724" t="s">
        <v>2</v>
      </c>
      <c r="D19" s="724"/>
      <c r="E19" s="725"/>
      <c r="F19" s="726"/>
      <c r="G19" s="724" t="s">
        <v>420</v>
      </c>
      <c r="H19" s="727"/>
      <c r="I19" s="726"/>
      <c r="J19" s="726" t="s">
        <v>421</v>
      </c>
      <c r="K19" s="726"/>
      <c r="L19" s="726"/>
      <c r="M19" s="725"/>
      <c r="N19" s="726" t="s">
        <v>422</v>
      </c>
      <c r="O19" s="726"/>
      <c r="P19" s="726"/>
      <c r="Q19" s="725"/>
      <c r="R19" s="726" t="s">
        <v>474</v>
      </c>
      <c r="S19" s="723"/>
      <c r="T19" s="290"/>
      <c r="U19" s="290"/>
      <c r="V19" s="290"/>
    </row>
    <row r="20" spans="1:22">
      <c r="A20" s="728"/>
      <c r="B20" s="729"/>
      <c r="C20" s="729"/>
      <c r="D20" s="730"/>
      <c r="E20" s="731" t="s">
        <v>423</v>
      </c>
      <c r="F20" s="732" t="s">
        <v>424</v>
      </c>
      <c r="G20" s="733"/>
      <c r="H20" s="734" t="s">
        <v>2</v>
      </c>
      <c r="I20" s="729" t="s">
        <v>66</v>
      </c>
      <c r="J20" s="735"/>
      <c r="K20" s="729" t="s">
        <v>2</v>
      </c>
      <c r="L20" s="730"/>
      <c r="M20" s="732" t="s">
        <v>425</v>
      </c>
      <c r="N20" s="735"/>
      <c r="O20" s="729" t="s">
        <v>2</v>
      </c>
      <c r="P20" s="729"/>
      <c r="Q20" s="1315" t="s">
        <v>426</v>
      </c>
      <c r="R20" s="1316"/>
      <c r="S20" s="723" t="s">
        <v>427</v>
      </c>
      <c r="T20" s="290"/>
      <c r="U20" s="290"/>
      <c r="V20" s="290"/>
    </row>
    <row r="21" spans="1:22" ht="45.75">
      <c r="A21" s="378" t="s">
        <v>1055</v>
      </c>
      <c r="B21" s="736"/>
      <c r="C21" s="350" t="s">
        <v>1056</v>
      </c>
      <c r="D21" s="350"/>
      <c r="E21" s="344" t="s">
        <v>441</v>
      </c>
      <c r="F21" s="680" t="s">
        <v>1057</v>
      </c>
      <c r="G21" s="683" t="s">
        <v>1058</v>
      </c>
      <c r="H21" s="737"/>
      <c r="I21" s="738"/>
      <c r="J21" s="355"/>
      <c r="K21" s="355"/>
      <c r="L21" s="753"/>
      <c r="M21" s="344"/>
      <c r="N21" s="1307"/>
      <c r="O21" s="1301"/>
      <c r="P21" s="1301"/>
      <c r="Q21" s="1223"/>
      <c r="R21" s="1317"/>
      <c r="S21" s="698"/>
    </row>
    <row r="22" spans="1:22" ht="84" customHeight="1">
      <c r="A22" s="406"/>
      <c r="B22" s="406"/>
      <c r="C22" s="377"/>
      <c r="D22" s="377"/>
      <c r="E22" s="396"/>
      <c r="F22" s="681"/>
      <c r="G22" s="679"/>
      <c r="H22" s="739"/>
      <c r="I22" s="740"/>
      <c r="J22" s="375"/>
      <c r="K22" s="375"/>
      <c r="L22" s="754"/>
      <c r="M22" s="638" t="s">
        <v>1059</v>
      </c>
      <c r="N22" s="1318" t="s">
        <v>1060</v>
      </c>
      <c r="O22" s="1319"/>
      <c r="P22" s="1319"/>
      <c r="Q22" s="1320" t="s">
        <v>437</v>
      </c>
      <c r="R22" s="1321"/>
      <c r="S22" s="755" t="s">
        <v>480</v>
      </c>
      <c r="T22" s="291"/>
      <c r="U22" s="291"/>
    </row>
    <row r="23" spans="1:22" ht="98.25" customHeight="1">
      <c r="A23" s="406"/>
      <c r="B23" s="406"/>
      <c r="C23" s="377"/>
      <c r="D23" s="377"/>
      <c r="E23" s="396"/>
      <c r="F23" s="681"/>
      <c r="G23" s="679"/>
      <c r="H23" s="739"/>
      <c r="I23" s="740"/>
      <c r="J23" s="375"/>
      <c r="K23" s="375"/>
      <c r="L23" s="740"/>
      <c r="M23" s="597" t="s">
        <v>1061</v>
      </c>
      <c r="N23" s="1318" t="s">
        <v>1062</v>
      </c>
      <c r="O23" s="1319"/>
      <c r="P23" s="1322"/>
      <c r="Q23" s="1323" t="s">
        <v>437</v>
      </c>
      <c r="R23" s="1320"/>
      <c r="S23" s="755" t="s">
        <v>480</v>
      </c>
      <c r="T23" s="291"/>
      <c r="U23" s="291"/>
    </row>
    <row r="24" spans="1:22" ht="81.75" customHeight="1">
      <c r="A24" s="406"/>
      <c r="B24" s="406"/>
      <c r="C24" s="377"/>
      <c r="D24" s="377"/>
      <c r="E24" s="396"/>
      <c r="F24" s="681"/>
      <c r="G24" s="679"/>
      <c r="H24" s="739"/>
      <c r="I24" s="740"/>
      <c r="J24" s="375"/>
      <c r="K24" s="375"/>
      <c r="L24" s="740"/>
      <c r="M24" s="344" t="s">
        <v>1063</v>
      </c>
      <c r="N24" s="1318" t="s">
        <v>1064</v>
      </c>
      <c r="O24" s="1319"/>
      <c r="P24" s="1322"/>
      <c r="Q24" s="1324" t="s">
        <v>437</v>
      </c>
      <c r="R24" s="1223"/>
      <c r="S24" s="699" t="s">
        <v>484</v>
      </c>
      <c r="T24" s="291"/>
      <c r="U24" s="291"/>
    </row>
    <row r="25" spans="1:22" ht="77.25" customHeight="1">
      <c r="A25" s="406"/>
      <c r="B25" s="406"/>
      <c r="C25" s="377"/>
      <c r="D25" s="377"/>
      <c r="E25" s="396"/>
      <c r="F25" s="682"/>
      <c r="G25" s="679"/>
      <c r="H25" s="739"/>
      <c r="I25" s="740"/>
      <c r="J25" s="375"/>
      <c r="K25" s="375"/>
      <c r="L25" s="740"/>
      <c r="M25" s="344" t="s">
        <v>1065</v>
      </c>
      <c r="N25" s="1307" t="s">
        <v>495</v>
      </c>
      <c r="O25" s="1301"/>
      <c r="P25" s="1302"/>
      <c r="Q25" s="1223" t="s">
        <v>437</v>
      </c>
      <c r="R25" s="1224"/>
      <c r="S25" s="757" t="s">
        <v>480</v>
      </c>
    </row>
    <row r="26" spans="1:22" ht="68.25" customHeight="1">
      <c r="A26" s="379" t="s">
        <v>1066</v>
      </c>
      <c r="B26" s="379"/>
      <c r="C26" s="360" t="s">
        <v>1067</v>
      </c>
      <c r="D26" s="360"/>
      <c r="E26" s="517" t="s">
        <v>441</v>
      </c>
      <c r="F26" s="677" t="s">
        <v>28</v>
      </c>
      <c r="G26" s="381" t="s">
        <v>1068</v>
      </c>
      <c r="H26" s="741"/>
      <c r="I26" s="345"/>
      <c r="J26" s="360"/>
      <c r="K26" s="360"/>
      <c r="L26" s="580"/>
      <c r="M26" s="696" t="s">
        <v>1069</v>
      </c>
      <c r="N26" s="1231" t="s">
        <v>1070</v>
      </c>
      <c r="O26" s="1231"/>
      <c r="P26" s="1231"/>
      <c r="Q26" s="1231" t="s">
        <v>437</v>
      </c>
      <c r="R26" s="1231"/>
      <c r="S26" s="759" t="s">
        <v>480</v>
      </c>
    </row>
    <row r="27" spans="1:22" ht="90" customHeight="1">
      <c r="A27" s="742"/>
      <c r="B27" s="743"/>
      <c r="C27" s="743"/>
      <c r="D27" s="743"/>
      <c r="E27" s="519" t="s">
        <v>369</v>
      </c>
      <c r="F27" s="693" t="s">
        <v>75</v>
      </c>
      <c r="G27" s="431" t="s">
        <v>1071</v>
      </c>
      <c r="H27" s="744"/>
      <c r="I27" s="745"/>
      <c r="J27" s="743"/>
      <c r="K27" s="743"/>
      <c r="L27" s="743"/>
      <c r="M27" s="696" t="s">
        <v>1072</v>
      </c>
      <c r="N27" s="1231" t="s">
        <v>495</v>
      </c>
      <c r="O27" s="1231"/>
      <c r="P27" s="1231"/>
      <c r="Q27" s="1311" t="s">
        <v>437</v>
      </c>
      <c r="R27" s="1311"/>
      <c r="S27" s="758" t="s">
        <v>480</v>
      </c>
    </row>
    <row r="28" spans="1:22" ht="38.25" customHeight="1">
      <c r="A28" s="408" t="s">
        <v>1073</v>
      </c>
      <c r="B28" s="408"/>
      <c r="C28" s="349" t="s">
        <v>1074</v>
      </c>
      <c r="D28" s="349"/>
      <c r="E28" s="397" t="s">
        <v>369</v>
      </c>
      <c r="F28" s="483" t="s">
        <v>75</v>
      </c>
      <c r="G28" s="523" t="s">
        <v>1075</v>
      </c>
      <c r="H28" s="746"/>
      <c r="I28" s="382"/>
      <c r="J28" s="352"/>
      <c r="K28" s="349"/>
      <c r="L28" s="382"/>
      <c r="M28" s="398"/>
      <c r="N28" s="1270"/>
      <c r="O28" s="1270"/>
      <c r="P28" s="1270"/>
      <c r="Q28" s="356"/>
      <c r="R28" s="502"/>
      <c r="S28" s="398"/>
    </row>
    <row r="29" spans="1:22" ht="75" customHeight="1">
      <c r="A29" s="408"/>
      <c r="B29" s="408"/>
      <c r="C29" s="349"/>
      <c r="D29" s="349"/>
      <c r="E29" s="398"/>
      <c r="F29" s="484"/>
      <c r="G29" s="486"/>
      <c r="H29" s="747"/>
      <c r="I29" s="382"/>
      <c r="J29" s="352"/>
      <c r="K29" s="349"/>
      <c r="L29" s="382"/>
      <c r="M29" s="398" t="s">
        <v>1076</v>
      </c>
      <c r="N29" s="1270" t="s">
        <v>1077</v>
      </c>
      <c r="O29" s="1270"/>
      <c r="P29" s="1270" t="s">
        <v>480</v>
      </c>
      <c r="Q29" s="1269" t="s">
        <v>437</v>
      </c>
      <c r="R29" s="1270"/>
      <c r="S29" s="398" t="s">
        <v>480</v>
      </c>
    </row>
    <row r="30" spans="1:22" ht="96.75" customHeight="1">
      <c r="A30" s="408"/>
      <c r="B30" s="408"/>
      <c r="C30" s="349"/>
      <c r="D30" s="349"/>
      <c r="E30" s="398"/>
      <c r="F30" s="484"/>
      <c r="G30" s="486"/>
      <c r="H30" s="747"/>
      <c r="I30" s="382"/>
      <c r="J30" s="352"/>
      <c r="K30" s="349"/>
      <c r="L30" s="382"/>
      <c r="M30" s="397" t="s">
        <v>1072</v>
      </c>
      <c r="N30" s="1283" t="s">
        <v>495</v>
      </c>
      <c r="O30" s="1283"/>
      <c r="P30" s="1283"/>
      <c r="Q30" s="1281" t="s">
        <v>437</v>
      </c>
      <c r="R30" s="1282"/>
      <c r="S30" s="397" t="s">
        <v>480</v>
      </c>
    </row>
    <row r="31" spans="1:22">
      <c r="A31" s="408"/>
      <c r="B31" s="408"/>
      <c r="C31" s="349"/>
      <c r="D31" s="349"/>
      <c r="E31" s="398"/>
      <c r="F31" s="484"/>
      <c r="G31" s="486"/>
      <c r="H31" s="747"/>
      <c r="I31" s="382"/>
      <c r="J31" s="352"/>
      <c r="K31" s="349"/>
      <c r="L31" s="382"/>
      <c r="M31" s="398"/>
      <c r="N31" s="1270"/>
      <c r="O31" s="1270"/>
      <c r="P31" s="1270"/>
      <c r="Q31" s="356"/>
      <c r="R31" s="502"/>
      <c r="S31" s="398"/>
    </row>
    <row r="32" spans="1:22" ht="114.75" customHeight="1">
      <c r="A32" s="394" t="s">
        <v>1078</v>
      </c>
      <c r="B32" s="394"/>
      <c r="C32" s="390" t="s">
        <v>1079</v>
      </c>
      <c r="D32" s="390"/>
      <c r="E32" s="518" t="s">
        <v>499</v>
      </c>
      <c r="F32" s="518" t="s">
        <v>1080</v>
      </c>
      <c r="G32" s="389" t="s">
        <v>501</v>
      </c>
      <c r="H32" s="748"/>
      <c r="I32" s="697" t="s">
        <v>1080</v>
      </c>
      <c r="J32" s="392" t="s">
        <v>1081</v>
      </c>
      <c r="K32" s="390"/>
      <c r="L32" s="583"/>
      <c r="M32" s="836" t="s">
        <v>1082</v>
      </c>
      <c r="N32" s="1325" t="s">
        <v>436</v>
      </c>
      <c r="O32" s="1325"/>
      <c r="P32" s="1326"/>
      <c r="Q32" s="1325" t="s">
        <v>437</v>
      </c>
      <c r="R32" s="1325"/>
      <c r="S32" s="836" t="s">
        <v>480</v>
      </c>
    </row>
    <row r="33" spans="1:19" ht="71.25" customHeight="1">
      <c r="A33" s="537"/>
      <c r="B33" s="537"/>
      <c r="C33" s="538"/>
      <c r="D33" s="538"/>
      <c r="E33" s="388"/>
      <c r="F33" s="388"/>
      <c r="G33" s="364"/>
      <c r="H33" s="837"/>
      <c r="I33" s="822"/>
      <c r="J33" s="1278"/>
      <c r="K33" s="1278"/>
      <c r="L33" s="1278"/>
      <c r="M33" s="838"/>
      <c r="N33" s="1278"/>
      <c r="O33" s="1278"/>
      <c r="P33" s="1293"/>
      <c r="Q33" s="1278"/>
      <c r="R33" s="1278"/>
      <c r="S33" s="838"/>
    </row>
    <row r="34" spans="1:19" ht="98.25" customHeight="1">
      <c r="A34" s="849" t="s">
        <v>1083</v>
      </c>
      <c r="B34" s="421"/>
      <c r="C34" s="413" t="s">
        <v>1084</v>
      </c>
      <c r="D34" s="543"/>
      <c r="E34" s="414" t="s">
        <v>369</v>
      </c>
      <c r="F34" s="419" t="s">
        <v>75</v>
      </c>
      <c r="G34" s="423" t="s">
        <v>1085</v>
      </c>
      <c r="H34" s="749"/>
      <c r="I34" s="412"/>
      <c r="J34" s="411"/>
      <c r="K34" s="412"/>
      <c r="L34" s="412"/>
      <c r="M34" s="824" t="s">
        <v>1086</v>
      </c>
      <c r="N34" s="1330" t="s">
        <v>495</v>
      </c>
      <c r="O34" s="1331"/>
      <c r="P34" s="1331"/>
      <c r="Q34" s="1330" t="s">
        <v>437</v>
      </c>
      <c r="R34" s="1331"/>
      <c r="S34" s="825" t="s">
        <v>480</v>
      </c>
    </row>
    <row r="35" spans="1:19" ht="83.25" customHeight="1">
      <c r="A35" s="850"/>
      <c r="B35" s="464"/>
      <c r="C35" s="465"/>
      <c r="D35" s="465"/>
      <c r="E35" s="760"/>
      <c r="F35" s="694"/>
      <c r="G35" s="761"/>
      <c r="H35" s="762"/>
      <c r="I35" s="438"/>
      <c r="J35" s="437"/>
      <c r="K35" s="438"/>
      <c r="L35" s="438"/>
      <c r="M35" s="437" t="s">
        <v>1087</v>
      </c>
      <c r="N35" s="1332" t="s">
        <v>1088</v>
      </c>
      <c r="O35" s="1333"/>
      <c r="P35" s="1334"/>
      <c r="Q35" s="1333" t="s">
        <v>870</v>
      </c>
      <c r="R35" s="1333"/>
      <c r="S35" s="760" t="s">
        <v>480</v>
      </c>
    </row>
    <row r="36" spans="1:19" ht="42.75" customHeight="1">
      <c r="A36" s="851"/>
      <c r="B36" s="422"/>
      <c r="C36" s="410"/>
      <c r="D36" s="410"/>
      <c r="E36" s="760"/>
      <c r="F36" s="694"/>
      <c r="G36" s="761"/>
      <c r="H36" s="762"/>
      <c r="I36" s="438"/>
      <c r="J36" s="437"/>
      <c r="K36" s="438"/>
      <c r="L36" s="438"/>
      <c r="M36" s="491"/>
      <c r="N36" s="491"/>
      <c r="O36" s="492"/>
      <c r="P36" s="493"/>
      <c r="Q36" s="438"/>
      <c r="R36" s="438"/>
      <c r="S36" s="760"/>
    </row>
    <row r="37" spans="1:19" ht="82.5" customHeight="1">
      <c r="A37" s="852" t="s">
        <v>1089</v>
      </c>
      <c r="B37" s="424"/>
      <c r="C37" s="425" t="s">
        <v>1090</v>
      </c>
      <c r="D37" s="425"/>
      <c r="E37" s="434" t="s">
        <v>369</v>
      </c>
      <c r="F37" s="434" t="s">
        <v>75</v>
      </c>
      <c r="G37" s="475" t="s">
        <v>1091</v>
      </c>
      <c r="H37" s="764"/>
      <c r="I37" s="435"/>
      <c r="J37" s="434"/>
      <c r="K37" s="435"/>
      <c r="L37" s="435"/>
      <c r="M37" s="750" t="s">
        <v>1086</v>
      </c>
      <c r="N37" s="1335" t="s">
        <v>495</v>
      </c>
      <c r="O37" s="1335"/>
      <c r="P37" s="1335"/>
      <c r="Q37" s="1328" t="s">
        <v>437</v>
      </c>
      <c r="R37" s="1329"/>
      <c r="S37" s="481" t="s">
        <v>480</v>
      </c>
    </row>
    <row r="38" spans="1:19">
      <c r="A38" s="853"/>
      <c r="B38" s="424"/>
      <c r="C38" s="425"/>
      <c r="D38" s="425"/>
      <c r="E38" s="442"/>
      <c r="F38" s="442"/>
      <c r="G38" s="765"/>
      <c r="H38" s="766"/>
      <c r="I38" s="480"/>
      <c r="J38" s="442"/>
      <c r="K38" s="480"/>
      <c r="L38" s="480"/>
      <c r="M38" s="751" t="s">
        <v>1092</v>
      </c>
      <c r="N38" s="1327" t="s">
        <v>1093</v>
      </c>
      <c r="O38" s="1327"/>
      <c r="P38" s="1327"/>
      <c r="Q38" s="1328" t="s">
        <v>870</v>
      </c>
      <c r="R38" s="1329"/>
      <c r="S38" s="481" t="s">
        <v>480</v>
      </c>
    </row>
    <row r="39" spans="1:19" ht="63" customHeight="1">
      <c r="A39" s="854"/>
      <c r="B39" s="471"/>
      <c r="C39" s="472"/>
      <c r="D39" s="472"/>
      <c r="E39" s="763"/>
      <c r="F39" s="482"/>
      <c r="G39" s="695"/>
      <c r="H39" s="473"/>
      <c r="I39" s="467"/>
      <c r="J39" s="482"/>
      <c r="K39" s="467"/>
      <c r="L39" s="467"/>
      <c r="M39" s="752"/>
      <c r="N39" s="467"/>
      <c r="O39" s="467"/>
      <c r="P39" s="467"/>
      <c r="Q39" s="482"/>
      <c r="R39" s="468"/>
      <c r="S39" s="468"/>
    </row>
    <row r="49" spans="2:2">
      <c r="B49" s="245"/>
    </row>
    <row r="50" spans="2:2">
      <c r="B50" s="245"/>
    </row>
  </sheetData>
  <mergeCells count="41">
    <mergeCell ref="N38:P38"/>
    <mergeCell ref="Q38:R38"/>
    <mergeCell ref="N34:P34"/>
    <mergeCell ref="Q34:R34"/>
    <mergeCell ref="N35:P35"/>
    <mergeCell ref="Q35:R35"/>
    <mergeCell ref="N37:P37"/>
    <mergeCell ref="Q37:R37"/>
    <mergeCell ref="N30:P30"/>
    <mergeCell ref="N31:P31"/>
    <mergeCell ref="N32:P32"/>
    <mergeCell ref="Q32:R32"/>
    <mergeCell ref="J33:L33"/>
    <mergeCell ref="N33:P33"/>
    <mergeCell ref="Q33:R33"/>
    <mergeCell ref="Q30:R30"/>
    <mergeCell ref="N27:P27"/>
    <mergeCell ref="Q27:R27"/>
    <mergeCell ref="N28:P28"/>
    <mergeCell ref="N29:P29"/>
    <mergeCell ref="Q29:R29"/>
    <mergeCell ref="N26:P26"/>
    <mergeCell ref="Q26:R26"/>
    <mergeCell ref="N23:P23"/>
    <mergeCell ref="Q23:R23"/>
    <mergeCell ref="N24:P24"/>
    <mergeCell ref="Q24:R24"/>
    <mergeCell ref="N25:P25"/>
    <mergeCell ref="Q25:R25"/>
    <mergeCell ref="Q20:R20"/>
    <mergeCell ref="N21:P21"/>
    <mergeCell ref="Q21:R21"/>
    <mergeCell ref="N22:P22"/>
    <mergeCell ref="Q22:R22"/>
    <mergeCell ref="B16:B17"/>
    <mergeCell ref="A16:A17"/>
    <mergeCell ref="A14:A15"/>
    <mergeCell ref="A1:T1"/>
    <mergeCell ref="B2:T2"/>
    <mergeCell ref="B3:T3"/>
    <mergeCell ref="B14:B15"/>
  </mergeCells>
  <conditionalFormatting sqref="M21:N25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10" xr:uid="{550458D8-682D-4005-9041-1D3252017113}"/>
  </dataValidations>
  <hyperlinks>
    <hyperlink ref="A1" location="'Objetos de Dominio'!A1" display="Volver al inicio" xr:uid="{E6A705D5-C4A7-4C09-9408-BA935B4F1DAA}"/>
    <hyperlink ref="V4" location="'Objeto Dominio 2'!A17" display="'Objeto Dominio 2'!A17" xr:uid="{93A700E5-E567-4920-9F6C-BCA1FF50D6C1}"/>
    <hyperlink ref="W4" location="'Objeto Dominio 2'!A18" display="'Objeto Dominio 2'!A18" xr:uid="{65CBB51F-08EB-469E-90BE-E162AA3E64FE}"/>
    <hyperlink ref="X4" location="'Objeto Dominio 2'!A19" display="'Objeto Dominio 2'!A19" xr:uid="{9A673EA9-C5A9-4A4E-BE96-B7422A3CFC74}"/>
    <hyperlink ref="U4" location="'Objeto Dominio 2'!A16" display="'Objeto Dominio 2'!A16" xr:uid="{7FFE30FE-D171-4C36-A84B-28E78434DCCD}"/>
    <hyperlink ref="A1:T1" location="'Listado Objetos de Dominio'!A1" display="&lt;-Volver al inicio" xr:uid="{0C8941E5-DB38-41A6-8C8C-F2D9AEE1C464}"/>
    <hyperlink ref="C14" location="'Dia Caracterización'!A6" display="=A6" xr:uid="{3B0227E2-1E12-4C44-A941-547A487BD1F3}"/>
    <hyperlink ref="C15" location="'Excepción Horar Caracterización'!A9" display="=A9" xr:uid="{B4A45DBE-9734-41FF-81B8-2D2E04B85D24}"/>
    <hyperlink ref="C16" location="'Excepción Horar Caracterización'!A10" display="=A8" xr:uid="{CA5902EB-F28E-4F9A-B183-568A3936C768}"/>
    <hyperlink ref="C17" location="'Excepción Horar Caracterización'!A11" display="=A10" xr:uid="{3469E185-84E6-4025-B0CF-37B801E56E62}"/>
    <hyperlink ref="B2:T2" location="'Listado Objetos de Dominio'!A13" display="='Listado Objetos de Dominio'!$A$13" xr:uid="{93B4E277-E407-43CD-9B05-58D65263B081}"/>
    <hyperlink ref="H32" location="'Tipo Relación Institución'!A6" display="'Tipo Relación Institución'!A6" xr:uid="{98D46FE7-3295-43A6-A4B4-5130ECA93EC2}"/>
    <hyperlink ref="A26:B26" location="'Objeto Dominio 2'!R4" display="Reponsabilidad 2" xr:uid="{BB3219DA-DAF5-4ACF-8865-C79CCA9B79E3}"/>
    <hyperlink ref="A21:B21" location="'Objeto Dominio 2'!Q4" display="Reponsabilidad 1" xr:uid="{1204BA0F-D812-4829-A515-4168858AE10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482CD92-3ABC-4015-9467-123F536926E3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F427E2D7-E34C-4B0B-80D3-58F7AF296309}">
          <x14:formula1>
            <xm:f>Caracterizacion!$F$3</xm:f>
          </x14:formula1>
          <xm:sqref>J5</xm:sqref>
        </x14:dataValidation>
        <x14:dataValidation type="list" allowBlank="1" showInputMessage="1" showErrorMessage="1" xr:uid="{9B9FC1CC-922C-400E-87BC-EED765157322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8DDF4EC4-142B-4448-96F5-87C68D9C30EE}">
          <x14:formula1>
            <xm:f>Caracterizacion!$C$3:$C$18</xm:f>
          </x14:formula1>
          <xm:sqref>E5:E10 F6:G10</xm:sqref>
        </x14:dataValidation>
        <x14:dataValidation type="list" allowBlank="1" showInputMessage="1" showErrorMessage="1" xr:uid="{93617D1A-4AEE-4B85-B6D9-0191324667F4}">
          <x14:formula1>
            <xm:f>Caracterizacion!$A$3:$A$14</xm:f>
          </x14:formula1>
          <xm:sqref>B5</xm:sqref>
        </x14:dataValidation>
        <x14:dataValidation type="list" allowBlank="1" showInputMessage="1" showErrorMessage="1" xr:uid="{F45FEAF4-E992-42BC-A833-FB1E7DC82BBC}">
          <x14:formula1>
            <xm:f>Caracterizacion!$A$3:$A$40</xm:f>
          </x14:formula1>
          <xm:sqref>B6</xm:sqref>
        </x14:dataValidation>
        <x14:dataValidation type="list" allowBlank="1" showInputMessage="1" showErrorMessage="1" xr:uid="{2FC55880-C1F9-4819-AC21-2EFF1881CDC8}">
          <x14:formula1>
            <xm:f>Caracterizacion!$A$3:$A$41</xm:f>
          </x14:formula1>
          <xm:sqref>B7:B10</xm:sqref>
        </x14:dataValidation>
        <x14:dataValidation type="list" allowBlank="1" showInputMessage="1" showErrorMessage="1" xr:uid="{68DBD779-086C-4352-9D8F-EE8358701663}">
          <x14:formula1>
            <xm:f>Caracterizacion!$B$4:$B$506</xm:f>
          </x14:formula1>
          <xm:sqref>C5:D10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FC3E-D8A1-4E2F-862B-FE04B78EA2FA}">
  <dimension ref="A2:F77"/>
  <sheetViews>
    <sheetView topLeftCell="B1" workbookViewId="0">
      <selection activeCell="B7" sqref="B7"/>
    </sheetView>
  </sheetViews>
  <sheetFormatPr defaultRowHeight="15"/>
  <cols>
    <col min="1" max="1" width="40.140625" bestFit="1" customWidth="1"/>
    <col min="2" max="2" width="51.85546875" bestFit="1" customWidth="1"/>
    <col min="3" max="3" width="28.140625" customWidth="1"/>
    <col min="4" max="4" width="93.28515625" bestFit="1" customWidth="1"/>
    <col min="5" max="5" width="93.7109375" bestFit="1" customWidth="1"/>
    <col min="6" max="6" width="124.7109375" bestFit="1" customWidth="1"/>
  </cols>
  <sheetData>
    <row r="2" spans="1:6" ht="23.25">
      <c r="A2" s="125" t="s">
        <v>1094</v>
      </c>
      <c r="B2" s="125" t="s">
        <v>1095</v>
      </c>
      <c r="C2" s="125" t="s">
        <v>1096</v>
      </c>
      <c r="D2" s="122"/>
      <c r="E2" s="122"/>
      <c r="F2" s="122"/>
    </row>
    <row r="3" spans="1:6">
      <c r="A3" s="56" t="s">
        <v>369</v>
      </c>
      <c r="B3" s="56" t="s">
        <v>370</v>
      </c>
      <c r="C3" s="221" t="s">
        <v>509</v>
      </c>
      <c r="D3" s="117"/>
      <c r="E3" s="209"/>
      <c r="F3" s="209"/>
    </row>
    <row r="4" spans="1:6">
      <c r="A4" s="241" t="s">
        <v>1097</v>
      </c>
      <c r="B4" s="56" t="s">
        <v>1098</v>
      </c>
      <c r="C4" s="221" t="str">
        <f>B4</f>
        <v>Baike universe</v>
      </c>
      <c r="D4" s="117"/>
      <c r="E4" s="59"/>
      <c r="F4" s="59"/>
    </row>
    <row r="5" spans="1:6">
      <c r="A5" s="241" t="s">
        <v>1099</v>
      </c>
      <c r="B5" s="56" t="s">
        <v>1098</v>
      </c>
      <c r="C5" s="221" t="str">
        <f t="shared" ref="C5:C8" si="0">B5</f>
        <v>Baike universe</v>
      </c>
      <c r="D5" s="117"/>
      <c r="E5" s="59"/>
      <c r="F5" s="59"/>
    </row>
    <row r="6" spans="1:6">
      <c r="A6" s="241" t="s">
        <v>1100</v>
      </c>
      <c r="B6" s="56" t="s">
        <v>1101</v>
      </c>
      <c r="C6" s="221" t="str">
        <f t="shared" si="0"/>
        <v>Dos Ruedas</v>
      </c>
      <c r="D6" s="59"/>
    </row>
    <row r="7" spans="1:6">
      <c r="A7" s="241" t="s">
        <v>1102</v>
      </c>
      <c r="B7" s="56" t="s">
        <v>1103</v>
      </c>
      <c r="C7" s="221" t="str">
        <f t="shared" si="0"/>
        <v>MotoLand</v>
      </c>
      <c r="D7" s="59"/>
    </row>
    <row r="8" spans="1:6">
      <c r="A8" s="241" t="s">
        <v>1100</v>
      </c>
      <c r="B8" s="56" t="s">
        <v>1104</v>
      </c>
      <c r="C8" s="221" t="str">
        <f t="shared" si="0"/>
        <v>Todo Motos</v>
      </c>
      <c r="D8" s="59"/>
    </row>
    <row r="9" spans="1:6">
      <c r="B9" s="59"/>
      <c r="D9" s="59"/>
    </row>
    <row r="10" spans="1:6">
      <c r="B10" s="59"/>
    </row>
    <row r="15" spans="1:6">
      <c r="B15" s="240"/>
    </row>
    <row r="16" spans="1:6">
      <c r="B16" s="59"/>
    </row>
    <row r="17" spans="2:2">
      <c r="B17" s="59"/>
    </row>
    <row r="18" spans="2:2">
      <c r="B18" s="59"/>
    </row>
    <row r="19" spans="2:2">
      <c r="B19" s="59"/>
    </row>
    <row r="20" spans="2:2">
      <c r="B20" s="59"/>
    </row>
    <row r="21" spans="2:2">
      <c r="B21" s="59"/>
    </row>
    <row r="22" spans="2:2">
      <c r="B22" s="59"/>
    </row>
    <row r="23" spans="2:2">
      <c r="B23" s="59"/>
    </row>
    <row r="24" spans="2:2">
      <c r="B24" s="59"/>
    </row>
    <row r="25" spans="2:2">
      <c r="B25" s="59"/>
    </row>
    <row r="26" spans="2:2">
      <c r="B26" s="59"/>
    </row>
    <row r="27" spans="2:2">
      <c r="B27" s="59"/>
    </row>
    <row r="28" spans="2:2">
      <c r="B28" s="59"/>
    </row>
    <row r="29" spans="2:2">
      <c r="B29" s="59"/>
    </row>
    <row r="30" spans="2:2">
      <c r="B30" s="59"/>
    </row>
    <row r="31" spans="2:2">
      <c r="B31" s="59"/>
    </row>
    <row r="32" spans="2:2">
      <c r="B32" s="59"/>
    </row>
    <row r="33" spans="1:2">
      <c r="B33" s="59"/>
    </row>
    <row r="34" spans="1:2">
      <c r="B34" s="59"/>
    </row>
    <row r="35" spans="1:2">
      <c r="B35" s="59"/>
    </row>
    <row r="36" spans="1:2">
      <c r="A36" s="73"/>
      <c r="B36" s="59"/>
    </row>
    <row r="37" spans="1:2">
      <c r="B37" s="59"/>
    </row>
    <row r="38" spans="1:2">
      <c r="B38" s="59"/>
    </row>
    <row r="39" spans="1:2">
      <c r="B39" s="59"/>
    </row>
    <row r="40" spans="1:2">
      <c r="B40" s="59"/>
    </row>
    <row r="41" spans="1:2">
      <c r="B41" s="59"/>
    </row>
    <row r="42" spans="1:2">
      <c r="B42" s="59"/>
    </row>
    <row r="43" spans="1:2">
      <c r="B43" s="59"/>
    </row>
    <row r="44" spans="1:2">
      <c r="B44" s="59"/>
    </row>
    <row r="45" spans="1:2">
      <c r="B45" s="59"/>
    </row>
    <row r="46" spans="1:2">
      <c r="B46" s="59"/>
    </row>
    <row r="47" spans="1:2">
      <c r="B47" s="59"/>
    </row>
    <row r="48" spans="1:2">
      <c r="B48" s="59"/>
    </row>
    <row r="49" spans="2:2">
      <c r="B49" s="59"/>
    </row>
    <row r="50" spans="2:2">
      <c r="B50" s="59"/>
    </row>
    <row r="51" spans="2:2">
      <c r="B51" s="59"/>
    </row>
    <row r="52" spans="2:2">
      <c r="B52" s="59"/>
    </row>
    <row r="53" spans="2:2">
      <c r="B53" s="59"/>
    </row>
    <row r="54" spans="2:2">
      <c r="B54" s="59"/>
    </row>
    <row r="55" spans="2:2">
      <c r="B55" s="59"/>
    </row>
    <row r="56" spans="2:2">
      <c r="B56" s="59"/>
    </row>
    <row r="57" spans="2:2">
      <c r="B57" s="59"/>
    </row>
    <row r="58" spans="2:2">
      <c r="B58" s="59"/>
    </row>
    <row r="59" spans="2:2">
      <c r="B59" s="59"/>
    </row>
    <row r="60" spans="2:2">
      <c r="B60" s="59"/>
    </row>
    <row r="61" spans="2:2">
      <c r="B61" s="59"/>
    </row>
    <row r="62" spans="2:2">
      <c r="B62" s="59"/>
    </row>
    <row r="63" spans="2:2">
      <c r="B63" s="59"/>
    </row>
    <row r="64" spans="2:2">
      <c r="B64" s="59"/>
    </row>
    <row r="65" spans="2:2">
      <c r="B65" s="59"/>
    </row>
    <row r="66" spans="2:2">
      <c r="B66" s="59"/>
    </row>
    <row r="67" spans="2:2">
      <c r="B67" s="59"/>
    </row>
    <row r="68" spans="2:2">
      <c r="B68" s="59"/>
    </row>
    <row r="69" spans="2:2">
      <c r="B69" s="59"/>
    </row>
    <row r="70" spans="2:2">
      <c r="B70" s="59"/>
    </row>
    <row r="71" spans="2:2">
      <c r="B71" s="59"/>
    </row>
    <row r="72" spans="2:2">
      <c r="B72" s="59"/>
    </row>
    <row r="73" spans="2:2">
      <c r="B73" s="59"/>
    </row>
    <row r="74" spans="2:2">
      <c r="B74" s="59"/>
    </row>
    <row r="75" spans="2:2">
      <c r="B75" s="59"/>
    </row>
    <row r="76" spans="2:2">
      <c r="B76" s="59"/>
    </row>
    <row r="77" spans="2:2">
      <c r="B77" s="5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1DFB-671F-4899-B2C7-C3DD27AA4271}">
  <dimension ref="A1:X31"/>
  <sheetViews>
    <sheetView zoomScale="85" zoomScaleNormal="85" workbookViewId="0">
      <pane xSplit="1" topLeftCell="I6" activePane="topRight" state="frozen"/>
      <selection pane="topRight" activeCell="I6" sqref="I6"/>
    </sheetView>
  </sheetViews>
  <sheetFormatPr defaultColWidth="11.42578125" defaultRowHeight="15"/>
  <cols>
    <col min="1" max="1" width="40.28515625" style="1" bestFit="1" customWidth="1"/>
    <col min="2" max="2" width="25.42578125" style="1" bestFit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6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66.85546875" style="1" bestFit="1" customWidth="1"/>
    <col min="21" max="21" width="70.4257812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209" t="str">
        <f>'Listado Objetos de Dominio'!$A$10</f>
        <v>Franquicia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4">
      <c r="A3" s="189" t="s">
        <v>392</v>
      </c>
      <c r="B3" s="1210" t="str">
        <f>'Listado Objetos de Dominio'!$B$10</f>
        <v>Objeto de dominio que representa el nombre comercial de la franquicia que ofrece servicios para motocicletas.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A20</f>
        <v>Registrar Información de la  Franquicia</v>
      </c>
      <c r="V4" s="35" t="str">
        <f>A23</f>
        <v>Modificar Información de la  Franquicia</v>
      </c>
      <c r="W4" s="36" t="str">
        <f>A26</f>
        <v>Eliminar Información de la Franquicia</v>
      </c>
      <c r="X4" s="2" t="str">
        <f>A30</f>
        <v>Consultar Información de la  Franquicia</v>
      </c>
    </row>
    <row r="5" spans="1:24">
      <c r="A5" s="184" t="str">
        <f>'Franquicia Muestreo'!A3</f>
        <v>id</v>
      </c>
      <c r="B5" s="216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'Franquicia Muestreo'!A2</f>
        <v>Corresponde al identificador único que identifica cada franquicia</v>
      </c>
      <c r="U5" s="798" t="s">
        <v>467</v>
      </c>
      <c r="V5" s="700" t="s">
        <v>409</v>
      </c>
      <c r="W5" s="799" t="s">
        <v>467</v>
      </c>
      <c r="X5" s="804" t="s">
        <v>408</v>
      </c>
    </row>
    <row r="6" spans="1:24" ht="54" customHeight="1">
      <c r="A6" s="216" t="str">
        <f>'Franquicia Muestreo'!B3</f>
        <v>nombre</v>
      </c>
      <c r="B6" s="216" t="s">
        <v>75</v>
      </c>
      <c r="C6" s="216">
        <v>1</v>
      </c>
      <c r="D6" s="216">
        <v>100</v>
      </c>
      <c r="E6" s="216"/>
      <c r="F6" s="216"/>
      <c r="G6" s="216"/>
      <c r="H6" s="216" t="s">
        <v>410</v>
      </c>
      <c r="I6" s="5" t="s">
        <v>411</v>
      </c>
      <c r="J6" s="216"/>
      <c r="K6" s="217"/>
      <c r="L6" s="218" t="s">
        <v>78</v>
      </c>
      <c r="M6" s="218" t="s">
        <v>78</v>
      </c>
      <c r="N6" s="218" t="s">
        <v>81</v>
      </c>
      <c r="O6" s="218" t="s">
        <v>81</v>
      </c>
      <c r="P6" s="218" t="s">
        <v>78</v>
      </c>
      <c r="Q6" s="218" t="s">
        <v>78</v>
      </c>
      <c r="R6" s="218" t="s">
        <v>81</v>
      </c>
      <c r="S6" s="218" t="s">
        <v>81</v>
      </c>
      <c r="T6" s="791" t="str">
        <f>'Franquicia Muestreo'!B2</f>
        <v>Corresponde al atributo que indica el nombre comercial de la franquicia</v>
      </c>
      <c r="U6" s="800" t="s">
        <v>467</v>
      </c>
      <c r="V6" s="801" t="s">
        <v>409</v>
      </c>
      <c r="W6" s="802" t="s">
        <v>933</v>
      </c>
      <c r="X6" s="803" t="s">
        <v>1105</v>
      </c>
    </row>
    <row r="7" spans="1:24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9"/>
      <c r="L7" s="180"/>
      <c r="M7" s="180"/>
      <c r="N7" s="180"/>
      <c r="O7" s="180"/>
      <c r="P7" s="180"/>
      <c r="Q7" s="180"/>
      <c r="R7" s="180"/>
      <c r="S7" s="180"/>
      <c r="T7" s="179"/>
      <c r="U7" s="178"/>
    </row>
    <row r="8" spans="1:24" ht="15" customHeight="1"/>
    <row r="9" spans="1:24" ht="35.25" customHeight="1">
      <c r="A9" s="1211" t="s">
        <v>414</v>
      </c>
      <c r="B9" s="1212"/>
      <c r="C9" s="1213"/>
      <c r="G9" s="1" t="s">
        <v>418</v>
      </c>
    </row>
    <row r="10" spans="1:24">
      <c r="A10" s="193" t="s">
        <v>415</v>
      </c>
      <c r="B10" s="193" t="s">
        <v>2</v>
      </c>
      <c r="C10" s="193" t="s">
        <v>416</v>
      </c>
    </row>
    <row r="11" spans="1:24" ht="40.5" customHeight="1">
      <c r="A11" s="242" t="s">
        <v>1106</v>
      </c>
      <c r="B11" s="242" t="str">
        <f>'Franquicia Muestreo'!C2</f>
        <v>La franquicia no debe tener duplicidad en su nombre</v>
      </c>
      <c r="C11" s="243" t="str">
        <f>A6</f>
        <v>nombre</v>
      </c>
    </row>
    <row r="12" spans="1:24">
      <c r="A12" s="179"/>
      <c r="B12" s="179"/>
      <c r="C12" s="117"/>
    </row>
    <row r="13" spans="1:24" ht="15" customHeight="1">
      <c r="A13" s="179"/>
      <c r="B13" s="179"/>
      <c r="C13" s="117"/>
    </row>
    <row r="14" spans="1:24">
      <c r="A14" s="179"/>
      <c r="B14" s="179"/>
      <c r="C14" s="117"/>
    </row>
    <row r="18" spans="1:22">
      <c r="A18" s="358" t="s">
        <v>419</v>
      </c>
      <c r="B18" s="317"/>
      <c r="C18" s="317" t="s">
        <v>2</v>
      </c>
      <c r="D18" s="317"/>
      <c r="E18" s="318"/>
      <c r="F18" s="319"/>
      <c r="G18" s="317" t="s">
        <v>420</v>
      </c>
      <c r="H18" s="333"/>
      <c r="I18" s="319"/>
      <c r="J18" s="319" t="s">
        <v>421</v>
      </c>
      <c r="K18" s="319"/>
      <c r="L18" s="319"/>
      <c r="M18" s="318"/>
      <c r="N18" s="319" t="s">
        <v>422</v>
      </c>
      <c r="O18" s="319"/>
      <c r="P18" s="319"/>
      <c r="Q18" s="318"/>
      <c r="R18" s="319" t="s">
        <v>474</v>
      </c>
      <c r="S18" s="317"/>
      <c r="T18" s="290"/>
      <c r="U18" s="290"/>
      <c r="V18" s="290"/>
    </row>
    <row r="19" spans="1:22">
      <c r="A19" s="312"/>
      <c r="B19" s="346"/>
      <c r="C19" s="346"/>
      <c r="D19" s="340"/>
      <c r="E19" s="341" t="s">
        <v>423</v>
      </c>
      <c r="F19" s="337" t="s">
        <v>424</v>
      </c>
      <c r="G19" s="316"/>
      <c r="H19" s="333" t="s">
        <v>2</v>
      </c>
      <c r="I19" s="346" t="s">
        <v>66</v>
      </c>
      <c r="J19" s="339"/>
      <c r="K19" s="346" t="s">
        <v>2</v>
      </c>
      <c r="L19" s="340"/>
      <c r="M19" s="337" t="s">
        <v>425</v>
      </c>
      <c r="N19" s="334"/>
      <c r="O19" s="335" t="s">
        <v>2</v>
      </c>
      <c r="P19" s="335"/>
      <c r="Q19" s="1178" t="s">
        <v>426</v>
      </c>
      <c r="R19" s="1179"/>
      <c r="S19" s="317" t="s">
        <v>427</v>
      </c>
      <c r="T19" s="290"/>
      <c r="U19" s="290"/>
      <c r="V19" s="290"/>
    </row>
    <row r="20" spans="1:22" ht="106.5" customHeight="1">
      <c r="A20" s="592" t="s">
        <v>1107</v>
      </c>
      <c r="B20" s="593"/>
      <c r="C20" s="594" t="s">
        <v>1108</v>
      </c>
      <c r="D20" s="594"/>
      <c r="E20" s="344" t="s">
        <v>441</v>
      </c>
      <c r="F20" s="680" t="s">
        <v>127</v>
      </c>
      <c r="G20" s="683" t="s">
        <v>1109</v>
      </c>
      <c r="H20" s="428"/>
      <c r="I20" s="595"/>
      <c r="J20" s="594"/>
      <c r="K20" s="594"/>
      <c r="L20" s="595"/>
      <c r="M20" s="365" t="s">
        <v>1110</v>
      </c>
      <c r="N20" s="1264" t="s">
        <v>495</v>
      </c>
      <c r="O20" s="1258"/>
      <c r="P20" s="1259"/>
      <c r="Q20" s="1260" t="s">
        <v>870</v>
      </c>
      <c r="R20" s="1257"/>
      <c r="S20" s="796" t="s">
        <v>480</v>
      </c>
    </row>
    <row r="21" spans="1:22" ht="129.75" customHeight="1">
      <c r="A21" s="581"/>
      <c r="B21" s="596"/>
      <c r="C21" s="597"/>
      <c r="D21" s="597"/>
      <c r="E21" s="396"/>
      <c r="F21" s="681"/>
      <c r="G21" s="679"/>
      <c r="H21" s="430"/>
      <c r="I21" s="599"/>
      <c r="J21" s="597"/>
      <c r="K21" s="597"/>
      <c r="L21" s="599"/>
      <c r="M21" s="365" t="s">
        <v>1111</v>
      </c>
      <c r="N21" s="1257" t="s">
        <v>1112</v>
      </c>
      <c r="O21" s="1258"/>
      <c r="P21" s="1259"/>
      <c r="Q21" s="1260" t="s">
        <v>870</v>
      </c>
      <c r="R21" s="1257"/>
      <c r="S21" s="796" t="s">
        <v>480</v>
      </c>
      <c r="T21" s="291"/>
      <c r="U21" s="291"/>
    </row>
    <row r="22" spans="1:22" ht="101.25" customHeight="1">
      <c r="A22" s="581"/>
      <c r="B22" s="596"/>
      <c r="C22" s="597"/>
      <c r="D22" s="597"/>
      <c r="E22" s="396"/>
      <c r="F22" s="681"/>
      <c r="G22" s="679"/>
      <c r="H22" s="430"/>
      <c r="I22" s="599"/>
      <c r="J22" s="597"/>
      <c r="K22" s="597"/>
      <c r="L22" s="599"/>
      <c r="M22" s="365" t="s">
        <v>1113</v>
      </c>
      <c r="N22" s="1218" t="s">
        <v>1114</v>
      </c>
      <c r="O22" s="1219"/>
      <c r="P22" s="1220"/>
      <c r="Q22" s="1336" t="s">
        <v>483</v>
      </c>
      <c r="R22" s="1218"/>
      <c r="S22" s="797" t="s">
        <v>484</v>
      </c>
      <c r="T22" s="291"/>
      <c r="U22" s="291"/>
    </row>
    <row r="23" spans="1:22" ht="100.5" customHeight="1">
      <c r="A23" s="342" t="s">
        <v>1115</v>
      </c>
      <c r="B23" s="600"/>
      <c r="C23" s="580" t="s">
        <v>1116</v>
      </c>
      <c r="D23" s="580"/>
      <c r="E23" s="517" t="s">
        <v>441</v>
      </c>
      <c r="F23" s="696" t="s">
        <v>127</v>
      </c>
      <c r="G23" s="550" t="s">
        <v>1117</v>
      </c>
      <c r="H23" s="551"/>
      <c r="I23" s="361"/>
      <c r="J23" s="580"/>
      <c r="K23" s="580"/>
      <c r="L23" s="773"/>
      <c r="M23" s="517" t="s">
        <v>1118</v>
      </c>
      <c r="N23" s="1272" t="s">
        <v>495</v>
      </c>
      <c r="O23" s="1273"/>
      <c r="P23" s="1274"/>
      <c r="Q23" s="1275" t="s">
        <v>881</v>
      </c>
      <c r="R23" s="1275"/>
      <c r="S23" s="787" t="s">
        <v>480</v>
      </c>
    </row>
    <row r="24" spans="1:22" ht="64.5" customHeight="1">
      <c r="A24" s="601"/>
      <c r="B24" s="601"/>
      <c r="C24" s="601"/>
      <c r="D24" s="601"/>
      <c r="E24" s="487" t="s">
        <v>369</v>
      </c>
      <c r="F24" s="369" t="s">
        <v>75</v>
      </c>
      <c r="G24" s="623" t="s">
        <v>1119</v>
      </c>
      <c r="H24" s="624"/>
      <c r="I24" s="602"/>
      <c r="J24" s="601"/>
      <c r="K24" s="601"/>
      <c r="L24" s="601"/>
      <c r="M24" s="768"/>
      <c r="N24" s="1228"/>
      <c r="O24" s="1229"/>
      <c r="P24" s="1337"/>
      <c r="Q24" s="1229"/>
      <c r="R24" s="1229"/>
      <c r="S24" s="782"/>
    </row>
    <row r="25" spans="1:22" ht="112.5" customHeight="1">
      <c r="A25" s="601"/>
      <c r="B25" s="601"/>
      <c r="C25" s="601"/>
      <c r="D25" s="601"/>
      <c r="E25" s="372"/>
      <c r="F25" s="369"/>
      <c r="G25" s="431"/>
      <c r="H25" s="432"/>
      <c r="I25" s="602"/>
      <c r="J25" s="601"/>
      <c r="K25" s="601"/>
      <c r="L25" s="601"/>
      <c r="M25" s="768"/>
      <c r="N25" s="1228"/>
      <c r="O25" s="1229"/>
      <c r="P25" s="1337"/>
      <c r="Q25" s="1277"/>
      <c r="R25" s="1277"/>
      <c r="S25" s="774"/>
    </row>
    <row r="26" spans="1:22" ht="63" customHeight="1">
      <c r="A26" s="605" t="s">
        <v>1120</v>
      </c>
      <c r="B26" s="606"/>
      <c r="C26" s="382" t="s">
        <v>1121</v>
      </c>
      <c r="D26" s="382"/>
      <c r="E26" s="470" t="s">
        <v>885</v>
      </c>
      <c r="F26" s="398" t="s">
        <v>75</v>
      </c>
      <c r="G26" s="486" t="s">
        <v>1122</v>
      </c>
      <c r="H26" s="386"/>
      <c r="I26" s="354"/>
      <c r="J26" s="470"/>
      <c r="K26" s="382"/>
      <c r="L26" s="354"/>
      <c r="M26" s="470"/>
      <c r="N26" s="1269"/>
      <c r="O26" s="1270"/>
      <c r="P26" s="1271"/>
      <c r="Q26" s="382"/>
      <c r="R26" s="354"/>
      <c r="S26" s="403"/>
    </row>
    <row r="27" spans="1:22" ht="103.5" customHeight="1">
      <c r="A27" s="608"/>
      <c r="B27" s="606"/>
      <c r="C27" s="382"/>
      <c r="D27" s="382"/>
      <c r="E27" s="470"/>
      <c r="F27" s="398"/>
      <c r="G27" s="486"/>
      <c r="H27" s="386"/>
      <c r="I27" s="354"/>
      <c r="J27" s="470"/>
      <c r="K27" s="382"/>
      <c r="L27" s="354"/>
      <c r="M27" s="470" t="s">
        <v>1123</v>
      </c>
      <c r="N27" s="1269" t="s">
        <v>1124</v>
      </c>
      <c r="O27" s="1270"/>
      <c r="P27" s="1271" t="s">
        <v>480</v>
      </c>
      <c r="Q27" s="1270" t="s">
        <v>1125</v>
      </c>
      <c r="R27" s="1270"/>
      <c r="S27" s="403" t="s">
        <v>480</v>
      </c>
    </row>
    <row r="28" spans="1:22" ht="47.25" customHeight="1">
      <c r="A28" s="608"/>
      <c r="B28" s="606"/>
      <c r="C28" s="382"/>
      <c r="D28" s="382"/>
      <c r="E28" s="470"/>
      <c r="F28" s="398"/>
      <c r="G28" s="486"/>
      <c r="H28" s="386"/>
      <c r="I28" s="354"/>
      <c r="J28" s="470"/>
      <c r="K28" s="382"/>
      <c r="L28" s="354"/>
      <c r="M28" s="470"/>
      <c r="N28" s="1269"/>
      <c r="O28" s="1270"/>
      <c r="P28" s="1271"/>
      <c r="Q28" s="382"/>
      <c r="R28" s="354"/>
      <c r="S28" s="403"/>
    </row>
    <row r="29" spans="1:22" ht="50.25" customHeight="1">
      <c r="A29" s="608"/>
      <c r="B29" s="606"/>
      <c r="C29" s="382"/>
      <c r="D29" s="382"/>
      <c r="E29" s="501"/>
      <c r="F29" s="400"/>
      <c r="G29" s="549"/>
      <c r="H29" s="496"/>
      <c r="I29" s="354"/>
      <c r="J29" s="470"/>
      <c r="K29" s="382"/>
      <c r="L29" s="354"/>
      <c r="M29" s="470"/>
      <c r="N29" s="1269"/>
      <c r="O29" s="1270"/>
      <c r="P29" s="1271"/>
      <c r="Q29" s="382"/>
      <c r="R29" s="354"/>
      <c r="S29" s="403"/>
    </row>
    <row r="30" spans="1:22" ht="78.75" customHeight="1">
      <c r="A30" s="609" t="s">
        <v>1126</v>
      </c>
      <c r="B30" s="609"/>
      <c r="C30" s="583" t="s">
        <v>1127</v>
      </c>
      <c r="D30" s="583"/>
      <c r="E30" s="415" t="s">
        <v>499</v>
      </c>
      <c r="F30" s="415" t="s">
        <v>1128</v>
      </c>
      <c r="G30" s="417" t="s">
        <v>501</v>
      </c>
      <c r="H30" s="418"/>
      <c r="I30" s="391" t="s">
        <v>1128</v>
      </c>
      <c r="J30" s="392" t="s">
        <v>1129</v>
      </c>
      <c r="K30" s="583"/>
      <c r="L30" s="539"/>
      <c r="M30" s="420" t="s">
        <v>1130</v>
      </c>
      <c r="N30" s="1325" t="s">
        <v>436</v>
      </c>
      <c r="O30" s="1325"/>
      <c r="P30" s="1325"/>
      <c r="Q30" s="1338" t="s">
        <v>1131</v>
      </c>
      <c r="R30" s="1325"/>
      <c r="S30" s="420" t="s">
        <v>480</v>
      </c>
    </row>
    <row r="31" spans="1:22" ht="42" customHeight="1">
      <c r="A31" s="610"/>
      <c r="B31" s="610"/>
      <c r="C31" s="582"/>
      <c r="D31" s="582"/>
      <c r="E31" s="415"/>
      <c r="F31" s="415"/>
      <c r="G31" s="417"/>
      <c r="H31" s="418"/>
      <c r="I31" s="393"/>
      <c r="J31" s="1278"/>
      <c r="K31" s="1278"/>
      <c r="L31" s="1278"/>
      <c r="M31" s="540"/>
      <c r="N31" s="1278"/>
      <c r="O31" s="1278"/>
      <c r="P31" s="1278"/>
      <c r="Q31" s="1292"/>
      <c r="R31" s="1278"/>
      <c r="S31" s="540"/>
    </row>
  </sheetData>
  <mergeCells count="27">
    <mergeCell ref="N30:P30"/>
    <mergeCell ref="Q30:R30"/>
    <mergeCell ref="J31:L31"/>
    <mergeCell ref="N31:P31"/>
    <mergeCell ref="Q31:R31"/>
    <mergeCell ref="N26:P26"/>
    <mergeCell ref="N27:P27"/>
    <mergeCell ref="Q27:R27"/>
    <mergeCell ref="N28:P28"/>
    <mergeCell ref="N29:P29"/>
    <mergeCell ref="N24:P24"/>
    <mergeCell ref="Q24:R24"/>
    <mergeCell ref="N25:P25"/>
    <mergeCell ref="Q25:R25"/>
    <mergeCell ref="N23:P23"/>
    <mergeCell ref="Q23:R23"/>
    <mergeCell ref="N20:P20"/>
    <mergeCell ref="Q20:R20"/>
    <mergeCell ref="N21:P21"/>
    <mergeCell ref="Q21:R21"/>
    <mergeCell ref="N22:P22"/>
    <mergeCell ref="Q22:R22"/>
    <mergeCell ref="A1:T1"/>
    <mergeCell ref="B2:T2"/>
    <mergeCell ref="B3:T3"/>
    <mergeCell ref="A9:C9"/>
    <mergeCell ref="Q19:R19"/>
  </mergeCells>
  <conditionalFormatting sqref="N20:N22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" xr:uid="{441DA49C-B168-45C1-94F2-0D9749EA0D3C}"/>
  </dataValidations>
  <hyperlinks>
    <hyperlink ref="A1" location="'Objetos de Dominio'!A1" display="Volver al inicio" xr:uid="{3AC73FBC-25E0-4208-835B-FA609090A704}"/>
    <hyperlink ref="V4" location="'Objeto Dominio 2'!A17" display="'Objeto Dominio 2'!A17" xr:uid="{A0C44861-FBB1-4E0B-BE8A-3CB4F69BBFE7}"/>
    <hyperlink ref="W4" location="'Objeto Dominio 2'!A18" display="'Objeto Dominio 2'!A18" xr:uid="{33CAED44-F51D-4806-8EBD-5AE15D5CD12C}"/>
    <hyperlink ref="X4" location="'Objeto Dominio 2'!A19" display="'Objeto Dominio 2'!A19" xr:uid="{B0C76ECB-F2F7-47A2-8BDA-63E0E31CF9D5}"/>
    <hyperlink ref="U4" location="'Objeto Dominio 2'!A16" display="'Objeto Dominio 2'!A16" xr:uid="{04E91FF2-413C-4F9D-B61C-A02A91967E4E}"/>
    <hyperlink ref="A1:T1" location="'Listado Objetos de Dominio'!A1" display="&lt;-Volver al inicio" xr:uid="{10D5ACA8-7ADC-48D8-A5ED-FE08AFE636ED}"/>
    <hyperlink ref="C11" location="'Estableciemiento Caracterizació'!A6" display="=A6" xr:uid="{D2CAF82C-C422-4F01-8DB8-4853E22C9D84}"/>
    <hyperlink ref="B2:T2" location="'Listado Objetos de Dominio'!A10" display="='Listado Objetos de Dominio'!$A$10" xr:uid="{91B5FA69-5627-4D57-8C53-482178202D3E}"/>
    <hyperlink ref="H30" location="'Tipo Relación Institución'!A6" display="'Tipo Relación Institución'!A6" xr:uid="{166435EC-E5BA-4B70-9EE9-13442025B603}"/>
    <hyperlink ref="A23:B23" location="'Objeto Dominio 2'!R4" display="Reponsabilidad 2" xr:uid="{EB4CA9E0-599A-4A3B-B390-5C7FA162B87B}"/>
    <hyperlink ref="A20:B20" location="'Objeto Dominio 2'!Q4" display="Reponsabilidad 1" xr:uid="{B3F10C43-8890-46BC-B9B1-61062D53CDFB}"/>
    <hyperlink ref="A30:B30" location="'Objeto Dominio 2'!T4" display="Reponsabilidad 4" xr:uid="{4385CAE8-AFFC-46F9-9F95-C738C3AA50D0}"/>
    <hyperlink ref="A26:B26" location="'Objeto Dominio 2'!S4" display="Reponsabilidad 3" xr:uid="{4036B2A9-785C-402D-A4C3-2E60A500C98F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BAB39FE-599C-449D-AFF6-68AB525EF0FD}">
          <x14:formula1>
            <xm:f>Caracterizacion!$A$3:$A$40</xm:f>
          </x14:formula1>
          <xm:sqref>B7</xm:sqref>
        </x14:dataValidation>
        <x14:dataValidation type="custom" allowBlank="1" showInputMessage="1" showErrorMessage="1" xr:uid="{34B736FB-D8ED-4238-85A6-FD360A5A59E0}">
          <x14:formula1>
            <xm:f>Caracterizacion!$F$3</xm:f>
          </x14:formula1>
          <xm:sqref>J5</xm:sqref>
        </x14:dataValidation>
        <x14:dataValidation type="list" allowBlank="1" showInputMessage="1" showErrorMessage="1" xr:uid="{3774CD41-77AB-4326-BAFA-2AB538F61623}">
          <x14:formula1>
            <xm:f>Caracterizacion!$A$3:$A$45</xm:f>
          </x14:formula1>
          <xm:sqref>B5:B6</xm:sqref>
        </x14:dataValidation>
        <x14:dataValidation type="list" allowBlank="1" showInputMessage="1" showErrorMessage="1" xr:uid="{9A63A9E9-89DE-43C4-88C0-C04E98C3C39E}">
          <x14:formula1>
            <xm:f>Caracterizacion!$B$3:$B$515</xm:f>
          </x14:formula1>
          <xm:sqref>F5:G7</xm:sqref>
        </x14:dataValidation>
        <x14:dataValidation type="list" allowBlank="1" showInputMessage="1" showErrorMessage="1" xr:uid="{C72C48DE-7A0E-4293-8832-D884E00D61A0}">
          <x14:formula1>
            <xm:f>Caracterizacion!$B$4:$B$506</xm:f>
          </x14:formula1>
          <xm:sqref>C5:D7</xm:sqref>
        </x14:dataValidation>
        <x14:dataValidation type="list" allowBlank="1" showInputMessage="1" showErrorMessage="1" xr:uid="{7E6F51BE-DA25-42EF-BF52-E13A2D9B8F8F}">
          <x14:formula1>
            <xm:f>Caracterizacion!$C$3:$C$18</xm:f>
          </x14:formula1>
          <xm:sqref>E5:E7</xm:sqref>
        </x14:dataValidation>
        <x14:dataValidation type="list" allowBlank="1" showInputMessage="1" showErrorMessage="1" xr:uid="{16FED11C-D573-4A9D-9107-55F5679FDC5F}">
          <x14:formula1>
            <xm:f>Caracterizacion!$H$3:$H$4</xm:f>
          </x14:formula1>
          <xm:sqref>L5:S7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5D47-DD28-4BDB-AD38-BC051FA3B12F}">
  <dimension ref="A2:H12"/>
  <sheetViews>
    <sheetView workbookViewId="0">
      <selection activeCell="D3" sqref="D3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9" bestFit="1" customWidth="1"/>
    <col min="5" max="5" width="18.5703125" customWidth="1"/>
    <col min="6" max="6" width="43.7109375" customWidth="1"/>
    <col min="7" max="7" width="36.7109375" bestFit="1" customWidth="1"/>
    <col min="8" max="8" width="37.28515625" bestFit="1" customWidth="1"/>
  </cols>
  <sheetData>
    <row r="2" spans="1:8" ht="34.5">
      <c r="A2" s="125" t="s">
        <v>1132</v>
      </c>
      <c r="B2" s="125" t="s">
        <v>1133</v>
      </c>
      <c r="C2" s="125" t="s">
        <v>1134</v>
      </c>
      <c r="D2" s="125" t="s">
        <v>1135</v>
      </c>
      <c r="E2" s="125" t="s">
        <v>1136</v>
      </c>
      <c r="F2" s="125" t="s">
        <v>1137</v>
      </c>
      <c r="G2" s="122"/>
      <c r="H2" s="122"/>
    </row>
    <row r="3" spans="1:8">
      <c r="A3" s="56" t="s">
        <v>369</v>
      </c>
      <c r="B3" s="230" t="s">
        <v>169</v>
      </c>
      <c r="C3" s="129" t="s">
        <v>1138</v>
      </c>
      <c r="D3" s="129" t="s">
        <v>1139</v>
      </c>
      <c r="E3" s="129" t="s">
        <v>1140</v>
      </c>
      <c r="F3" s="264" t="s">
        <v>509</v>
      </c>
      <c r="G3" s="59"/>
      <c r="H3" s="59"/>
    </row>
    <row r="4" spans="1:8">
      <c r="A4" s="200" t="s">
        <v>265</v>
      </c>
      <c r="B4" s="226" t="s">
        <v>928</v>
      </c>
      <c r="C4" s="261">
        <v>45292</v>
      </c>
      <c r="D4" s="261">
        <v>46916</v>
      </c>
      <c r="E4" s="129" t="s">
        <v>78</v>
      </c>
      <c r="F4" s="265" t="s">
        <v>1141</v>
      </c>
      <c r="G4" s="59"/>
      <c r="H4" s="59"/>
    </row>
    <row r="5" spans="1:8">
      <c r="A5" s="200" t="s">
        <v>267</v>
      </c>
      <c r="B5" s="226" t="s">
        <v>932</v>
      </c>
      <c r="C5" s="261">
        <v>43831</v>
      </c>
      <c r="D5" s="261">
        <v>44697</v>
      </c>
      <c r="E5" s="129" t="s">
        <v>81</v>
      </c>
      <c r="F5" s="265" t="s">
        <v>1142</v>
      </c>
      <c r="G5" s="59"/>
      <c r="H5" s="59"/>
    </row>
    <row r="6" spans="1:8">
      <c r="B6" s="195"/>
      <c r="C6" s="196"/>
      <c r="D6" s="197"/>
      <c r="E6" s="59"/>
      <c r="F6" s="117"/>
      <c r="G6" s="59"/>
      <c r="H6" s="59"/>
    </row>
    <row r="7" spans="1:8">
      <c r="B7" s="198"/>
      <c r="C7" s="198"/>
      <c r="D7" s="197"/>
      <c r="E7" s="59"/>
      <c r="F7" s="117"/>
      <c r="G7" s="59"/>
      <c r="H7" s="59"/>
    </row>
    <row r="8" spans="1:8">
      <c r="B8" s="59"/>
      <c r="C8" s="59"/>
      <c r="D8" s="130"/>
    </row>
    <row r="9" spans="1:8">
      <c r="B9" s="59"/>
      <c r="C9" s="59"/>
      <c r="D9" s="130"/>
    </row>
    <row r="10" spans="1:8">
      <c r="B10" s="59"/>
      <c r="C10" s="59"/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</sheetData>
  <hyperlinks>
    <hyperlink ref="B3" location="Sede!A2" display="Sede" xr:uid="{1D61BDC3-5C86-40A3-A16E-CC0F6F2CAA94}"/>
    <hyperlink ref="B4" location="Sede!E3" display="Sede A - Baike universe" xr:uid="{5A8BD18C-C272-460F-B620-A0F07F8E1370}"/>
    <hyperlink ref="B5" location="Sede!E5" display="Sede A - Dos Ruedas" xr:uid="{C0CE9C0E-662B-43E8-97A6-AA6D3C5E64BE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F461-D141-411D-9109-86B1862E6A95}">
  <dimension ref="A1:Z40"/>
  <sheetViews>
    <sheetView zoomScale="85" zoomScaleNormal="85" workbookViewId="0">
      <pane xSplit="1" topLeftCell="H1" activePane="topRight" state="frozen"/>
      <selection pane="topRight" activeCell="H5" sqref="H5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26.85546875" style="1" customWidth="1"/>
    <col min="7" max="7" width="28.5703125" style="1" bestFit="1" customWidth="1"/>
    <col min="8" max="8" width="70.8554687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60.5703125" style="1" customWidth="1"/>
    <col min="22" max="22" width="43.140625" style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26" width="27.42578125" style="1" customWidth="1"/>
    <col min="27" max="16384" width="11.42578125" style="1"/>
  </cols>
  <sheetData>
    <row r="1" spans="1:26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6">
      <c r="A2" s="4" t="s">
        <v>391</v>
      </c>
      <c r="B2" s="1209" t="str">
        <f>'Listado Objetos de Dominio'!$A$16</f>
        <v>Horario Sede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6">
      <c r="A3" s="4" t="s">
        <v>392</v>
      </c>
      <c r="B3" s="1187" t="str">
        <f>'Listado Objetos de Dominio'!$B$16</f>
        <v>Objeto de dominio que representa los horarios generales de operación de cada una de las sedes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6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A20</f>
        <v>Registrar Información del  Horario Sede</v>
      </c>
      <c r="V4" s="35" t="str">
        <f>A25</f>
        <v>Modificar Información del  Horario Sede</v>
      </c>
      <c r="W4" s="36" t="str">
        <f>A29</f>
        <v>Eliminar Información del  Horario Sede</v>
      </c>
      <c r="X4" s="2" t="str">
        <f>A33</f>
        <v>Consultar Información  del Horario Sede</v>
      </c>
      <c r="Y4" s="826" t="str">
        <f>A35</f>
        <v>Activar el  Horario Sede</v>
      </c>
      <c r="Z4" s="498" t="str">
        <f>A38</f>
        <v>Desactivar el Horario Sede</v>
      </c>
    </row>
    <row r="5" spans="1:26">
      <c r="A5" s="11" t="str">
        <f>'Horario Sede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'Horario Sede Muestreo'!A2</f>
        <v>Corresponde al identificador único que identifica cada horario de la sede  en el sistema.</v>
      </c>
      <c r="U5" s="401" t="s">
        <v>467</v>
      </c>
      <c r="V5" s="39" t="s">
        <v>1143</v>
      </c>
      <c r="W5" s="43" t="s">
        <v>467</v>
      </c>
      <c r="X5" s="32" t="s">
        <v>468</v>
      </c>
      <c r="Y5" s="827" t="s">
        <v>467</v>
      </c>
      <c r="Z5" s="498" t="s">
        <v>467</v>
      </c>
    </row>
    <row r="6" spans="1:26" ht="45.75">
      <c r="A6" s="11" t="str">
        <f>'Horario Sede Muestreo'!B3</f>
        <v>sede</v>
      </c>
      <c r="B6" s="5" t="s">
        <v>169</v>
      </c>
      <c r="C6" s="5"/>
      <c r="D6" s="5"/>
      <c r="E6" s="5"/>
      <c r="F6" s="5"/>
      <c r="G6" s="5"/>
      <c r="H6" s="5"/>
      <c r="I6" s="5"/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'Horario Sede Muestreo'!B2</f>
        <v>Corresponde a la sede que le pertenece el horario.</v>
      </c>
      <c r="U6" s="401" t="s">
        <v>467</v>
      </c>
      <c r="V6" s="39" t="s">
        <v>1144</v>
      </c>
      <c r="W6" s="43" t="s">
        <v>933</v>
      </c>
      <c r="X6" s="32" t="s">
        <v>1050</v>
      </c>
      <c r="Y6" s="827" t="s">
        <v>933</v>
      </c>
      <c r="Z6" s="498" t="s">
        <v>933</v>
      </c>
    </row>
    <row r="7" spans="1:26" ht="30.75">
      <c r="A7" s="11" t="str">
        <f>'Horario Sede Muestreo'!C3</f>
        <v>fecahInicio</v>
      </c>
      <c r="B7" s="5" t="s">
        <v>91</v>
      </c>
      <c r="C7" s="5"/>
      <c r="D7" s="5"/>
      <c r="E7" s="5"/>
      <c r="F7" s="5"/>
      <c r="G7" s="5"/>
      <c r="H7" s="5"/>
      <c r="I7" s="5"/>
      <c r="J7" s="5"/>
      <c r="K7" s="7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7" t="str">
        <f>'Horario Sede Muestreo'!C2</f>
        <v>Corresponde al atributo que indica la fecha inicial de vigencia del horario de la sede.</v>
      </c>
      <c r="U7" s="401" t="s">
        <v>467</v>
      </c>
      <c r="V7" s="39" t="s">
        <v>1144</v>
      </c>
      <c r="W7" s="43" t="s">
        <v>933</v>
      </c>
      <c r="X7" s="32" t="s">
        <v>470</v>
      </c>
      <c r="Y7" s="827" t="s">
        <v>933</v>
      </c>
      <c r="Z7" s="498" t="s">
        <v>933</v>
      </c>
    </row>
    <row r="8" spans="1:26" ht="30.75">
      <c r="A8" s="11" t="str">
        <f>'Horario Sede Muestreo'!D3</f>
        <v>fechaFin</v>
      </c>
      <c r="B8" s="5" t="s">
        <v>91</v>
      </c>
      <c r="C8" s="5"/>
      <c r="D8" s="5"/>
      <c r="E8" s="5"/>
      <c r="F8" s="5"/>
      <c r="G8" s="5"/>
      <c r="H8" s="5"/>
      <c r="I8" s="5"/>
      <c r="J8" s="5"/>
      <c r="K8" s="7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'Horario Sede Muestreo'!D2</f>
        <v>Corresponde al atributo que indica la fecha final de vigencia del horario de la sede.</v>
      </c>
      <c r="U8" s="401" t="s">
        <v>467</v>
      </c>
      <c r="V8" s="39" t="s">
        <v>1144</v>
      </c>
      <c r="W8" s="43" t="s">
        <v>933</v>
      </c>
      <c r="X8" s="828" t="s">
        <v>863</v>
      </c>
      <c r="Y8" s="827" t="s">
        <v>933</v>
      </c>
      <c r="Z8" s="498" t="s">
        <v>933</v>
      </c>
    </row>
    <row r="9" spans="1:26" ht="30.75">
      <c r="A9" s="11" t="str">
        <f>'Horario Sede Muestreo'!E3</f>
        <v>vigencia</v>
      </c>
      <c r="B9" s="5" t="s">
        <v>89</v>
      </c>
      <c r="C9" s="5"/>
      <c r="D9" s="5"/>
      <c r="E9" s="5"/>
      <c r="F9" s="5"/>
      <c r="G9" s="5"/>
      <c r="H9" s="5"/>
      <c r="I9" s="5"/>
      <c r="J9" s="5"/>
      <c r="K9" s="7"/>
      <c r="L9" s="13" t="s">
        <v>81</v>
      </c>
      <c r="M9" s="13" t="s">
        <v>81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'Horario Sede Muestreo'!E2</f>
        <v>Corresponde al atributo que indica si el horario del sede está vigente.</v>
      </c>
      <c r="U9" s="401" t="s">
        <v>467</v>
      </c>
      <c r="V9" s="39" t="s">
        <v>1144</v>
      </c>
      <c r="W9" s="830" t="s">
        <v>933</v>
      </c>
      <c r="X9" s="829" t="s">
        <v>472</v>
      </c>
      <c r="Y9" s="831" t="s">
        <v>933</v>
      </c>
      <c r="Z9" s="498" t="s">
        <v>933</v>
      </c>
    </row>
    <row r="10" spans="1:26">
      <c r="X10" s="291"/>
    </row>
    <row r="11" spans="1:26">
      <c r="A11" s="1254" t="s">
        <v>414</v>
      </c>
      <c r="B11" s="1254"/>
      <c r="C11" s="1254"/>
    </row>
    <row r="12" spans="1:26">
      <c r="A12" s="193" t="s">
        <v>415</v>
      </c>
      <c r="B12" s="193" t="s">
        <v>2</v>
      </c>
      <c r="C12" s="193" t="s">
        <v>416</v>
      </c>
    </row>
    <row r="13" spans="1:26" ht="27" customHeight="1">
      <c r="A13" s="1340" t="s">
        <v>1145</v>
      </c>
      <c r="B13" s="1340" t="str">
        <f>'Horario Sede Muestreo'!F2</f>
        <v>El horario sede no debe tener duplicidad en la combinación del nombre de la sede con su fecha de inicio y fecha fin de vigencia.</v>
      </c>
      <c r="C13" s="232" t="str">
        <f>A6</f>
        <v>sede</v>
      </c>
    </row>
    <row r="14" spans="1:26">
      <c r="A14" s="1340"/>
      <c r="B14" s="1340"/>
      <c r="C14" s="232" t="str">
        <f>A7</f>
        <v>fecahInicio</v>
      </c>
      <c r="G14" s="1" t="s">
        <v>418</v>
      </c>
    </row>
    <row r="15" spans="1:26" ht="61.5" customHeight="1">
      <c r="A15" s="1340"/>
      <c r="B15" s="1340"/>
      <c r="C15" s="232" t="str">
        <f>A8</f>
        <v>fechaFin</v>
      </c>
    </row>
    <row r="18" spans="1:22">
      <c r="A18" s="840" t="s">
        <v>419</v>
      </c>
      <c r="B18" s="317"/>
      <c r="C18" s="317" t="s">
        <v>2</v>
      </c>
      <c r="D18" s="317"/>
      <c r="E18" s="318"/>
      <c r="F18" s="319"/>
      <c r="G18" s="317" t="s">
        <v>420</v>
      </c>
      <c r="H18" s="333"/>
      <c r="I18" s="319"/>
      <c r="J18" s="319" t="s">
        <v>421</v>
      </c>
      <c r="K18" s="319"/>
      <c r="L18" s="319"/>
      <c r="M18" s="318"/>
      <c r="N18" s="319" t="s">
        <v>422</v>
      </c>
      <c r="O18" s="319"/>
      <c r="P18" s="319"/>
      <c r="Q18" s="318"/>
      <c r="R18" s="319" t="s">
        <v>474</v>
      </c>
      <c r="S18" s="358"/>
      <c r="T18" s="290"/>
      <c r="U18" s="290"/>
      <c r="V18" s="290"/>
    </row>
    <row r="19" spans="1:22">
      <c r="A19" s="841"/>
      <c r="B19" s="346"/>
      <c r="C19" s="346"/>
      <c r="D19" s="340"/>
      <c r="E19" s="341" t="s">
        <v>423</v>
      </c>
      <c r="F19" s="337" t="s">
        <v>424</v>
      </c>
      <c r="G19" s="316"/>
      <c r="H19" s="333" t="s">
        <v>2</v>
      </c>
      <c r="I19" s="346" t="s">
        <v>66</v>
      </c>
      <c r="J19" s="339"/>
      <c r="K19" s="346" t="s">
        <v>2</v>
      </c>
      <c r="L19" s="340"/>
      <c r="M19" s="337" t="s">
        <v>425</v>
      </c>
      <c r="N19" s="334"/>
      <c r="O19" s="335" t="s">
        <v>2</v>
      </c>
      <c r="P19" s="335"/>
      <c r="Q19" s="1178" t="s">
        <v>426</v>
      </c>
      <c r="R19" s="1202"/>
      <c r="S19" s="358" t="s">
        <v>427</v>
      </c>
      <c r="T19" s="290"/>
      <c r="U19" s="290"/>
      <c r="V19" s="290"/>
    </row>
    <row r="20" spans="1:22" ht="95.25" customHeight="1">
      <c r="A20" s="842" t="s">
        <v>1146</v>
      </c>
      <c r="B20" s="593"/>
      <c r="C20" s="594" t="s">
        <v>1147</v>
      </c>
      <c r="D20" s="594"/>
      <c r="E20" s="344" t="s">
        <v>441</v>
      </c>
      <c r="F20" s="680" t="s">
        <v>137</v>
      </c>
      <c r="G20" s="683" t="s">
        <v>1148</v>
      </c>
      <c r="H20" s="428"/>
      <c r="I20" s="595"/>
      <c r="J20" s="594"/>
      <c r="K20" s="594"/>
      <c r="L20" s="595"/>
      <c r="M20" s="365" t="s">
        <v>1149</v>
      </c>
      <c r="N20" s="1264" t="s">
        <v>869</v>
      </c>
      <c r="O20" s="1258"/>
      <c r="P20" s="1259"/>
      <c r="Q20" s="1260" t="s">
        <v>870</v>
      </c>
      <c r="R20" s="1257"/>
      <c r="S20" s="552" t="s">
        <v>480</v>
      </c>
    </row>
    <row r="21" spans="1:22" ht="87" customHeight="1">
      <c r="A21" s="842"/>
      <c r="B21" s="596"/>
      <c r="C21" s="597"/>
      <c r="D21" s="597"/>
      <c r="E21" s="396"/>
      <c r="F21" s="681"/>
      <c r="G21" s="679"/>
      <c r="H21" s="430"/>
      <c r="I21" s="599"/>
      <c r="J21" s="597"/>
      <c r="K21" s="597"/>
      <c r="L21" s="599"/>
      <c r="M21" s="365" t="s">
        <v>1150</v>
      </c>
      <c r="N21" s="1257" t="s">
        <v>1151</v>
      </c>
      <c r="O21" s="1258"/>
      <c r="P21" s="1259"/>
      <c r="Q21" s="1260" t="s">
        <v>870</v>
      </c>
      <c r="R21" s="1257"/>
      <c r="S21" s="552" t="s">
        <v>480</v>
      </c>
      <c r="T21" s="291"/>
      <c r="U21" s="291"/>
    </row>
    <row r="22" spans="1:22" ht="96.75" customHeight="1">
      <c r="A22" s="842"/>
      <c r="B22" s="596"/>
      <c r="C22" s="597"/>
      <c r="D22" s="597"/>
      <c r="E22" s="396"/>
      <c r="F22" s="681"/>
      <c r="G22" s="679"/>
      <c r="H22" s="430"/>
      <c r="I22" s="599"/>
      <c r="J22" s="597"/>
      <c r="K22" s="597"/>
      <c r="L22" s="599"/>
      <c r="M22" s="365" t="s">
        <v>1152</v>
      </c>
      <c r="N22" s="1257" t="s">
        <v>495</v>
      </c>
      <c r="O22" s="1258"/>
      <c r="P22" s="1259"/>
      <c r="Q22" s="1260" t="s">
        <v>870</v>
      </c>
      <c r="R22" s="1257"/>
      <c r="S22" s="552" t="s">
        <v>480</v>
      </c>
      <c r="T22" s="291"/>
      <c r="U22" s="291"/>
    </row>
    <row r="23" spans="1:22" ht="109.5" customHeight="1">
      <c r="A23" s="842"/>
      <c r="B23" s="596"/>
      <c r="C23" s="597"/>
      <c r="D23" s="597"/>
      <c r="E23" s="396"/>
      <c r="F23" s="681"/>
      <c r="G23" s="679"/>
      <c r="H23" s="430"/>
      <c r="I23" s="599"/>
      <c r="J23" s="597"/>
      <c r="K23" s="597"/>
      <c r="L23" s="599"/>
      <c r="M23" s="365" t="s">
        <v>1153</v>
      </c>
      <c r="N23" s="1261" t="s">
        <v>1154</v>
      </c>
      <c r="O23" s="1262"/>
      <c r="P23" s="1263"/>
      <c r="Q23" s="1260" t="s">
        <v>870</v>
      </c>
      <c r="R23" s="1257"/>
      <c r="S23" s="553" t="s">
        <v>480</v>
      </c>
      <c r="T23" s="291"/>
      <c r="U23" s="291"/>
    </row>
    <row r="24" spans="1:22" ht="121.5" customHeight="1">
      <c r="A24" s="842"/>
      <c r="B24" s="596"/>
      <c r="C24" s="597"/>
      <c r="D24" s="597"/>
      <c r="E24" s="396"/>
      <c r="F24" s="681"/>
      <c r="G24" s="679"/>
      <c r="H24" s="430"/>
      <c r="I24" s="599"/>
      <c r="J24" s="597"/>
      <c r="K24" s="597"/>
      <c r="L24" s="599"/>
      <c r="M24" s="365" t="s">
        <v>1155</v>
      </c>
      <c r="N24" s="1261" t="s">
        <v>1156</v>
      </c>
      <c r="O24" s="1262"/>
      <c r="P24" s="1263"/>
      <c r="Q24" s="1257" t="s">
        <v>483</v>
      </c>
      <c r="R24" s="1258"/>
      <c r="S24" s="552" t="s">
        <v>484</v>
      </c>
    </row>
    <row r="25" spans="1:22" ht="143.25" customHeight="1">
      <c r="A25" s="843" t="s">
        <v>1157</v>
      </c>
      <c r="B25" s="600"/>
      <c r="C25" s="580" t="s">
        <v>1158</v>
      </c>
      <c r="D25" s="580"/>
      <c r="E25" s="517" t="s">
        <v>441</v>
      </c>
      <c r="F25" s="696" t="s">
        <v>137</v>
      </c>
      <c r="G25" s="550" t="s">
        <v>1159</v>
      </c>
      <c r="H25" s="551"/>
      <c r="I25" s="361"/>
      <c r="J25" s="580"/>
      <c r="K25" s="580"/>
      <c r="L25" s="773"/>
      <c r="M25" s="517" t="s">
        <v>1152</v>
      </c>
      <c r="N25" s="1272" t="s">
        <v>495</v>
      </c>
      <c r="O25" s="1273"/>
      <c r="P25" s="1274"/>
      <c r="Q25" s="1275" t="s">
        <v>881</v>
      </c>
      <c r="R25" s="1275"/>
      <c r="S25" s="774" t="s">
        <v>480</v>
      </c>
    </row>
    <row r="26" spans="1:22" ht="118.5" customHeight="1">
      <c r="A26" s="407"/>
      <c r="B26" s="601"/>
      <c r="C26" s="601"/>
      <c r="D26" s="601"/>
      <c r="E26" s="487" t="s">
        <v>369</v>
      </c>
      <c r="F26" s="369" t="s">
        <v>75</v>
      </c>
      <c r="G26" s="623" t="s">
        <v>1160</v>
      </c>
      <c r="H26" s="624"/>
      <c r="I26" s="602"/>
      <c r="J26" s="601"/>
      <c r="K26" s="601"/>
      <c r="L26" s="601"/>
      <c r="M26" s="696" t="s">
        <v>1150</v>
      </c>
      <c r="N26" s="1239" t="s">
        <v>1161</v>
      </c>
      <c r="O26" s="1239"/>
      <c r="P26" s="1239"/>
      <c r="Q26" s="1232" t="s">
        <v>870</v>
      </c>
      <c r="R26" s="1239"/>
      <c r="S26" s="373" t="s">
        <v>480</v>
      </c>
    </row>
    <row r="27" spans="1:22" ht="99" customHeight="1">
      <c r="A27" s="407"/>
      <c r="B27" s="601"/>
      <c r="C27" s="601"/>
      <c r="D27" s="601"/>
      <c r="E27" s="372"/>
      <c r="F27" s="369"/>
      <c r="G27" s="431"/>
      <c r="H27" s="432"/>
      <c r="I27" s="602"/>
      <c r="J27" s="601"/>
      <c r="K27" s="601"/>
      <c r="L27" s="601"/>
      <c r="M27" s="768" t="s">
        <v>1162</v>
      </c>
      <c r="N27" s="1228" t="s">
        <v>1163</v>
      </c>
      <c r="O27" s="1229"/>
      <c r="P27" s="1337"/>
      <c r="Q27" s="1277" t="s">
        <v>870</v>
      </c>
      <c r="R27" s="1277"/>
      <c r="S27" s="774" t="s">
        <v>480</v>
      </c>
    </row>
    <row r="28" spans="1:22" ht="117.75" customHeight="1">
      <c r="A28" s="407"/>
      <c r="B28" s="601"/>
      <c r="C28" s="601"/>
      <c r="D28" s="601"/>
      <c r="E28" s="372"/>
      <c r="F28" s="370"/>
      <c r="G28" s="625"/>
      <c r="H28" s="626"/>
      <c r="I28" s="604"/>
      <c r="J28" s="603"/>
      <c r="K28" s="603"/>
      <c r="L28" s="603"/>
      <c r="M28" s="769"/>
      <c r="N28" s="1265"/>
      <c r="O28" s="1266"/>
      <c r="P28" s="1339"/>
      <c r="Q28" s="1268"/>
      <c r="R28" s="1268"/>
      <c r="S28" s="529"/>
    </row>
    <row r="29" spans="1:22" ht="102.75" customHeight="1">
      <c r="A29" s="844" t="s">
        <v>1164</v>
      </c>
      <c r="B29" s="820"/>
      <c r="C29" s="584" t="s">
        <v>1165</v>
      </c>
      <c r="D29" s="483"/>
      <c r="E29" s="483" t="s">
        <v>885</v>
      </c>
      <c r="F29" s="484" t="s">
        <v>75</v>
      </c>
      <c r="G29" s="486" t="s">
        <v>1166</v>
      </c>
      <c r="H29" s="386"/>
      <c r="I29" s="354"/>
      <c r="J29" s="470"/>
      <c r="K29" s="382"/>
      <c r="L29" s="354"/>
      <c r="M29" s="470" t="s">
        <v>1167</v>
      </c>
      <c r="N29" s="1269" t="s">
        <v>1168</v>
      </c>
      <c r="O29" s="1270"/>
      <c r="P29" s="1271"/>
      <c r="Q29" s="1281" t="s">
        <v>870</v>
      </c>
      <c r="R29" s="1282"/>
      <c r="S29" s="403"/>
    </row>
    <row r="30" spans="1:22" ht="119.25" customHeight="1">
      <c r="A30" s="845"/>
      <c r="B30" s="606"/>
      <c r="C30" s="382"/>
      <c r="D30" s="484"/>
      <c r="E30" s="484"/>
      <c r="F30" s="484"/>
      <c r="G30" s="486"/>
      <c r="H30" s="386"/>
      <c r="I30" s="354"/>
      <c r="J30" s="470"/>
      <c r="K30" s="382"/>
      <c r="L30" s="354"/>
      <c r="M30" s="823" t="s">
        <v>1169</v>
      </c>
      <c r="N30" s="1294" t="s">
        <v>1170</v>
      </c>
      <c r="O30" s="1295"/>
      <c r="P30" s="1296" t="s">
        <v>480</v>
      </c>
      <c r="Q30" s="1295" t="s">
        <v>437</v>
      </c>
      <c r="R30" s="1295"/>
      <c r="S30" s="786" t="s">
        <v>480</v>
      </c>
    </row>
    <row r="31" spans="1:22" ht="105" customHeight="1">
      <c r="A31" s="845"/>
      <c r="B31" s="606"/>
      <c r="C31" s="382"/>
      <c r="D31" s="484"/>
      <c r="E31" s="484"/>
      <c r="F31" s="484"/>
      <c r="G31" s="486"/>
      <c r="H31" s="386"/>
      <c r="I31" s="354"/>
      <c r="J31" s="470"/>
      <c r="K31" s="382"/>
      <c r="L31" s="354"/>
      <c r="M31" s="470" t="s">
        <v>1152</v>
      </c>
      <c r="N31" s="1269" t="s">
        <v>495</v>
      </c>
      <c r="O31" s="1270"/>
      <c r="P31" s="1271"/>
      <c r="Q31" s="1281" t="s">
        <v>437</v>
      </c>
      <c r="R31" s="1282"/>
      <c r="S31" s="403" t="s">
        <v>480</v>
      </c>
    </row>
    <row r="32" spans="1:22" ht="93" customHeight="1">
      <c r="A32" s="846"/>
      <c r="B32" s="821"/>
      <c r="C32" s="771"/>
      <c r="D32" s="485"/>
      <c r="E32" s="485"/>
      <c r="F32" s="484"/>
      <c r="G32" s="486"/>
      <c r="H32" s="386"/>
      <c r="I32" s="354"/>
      <c r="J32" s="470"/>
      <c r="K32" s="382"/>
      <c r="L32" s="354"/>
      <c r="M32" s="501"/>
      <c r="N32" s="1284"/>
      <c r="O32" s="1285"/>
      <c r="P32" s="1341"/>
      <c r="Q32" s="771"/>
      <c r="R32" s="776"/>
      <c r="S32" s="777"/>
    </row>
    <row r="33" spans="1:19" ht="99" customHeight="1">
      <c r="A33" s="847" t="s">
        <v>1171</v>
      </c>
      <c r="B33" s="610"/>
      <c r="C33" s="582" t="s">
        <v>1172</v>
      </c>
      <c r="D33" s="582"/>
      <c r="E33" s="415" t="s">
        <v>499</v>
      </c>
      <c r="F33" s="518" t="s">
        <v>1173</v>
      </c>
      <c r="G33" s="389" t="s">
        <v>501</v>
      </c>
      <c r="H33" s="395"/>
      <c r="I33" s="391" t="s">
        <v>1173</v>
      </c>
      <c r="J33" s="392" t="s">
        <v>1174</v>
      </c>
      <c r="K33" s="583"/>
      <c r="L33" s="539"/>
      <c r="M33" s="778" t="s">
        <v>1175</v>
      </c>
      <c r="N33" s="1279" t="s">
        <v>436</v>
      </c>
      <c r="O33" s="1279"/>
      <c r="P33" s="1279"/>
      <c r="Q33" s="1280" t="s">
        <v>436</v>
      </c>
      <c r="R33" s="1279"/>
      <c r="S33" s="778" t="s">
        <v>480</v>
      </c>
    </row>
    <row r="34" spans="1:19" ht="44.25" customHeight="1">
      <c r="A34" s="848"/>
      <c r="B34" s="775"/>
      <c r="C34" s="770"/>
      <c r="D34" s="770"/>
      <c r="E34" s="388"/>
      <c r="F34" s="388"/>
      <c r="G34" s="364"/>
      <c r="H34" s="353"/>
      <c r="I34" s="393"/>
      <c r="J34" s="1278"/>
      <c r="K34" s="1278"/>
      <c r="L34" s="1278"/>
      <c r="M34" s="778"/>
      <c r="N34" s="1279"/>
      <c r="O34" s="1279"/>
      <c r="P34" s="1279"/>
      <c r="Q34" s="1280"/>
      <c r="R34" s="1279"/>
      <c r="S34" s="778"/>
    </row>
    <row r="35" spans="1:19" ht="78.75" customHeight="1">
      <c r="A35" s="849" t="s">
        <v>1176</v>
      </c>
      <c r="B35" s="421"/>
      <c r="C35" s="413" t="s">
        <v>1177</v>
      </c>
      <c r="D35" s="543"/>
      <c r="E35" s="414" t="s">
        <v>369</v>
      </c>
      <c r="F35" s="419" t="s">
        <v>75</v>
      </c>
      <c r="G35" s="423" t="s">
        <v>1178</v>
      </c>
      <c r="H35" s="749"/>
      <c r="I35" s="412"/>
      <c r="J35" s="411"/>
      <c r="K35" s="412"/>
      <c r="L35" s="412"/>
      <c r="M35" s="824" t="s">
        <v>1179</v>
      </c>
      <c r="N35" s="1330" t="s">
        <v>495</v>
      </c>
      <c r="O35" s="1331"/>
      <c r="P35" s="1331"/>
      <c r="Q35" s="1330" t="s">
        <v>437</v>
      </c>
      <c r="R35" s="1331"/>
      <c r="S35" s="825" t="s">
        <v>480</v>
      </c>
    </row>
    <row r="36" spans="1:19" ht="106.5" customHeight="1">
      <c r="A36" s="850"/>
      <c r="B36" s="464"/>
      <c r="C36" s="465"/>
      <c r="D36" s="465"/>
      <c r="E36" s="760"/>
      <c r="F36" s="694"/>
      <c r="G36" s="761"/>
      <c r="H36" s="762"/>
      <c r="I36" s="438"/>
      <c r="J36" s="437"/>
      <c r="K36" s="438"/>
      <c r="L36" s="438"/>
      <c r="M36" s="437" t="s">
        <v>1167</v>
      </c>
      <c r="N36" s="1332" t="s">
        <v>1180</v>
      </c>
      <c r="O36" s="1333"/>
      <c r="P36" s="1334"/>
      <c r="Q36" s="1333" t="s">
        <v>870</v>
      </c>
      <c r="R36" s="1333"/>
      <c r="S36" s="760" t="s">
        <v>480</v>
      </c>
    </row>
    <row r="37" spans="1:19" ht="72.75" customHeight="1">
      <c r="A37" s="851"/>
      <c r="B37" s="422"/>
      <c r="C37" s="410"/>
      <c r="D37" s="410"/>
      <c r="E37" s="760"/>
      <c r="F37" s="694"/>
      <c r="G37" s="761"/>
      <c r="H37" s="762"/>
      <c r="I37" s="438"/>
      <c r="J37" s="437"/>
      <c r="K37" s="438"/>
      <c r="L37" s="438"/>
      <c r="M37" s="491"/>
      <c r="N37" s="491"/>
      <c r="O37" s="492"/>
      <c r="P37" s="493"/>
      <c r="Q37" s="438"/>
      <c r="R37" s="438"/>
      <c r="S37" s="760"/>
    </row>
    <row r="38" spans="1:19" ht="120.75" customHeight="1">
      <c r="A38" s="852" t="s">
        <v>1181</v>
      </c>
      <c r="B38" s="424"/>
      <c r="C38" s="425" t="s">
        <v>1182</v>
      </c>
      <c r="D38" s="425"/>
      <c r="E38" s="434" t="s">
        <v>369</v>
      </c>
      <c r="F38" s="434" t="s">
        <v>75</v>
      </c>
      <c r="G38" s="475" t="s">
        <v>1183</v>
      </c>
      <c r="H38" s="764"/>
      <c r="I38" s="435"/>
      <c r="J38" s="434"/>
      <c r="K38" s="435"/>
      <c r="L38" s="435"/>
      <c r="M38" s="750" t="s">
        <v>1179</v>
      </c>
      <c r="N38" s="1335" t="s">
        <v>495</v>
      </c>
      <c r="O38" s="1335"/>
      <c r="P38" s="1335"/>
      <c r="Q38" s="1328" t="s">
        <v>437</v>
      </c>
      <c r="R38" s="1329"/>
      <c r="S38" s="481" t="s">
        <v>480</v>
      </c>
    </row>
    <row r="39" spans="1:19" ht="165.75" customHeight="1">
      <c r="A39" s="853"/>
      <c r="B39" s="424"/>
      <c r="C39" s="425"/>
      <c r="D39" s="425"/>
      <c r="E39" s="442"/>
      <c r="F39" s="442"/>
      <c r="G39" s="765"/>
      <c r="H39" s="766"/>
      <c r="I39" s="480"/>
      <c r="J39" s="442"/>
      <c r="K39" s="480"/>
      <c r="L39" s="480"/>
      <c r="M39" s="751" t="s">
        <v>1184</v>
      </c>
      <c r="N39" s="1327" t="s">
        <v>1185</v>
      </c>
      <c r="O39" s="1327"/>
      <c r="P39" s="1327"/>
      <c r="Q39" s="1328" t="s">
        <v>870</v>
      </c>
      <c r="R39" s="1329"/>
      <c r="S39" s="481" t="s">
        <v>480</v>
      </c>
    </row>
    <row r="40" spans="1:19">
      <c r="A40" s="854"/>
      <c r="B40" s="471"/>
      <c r="C40" s="472"/>
      <c r="D40" s="472"/>
      <c r="E40" s="763"/>
      <c r="F40" s="482"/>
      <c r="G40" s="695"/>
      <c r="H40" s="473"/>
      <c r="I40" s="467"/>
      <c r="J40" s="482"/>
      <c r="K40" s="467"/>
      <c r="L40" s="467"/>
      <c r="M40" s="752"/>
      <c r="N40" s="467"/>
      <c r="O40" s="467"/>
      <c r="P40" s="467"/>
      <c r="Q40" s="482"/>
      <c r="R40" s="468"/>
      <c r="S40" s="468"/>
    </row>
  </sheetData>
  <mergeCells count="45">
    <mergeCell ref="N32:P32"/>
    <mergeCell ref="N33:P33"/>
    <mergeCell ref="Q33:R33"/>
    <mergeCell ref="J34:L34"/>
    <mergeCell ref="N34:P34"/>
    <mergeCell ref="Q34:R34"/>
    <mergeCell ref="N29:P29"/>
    <mergeCell ref="Q29:R29"/>
    <mergeCell ref="N30:P30"/>
    <mergeCell ref="Q30:R30"/>
    <mergeCell ref="N31:P31"/>
    <mergeCell ref="Q31:R31"/>
    <mergeCell ref="N22:P22"/>
    <mergeCell ref="Q22:R22"/>
    <mergeCell ref="N23:P23"/>
    <mergeCell ref="Q23:R23"/>
    <mergeCell ref="N25:P25"/>
    <mergeCell ref="Q25:R25"/>
    <mergeCell ref="Q19:R19"/>
    <mergeCell ref="N20:P20"/>
    <mergeCell ref="Q20:R20"/>
    <mergeCell ref="N21:P21"/>
    <mergeCell ref="Q21:R21"/>
    <mergeCell ref="A1:T1"/>
    <mergeCell ref="B2:T2"/>
    <mergeCell ref="B3:T3"/>
    <mergeCell ref="A11:C11"/>
    <mergeCell ref="A13:A15"/>
    <mergeCell ref="B13:B15"/>
    <mergeCell ref="N38:P38"/>
    <mergeCell ref="Q38:R38"/>
    <mergeCell ref="N39:P39"/>
    <mergeCell ref="Q39:R39"/>
    <mergeCell ref="Q24:R24"/>
    <mergeCell ref="N24:P24"/>
    <mergeCell ref="N35:P35"/>
    <mergeCell ref="Q35:R35"/>
    <mergeCell ref="N36:P36"/>
    <mergeCell ref="Q36:R36"/>
    <mergeCell ref="N26:P26"/>
    <mergeCell ref="Q26:R26"/>
    <mergeCell ref="N27:P27"/>
    <mergeCell ref="Q27:R27"/>
    <mergeCell ref="N28:P28"/>
    <mergeCell ref="Q28:R28"/>
  </mergeCells>
  <conditionalFormatting sqref="N20:N22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" xr:uid="{F9C47554-2BF7-42B9-862B-A9711970A1B9}"/>
  </dataValidations>
  <hyperlinks>
    <hyperlink ref="A1" location="'Objetos de Dominio'!A1" display="Volver al inicio" xr:uid="{84E59DB8-8DF4-4749-BF7A-247EB9CB0CC7}"/>
    <hyperlink ref="V4" location="'Objeto Dominio 2'!A17" display="'Objeto Dominio 2'!A17" xr:uid="{61AC65E0-3AA8-4EA2-B7CC-8D87F4694C29}"/>
    <hyperlink ref="W4" location="'Objeto Dominio 2'!A18" display="'Objeto Dominio 2'!A18" xr:uid="{2500484B-84FE-4D7E-8D53-C8F93555F24D}"/>
    <hyperlink ref="X4" location="'Objeto Dominio 2'!A19" display="'Objeto Dominio 2'!A19" xr:uid="{9023C624-9935-4899-B1DF-3FABFA2A995B}"/>
    <hyperlink ref="U4" location="'Objeto Dominio 2'!A16" display="'Objeto Dominio 2'!A16" xr:uid="{FB0DCA6D-1C53-4D34-82A1-B6E754423C37}"/>
    <hyperlink ref="A1:T1" location="'Listado Objetos de Dominio'!A1" display="&lt;-Volver al inicio" xr:uid="{CFCD6D4C-C34C-48D9-AF0B-D05E9B28F041}"/>
    <hyperlink ref="C13" location="'Horario Estable Caracterización'!A6" display="=A6" xr:uid="{EAF8F00C-5A90-4BBC-B2AB-E460C33053C4}"/>
    <hyperlink ref="C14" location="'Horario Estable Caracterización'!A7" display="=A7" xr:uid="{D41CDD57-5FC6-44DC-8AB9-8EEFF2565EE9}"/>
    <hyperlink ref="C15" location="'Horario Estable Caracterización'!A8" display="=A8" xr:uid="{DCF58B71-8374-42CB-AB5E-2F97F099A21C}"/>
    <hyperlink ref="B2:T2" location="'Listado Objetos de Dominio'!A15" display="='Listado Objetos de Dominio'!$A$15" xr:uid="{B9FFCC13-780E-4B19-9824-AB3F200301AB}"/>
    <hyperlink ref="H33" location="'Tipo Relación Institución'!A6" display="'Tipo Relación Institución'!A6" xr:uid="{6BD750C6-4D76-4435-BFB1-F5A5E7E004B0}"/>
    <hyperlink ref="A20:B20" location="'Objeto Dominio 2'!Q4" display="Reponsabilidad 1" xr:uid="{E3C4B199-4021-47BC-B0F0-ACE48B5356D4}"/>
    <hyperlink ref="A25:B25" location="'Objeto Dominio 2'!R4" display="Reponsabilidad 2" xr:uid="{8F5CC8B8-ACA6-414D-A978-8C99A0D3EDF3}"/>
    <hyperlink ref="A29:B29" location="'Objeto Dominio 2'!S4" display="Reponsabilidad 3" xr:uid="{6F049F44-A98D-4E9A-AFF3-7C23991B1FD1}"/>
    <hyperlink ref="Y4" location="'Objeto Dominio 2'!A19" display="'Objeto Dominio 2'!A19" xr:uid="{BC8C0AEC-FADD-4911-9C37-AE8FA7DFAEB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AD7D69A-74D9-4B2D-8116-576C73E5477A}">
          <x14:formula1>
            <xm:f>Caracterizacion!$C$3:$C$32</xm:f>
          </x14:formula1>
          <xm:sqref>F6:G7</xm:sqref>
        </x14:dataValidation>
        <x14:dataValidation type="list" allowBlank="1" showInputMessage="1" showErrorMessage="1" xr:uid="{DF67BF49-A96F-4327-A23F-4CB152A4DC77}">
          <x14:formula1>
            <xm:f>Caracterizacion!$C$3:$C$18</xm:f>
          </x14:formula1>
          <xm:sqref>E5:E9 F8</xm:sqref>
        </x14:dataValidation>
        <x14:dataValidation type="list" allowBlank="1" showInputMessage="1" showErrorMessage="1" xr:uid="{CF30F48E-928C-4A89-9527-250E87C8ACD1}">
          <x14:formula1>
            <xm:f>Caracterizacion!$H$3:$H$4</xm:f>
          </x14:formula1>
          <xm:sqref>L5:S9</xm:sqref>
        </x14:dataValidation>
        <x14:dataValidation type="custom" allowBlank="1" showInputMessage="1" showErrorMessage="1" xr:uid="{8F72CBE9-9815-44D8-BA0E-173C912F822D}">
          <x14:formula1>
            <xm:f>Caracterizacion!$F$3</xm:f>
          </x14:formula1>
          <xm:sqref>J5</xm:sqref>
        </x14:dataValidation>
        <x14:dataValidation type="list" allowBlank="1" showInputMessage="1" showErrorMessage="1" xr:uid="{605E89EB-401C-4262-A9E8-937D5D25E029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B130105A-78DA-4B80-A080-C301B1D94289}">
          <x14:formula1>
            <xm:f>Caracterizacion!$A$3:$A$40</xm:f>
          </x14:formula1>
          <xm:sqref>B7:B9</xm:sqref>
        </x14:dataValidation>
        <x14:dataValidation type="list" allowBlank="1" showInputMessage="1" showErrorMessage="1" xr:uid="{1DAD6509-67BA-49D8-9B50-50D2551529D0}">
          <x14:formula1>
            <xm:f>Caracterizacion!$A$3:$A$14</xm:f>
          </x14:formula1>
          <xm:sqref>B5</xm:sqref>
        </x14:dataValidation>
        <x14:dataValidation type="list" allowBlank="1" showInputMessage="1" showErrorMessage="1" xr:uid="{4D01269C-CC43-4CF0-8FBC-D0FADE3836FE}">
          <x14:formula1>
            <xm:f>Caracterizacion!$B$4:$B$506</xm:f>
          </x14:formula1>
          <xm:sqref>C5:D9</xm:sqref>
        </x14:dataValidation>
        <x14:dataValidation type="list" allowBlank="1" showInputMessage="1" showErrorMessage="1" xr:uid="{8E02E9EB-C0DA-492D-AEA3-C748F2B2728D}">
          <x14:formula1>
            <xm:f>Caracterizacion!$A$3:$A$45</xm:f>
          </x14:formula1>
          <xm:sqref>B6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55F-01FA-4CB4-8355-CC5819CEBC07}">
  <dimension ref="A2:J12"/>
  <sheetViews>
    <sheetView workbookViewId="0">
      <selection activeCell="D8" sqref="D8"/>
    </sheetView>
  </sheetViews>
  <sheetFormatPr defaultRowHeight="15"/>
  <cols>
    <col min="1" max="1" width="40.140625" bestFit="1" customWidth="1"/>
    <col min="2" max="4" width="34" customWidth="1"/>
    <col min="5" max="5" width="32.5703125" customWidth="1"/>
    <col min="6" max="6" width="21" bestFit="1" customWidth="1"/>
    <col min="7" max="7" width="18.5703125" customWidth="1"/>
    <col min="8" max="8" width="26.140625" bestFit="1" customWidth="1"/>
    <col min="9" max="9" width="18.42578125" bestFit="1" customWidth="1"/>
    <col min="10" max="10" width="18" bestFit="1" customWidth="1"/>
  </cols>
  <sheetData>
    <row r="2" spans="1:10" ht="34.5">
      <c r="A2" s="99" t="s">
        <v>1186</v>
      </c>
      <c r="B2" s="99" t="s">
        <v>1187</v>
      </c>
      <c r="C2" s="99" t="s">
        <v>1188</v>
      </c>
      <c r="D2" s="99" t="s">
        <v>1189</v>
      </c>
      <c r="F2" s="122"/>
      <c r="G2" s="122"/>
      <c r="H2" s="122"/>
      <c r="I2" s="122"/>
      <c r="J2" s="122"/>
    </row>
    <row r="3" spans="1:10">
      <c r="A3" s="129" t="s">
        <v>369</v>
      </c>
      <c r="B3" t="s">
        <v>1190</v>
      </c>
      <c r="C3" s="129" t="s">
        <v>1191</v>
      </c>
      <c r="D3" s="133" t="s">
        <v>509</v>
      </c>
      <c r="F3" s="130"/>
      <c r="G3" s="130"/>
      <c r="H3" s="130"/>
      <c r="I3" s="130"/>
      <c r="J3" s="130"/>
    </row>
    <row r="4" spans="1:10">
      <c r="A4" s="119" t="s">
        <v>1192</v>
      </c>
      <c r="B4" s="129" t="str">
        <f>'Evidencia Fotográfica Muestreo'!D4</f>
        <v>Frontal  - MRC35E</v>
      </c>
      <c r="C4" s="56" t="s">
        <v>1193</v>
      </c>
      <c r="D4" s="512" t="str">
        <f>B4</f>
        <v>Frontal  - MRC35E</v>
      </c>
      <c r="F4" s="131"/>
      <c r="G4" s="130"/>
      <c r="H4" s="130"/>
      <c r="I4" s="130"/>
      <c r="J4" s="130"/>
    </row>
    <row r="5" spans="1:10">
      <c r="A5" s="119" t="s">
        <v>1194</v>
      </c>
      <c r="B5" s="129" t="str">
        <f>'Evidencia Fotográfica Muestreo'!D5</f>
        <v>Lateral  - MRC35E</v>
      </c>
      <c r="C5" s="56" t="s">
        <v>1195</v>
      </c>
      <c r="D5" s="512" t="str">
        <f>B5</f>
        <v>Lateral  - MRC35E</v>
      </c>
      <c r="F5" s="131"/>
      <c r="G5" s="130"/>
      <c r="H5" s="130"/>
      <c r="I5" s="130"/>
      <c r="J5" s="130"/>
    </row>
    <row r="6" spans="1:10">
      <c r="A6" s="119" t="s">
        <v>1196</v>
      </c>
      <c r="B6" s="129" t="str">
        <f>'Evidencia Fotográfica Muestreo'!D6</f>
        <v>Trasera  - MRC35E</v>
      </c>
      <c r="C6" s="56" t="s">
        <v>1197</v>
      </c>
      <c r="D6" s="512" t="str">
        <f>B6</f>
        <v>Trasera  - MRC35E</v>
      </c>
      <c r="F6" s="131"/>
      <c r="G6" s="130"/>
      <c r="H6" s="130"/>
      <c r="I6" s="130"/>
      <c r="J6" s="130"/>
    </row>
    <row r="7" spans="1:10">
      <c r="A7" s="119" t="s">
        <v>1198</v>
      </c>
      <c r="B7" s="129" t="str">
        <f>'Evidencia Fotográfica Muestreo'!D7</f>
        <v>Frontal  - AXA66N</v>
      </c>
      <c r="C7" s="56" t="s">
        <v>1199</v>
      </c>
      <c r="D7" s="512" t="str">
        <f>B7</f>
        <v>Frontal  - AXA66N</v>
      </c>
      <c r="F7" s="131"/>
      <c r="G7" s="130"/>
      <c r="H7" s="130"/>
      <c r="I7" s="130"/>
      <c r="J7" s="130"/>
    </row>
    <row r="8" spans="1:10" ht="409.6">
      <c r="F8" s="160" t="s">
        <v>1200</v>
      </c>
    </row>
    <row r="9" spans="1:10">
      <c r="B9" s="132"/>
      <c r="C9" s="132"/>
      <c r="D9" s="132"/>
      <c r="E9" s="131"/>
      <c r="F9" s="130"/>
    </row>
    <row r="10" spans="1:10">
      <c r="B10" s="132"/>
      <c r="C10" s="132"/>
      <c r="D10" s="132"/>
      <c r="E10" s="131"/>
      <c r="F10" s="130"/>
    </row>
    <row r="11" spans="1:10">
      <c r="B11" s="132"/>
      <c r="C11" s="132"/>
      <c r="D11" s="132"/>
      <c r="E11" s="131"/>
      <c r="F11" s="130"/>
    </row>
    <row r="12" spans="1:10">
      <c r="B12" s="132"/>
      <c r="C12" s="132"/>
      <c r="D12" s="132"/>
      <c r="E12" s="131"/>
      <c r="F12" s="13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7C43-B7D9-416C-9014-AEB35A662597}">
  <dimension ref="A1:X36"/>
  <sheetViews>
    <sheetView zoomScale="85" zoomScaleNormal="85" workbookViewId="0">
      <pane xSplit="1" topLeftCell="I1" activePane="topRight" state="frozen"/>
      <selection pane="topRight" activeCell="T7" sqref="T7"/>
    </sheetView>
  </sheetViews>
  <sheetFormatPr defaultColWidth="11.42578125" defaultRowHeight="15"/>
  <cols>
    <col min="1" max="1" width="40.28515625" style="1" bestFit="1" customWidth="1"/>
    <col min="2" max="2" width="25.28515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7.28515625" style="1" customWidth="1"/>
    <col min="9" max="9" width="104.140625" style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8.85546875" style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88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186" t="str">
        <f>'Listado Objetos de Dominio'!$A$17</f>
        <v>Imagen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4">
      <c r="A3" s="4" t="s">
        <v>392</v>
      </c>
      <c r="B3" s="1187" t="str">
        <f>'Listado Objetos de Dominio'!$B$17</f>
        <v xml:space="preserve">Objeto de dominio que representa los recursos visuales asociados a motocicletas 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4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A18</f>
        <v>Agregar la imagen de la Motocicleta</v>
      </c>
      <c r="V4" s="35" t="str">
        <f>A22</f>
        <v>Actualizar la Imagen de la  Motocicleta</v>
      </c>
      <c r="W4" s="36" t="str">
        <f>A25</f>
        <v>Consultar la Imagen de la Motocicleta</v>
      </c>
      <c r="X4" s="2" t="str">
        <f>A27</f>
        <v>Eliminar la  Imagen de la  Motocicleta</v>
      </c>
    </row>
    <row r="5" spans="1:24" ht="36.75" customHeight="1">
      <c r="A5" s="11" t="str">
        <f>'Imagen Muestreo 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'Imagen Muestreo '!A2</f>
        <v>Corresponde al identificador único que representa cada imagen asociada a una motocicleta en el sistema.</v>
      </c>
      <c r="U5" s="401" t="s">
        <v>467</v>
      </c>
      <c r="V5" s="39" t="s">
        <v>409</v>
      </c>
      <c r="W5" s="72" t="s">
        <v>468</v>
      </c>
      <c r="X5" s="48" t="s">
        <v>467</v>
      </c>
    </row>
    <row r="6" spans="1:24" ht="63.75" customHeight="1">
      <c r="A6" s="513" t="str">
        <f>'Imagen Muestreo '!B3</f>
        <v>evidencia_Fotografica</v>
      </c>
      <c r="B6" s="244" t="s">
        <v>135</v>
      </c>
      <c r="C6" s="244"/>
      <c r="D6" s="244"/>
      <c r="E6" s="244"/>
      <c r="F6" s="244"/>
      <c r="G6" s="244"/>
      <c r="H6" s="244"/>
      <c r="I6" s="244"/>
      <c r="J6" s="244"/>
      <c r="K6" s="514"/>
      <c r="L6" s="515" t="s">
        <v>81</v>
      </c>
      <c r="M6" s="515" t="s">
        <v>81</v>
      </c>
      <c r="N6" s="515" t="s">
        <v>81</v>
      </c>
      <c r="O6" s="515" t="s">
        <v>81</v>
      </c>
      <c r="P6" s="515" t="s">
        <v>78</v>
      </c>
      <c r="Q6" s="515" t="s">
        <v>81</v>
      </c>
      <c r="R6" s="515" t="s">
        <v>81</v>
      </c>
      <c r="S6" s="515" t="s">
        <v>81</v>
      </c>
      <c r="T6" s="514" t="str">
        <f>'Imagen Muestreo '!B2</f>
        <v>Corresponde al identificador de la evidencia fotografica a la que pertenece la imagen.</v>
      </c>
      <c r="U6" s="690" t="s">
        <v>467</v>
      </c>
      <c r="V6" s="700" t="s">
        <v>409</v>
      </c>
      <c r="W6" s="701" t="s">
        <v>1201</v>
      </c>
      <c r="X6" s="702" t="s">
        <v>933</v>
      </c>
    </row>
    <row r="7" spans="1:24" ht="63" customHeight="1">
      <c r="A7" s="184" t="str">
        <f>'Imagen Muestreo '!C3</f>
        <v>urlimagen</v>
      </c>
      <c r="B7" s="707" t="s">
        <v>75</v>
      </c>
      <c r="C7" s="184">
        <v>1</v>
      </c>
      <c r="D7" s="184">
        <v>500</v>
      </c>
      <c r="E7" s="184"/>
      <c r="F7" s="184"/>
      <c r="G7" s="184"/>
      <c r="H7" s="706" t="s">
        <v>410</v>
      </c>
      <c r="I7" s="184" t="s">
        <v>1202</v>
      </c>
      <c r="J7" s="707"/>
      <c r="K7" s="185"/>
      <c r="L7" s="186" t="s">
        <v>78</v>
      </c>
      <c r="M7" s="186" t="s">
        <v>78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'Imagen Muestreo '!D2</f>
        <v>El detalle de la imagen y su perspectiva no debe tener duplicidad en el registro fotográfico de una misma vista de la motocicleta.</v>
      </c>
      <c r="U7" s="691" t="s">
        <v>467</v>
      </c>
      <c r="V7" s="703" t="s">
        <v>413</v>
      </c>
      <c r="W7" s="704" t="s">
        <v>1201</v>
      </c>
      <c r="X7" s="705" t="s">
        <v>933</v>
      </c>
    </row>
    <row r="8" spans="1:24">
      <c r="A8" s="178"/>
      <c r="I8" s="89"/>
    </row>
    <row r="9" spans="1:24">
      <c r="I9" s="89"/>
    </row>
    <row r="10" spans="1:24" ht="66.75" customHeight="1">
      <c r="A10" s="1254" t="s">
        <v>414</v>
      </c>
      <c r="B10" s="1254"/>
      <c r="C10" s="1254"/>
      <c r="G10" s="1" t="s">
        <v>418</v>
      </c>
    </row>
    <row r="11" spans="1:24">
      <c r="A11" s="126" t="s">
        <v>415</v>
      </c>
      <c r="B11" s="126" t="s">
        <v>2</v>
      </c>
      <c r="C11" s="126" t="s">
        <v>416</v>
      </c>
    </row>
    <row r="12" spans="1:24" ht="86.25" customHeight="1">
      <c r="A12" s="103" t="s">
        <v>1203</v>
      </c>
      <c r="B12" s="103" t="str">
        <f>'Imagen Muestreo '!D2</f>
        <v>El detalle de la imagen y su perspectiva no debe tener duplicidad en el registro fotográfico de una misma vista de la motocicleta.</v>
      </c>
      <c r="C12" s="232" t="str">
        <f>A6</f>
        <v>evidencia_Fotografica</v>
      </c>
    </row>
    <row r="14" spans="1:24">
      <c r="T14" s="290"/>
      <c r="U14" s="290"/>
      <c r="V14" s="290"/>
    </row>
    <row r="15" spans="1:24">
      <c r="T15" s="290"/>
      <c r="U15" s="290"/>
      <c r="V15" s="290"/>
    </row>
    <row r="16" spans="1:24" ht="27" customHeight="1">
      <c r="A16" s="358" t="s">
        <v>419</v>
      </c>
      <c r="B16" s="317"/>
      <c r="C16" s="317" t="s">
        <v>2</v>
      </c>
      <c r="D16" s="317"/>
      <c r="E16" s="318"/>
      <c r="F16" s="319"/>
      <c r="G16" s="317" t="s">
        <v>420</v>
      </c>
      <c r="H16" s="333"/>
      <c r="I16" s="319"/>
      <c r="J16" s="319" t="s">
        <v>421</v>
      </c>
      <c r="K16" s="319"/>
      <c r="L16" s="319"/>
      <c r="M16" s="318"/>
      <c r="N16" s="319" t="s">
        <v>422</v>
      </c>
      <c r="O16" s="319"/>
      <c r="P16" s="319"/>
      <c r="Q16" s="318"/>
      <c r="R16" s="319" t="s">
        <v>474</v>
      </c>
      <c r="S16" s="333"/>
    </row>
    <row r="17" spans="1:21" ht="51" customHeight="1">
      <c r="A17" s="312"/>
      <c r="B17" s="346"/>
      <c r="C17" s="346"/>
      <c r="D17" s="340"/>
      <c r="E17" s="341" t="s">
        <v>423</v>
      </c>
      <c r="F17" s="337" t="s">
        <v>424</v>
      </c>
      <c r="G17" s="316"/>
      <c r="H17" s="359" t="s">
        <v>2</v>
      </c>
      <c r="I17" s="346" t="s">
        <v>66</v>
      </c>
      <c r="J17" s="339"/>
      <c r="K17" s="346" t="s">
        <v>2</v>
      </c>
      <c r="L17" s="340"/>
      <c r="M17" s="337" t="s">
        <v>425</v>
      </c>
      <c r="N17" s="339"/>
      <c r="O17" s="346" t="s">
        <v>2</v>
      </c>
      <c r="P17" s="346"/>
      <c r="Q17" s="1244" t="s">
        <v>426</v>
      </c>
      <c r="R17" s="1207"/>
      <c r="S17" s="333" t="s">
        <v>427</v>
      </c>
      <c r="T17" s="291"/>
      <c r="U17" s="291"/>
    </row>
    <row r="18" spans="1:21" ht="111" customHeight="1">
      <c r="A18" s="406" t="s">
        <v>1204</v>
      </c>
      <c r="B18" s="357"/>
      <c r="C18" s="350" t="s">
        <v>1205</v>
      </c>
      <c r="D18" s="350"/>
      <c r="E18" s="344" t="s">
        <v>1191</v>
      </c>
      <c r="F18" s="344" t="s">
        <v>75</v>
      </c>
      <c r="G18" s="427" t="s">
        <v>1206</v>
      </c>
      <c r="H18" s="428"/>
      <c r="I18" s="351"/>
      <c r="J18" s="355"/>
      <c r="K18" s="355"/>
      <c r="L18" s="524"/>
      <c r="M18" s="520" t="s">
        <v>1207</v>
      </c>
      <c r="N18" s="1257" t="s">
        <v>495</v>
      </c>
      <c r="O18" s="1258"/>
      <c r="P18" s="1258"/>
      <c r="Q18" s="1257" t="s">
        <v>437</v>
      </c>
      <c r="R18" s="1259"/>
      <c r="S18" s="528" t="s">
        <v>480</v>
      </c>
    </row>
    <row r="19" spans="1:21" ht="97.5" customHeight="1">
      <c r="A19" s="406"/>
      <c r="B19" s="378"/>
      <c r="C19" s="377"/>
      <c r="D19" s="377"/>
      <c r="E19" s="396"/>
      <c r="F19" s="396"/>
      <c r="G19" s="429"/>
      <c r="H19" s="430"/>
      <c r="I19" s="376"/>
      <c r="J19" s="375"/>
      <c r="K19" s="375"/>
      <c r="L19" s="525"/>
      <c r="M19" s="520" t="s">
        <v>1208</v>
      </c>
      <c r="N19" s="1286" t="s">
        <v>1209</v>
      </c>
      <c r="O19" s="1222"/>
      <c r="P19" s="1222"/>
      <c r="Q19" s="1287" t="s">
        <v>1210</v>
      </c>
      <c r="R19" s="1343"/>
      <c r="S19" s="526" t="s">
        <v>480</v>
      </c>
    </row>
    <row r="20" spans="1:21" ht="90.75" customHeight="1">
      <c r="A20" s="406"/>
      <c r="B20" s="378"/>
      <c r="C20" s="377"/>
      <c r="D20" s="377"/>
      <c r="E20" s="396"/>
      <c r="F20" s="396"/>
      <c r="G20" s="429"/>
      <c r="H20" s="430"/>
      <c r="I20" s="376"/>
      <c r="J20" s="375"/>
      <c r="K20" s="375"/>
      <c r="L20" s="525"/>
      <c r="M20" s="520" t="s">
        <v>1211</v>
      </c>
      <c r="N20" s="1257" t="s">
        <v>1212</v>
      </c>
      <c r="O20" s="1258"/>
      <c r="P20" s="1258"/>
      <c r="Q20" s="1344" t="s">
        <v>1213</v>
      </c>
      <c r="R20" s="1289"/>
      <c r="S20" s="399" t="s">
        <v>480</v>
      </c>
    </row>
    <row r="21" spans="1:21" ht="111.75" customHeight="1">
      <c r="A21" s="406"/>
      <c r="B21" s="378"/>
      <c r="C21" s="377"/>
      <c r="D21" s="377"/>
      <c r="E21" s="396"/>
      <c r="F21" s="396"/>
      <c r="G21" s="504"/>
      <c r="H21" s="505"/>
      <c r="I21" s="376"/>
      <c r="J21" s="375"/>
      <c r="K21" s="375"/>
      <c r="L21" s="376"/>
      <c r="M21" s="520" t="s">
        <v>1214</v>
      </c>
      <c r="N21" s="1286" t="s">
        <v>1215</v>
      </c>
      <c r="O21" s="1222"/>
      <c r="P21" s="1222"/>
      <c r="Q21" s="1291" t="s">
        <v>483</v>
      </c>
      <c r="R21" s="1286"/>
      <c r="S21" s="527" t="s">
        <v>484</v>
      </c>
    </row>
    <row r="22" spans="1:21" ht="114.75" customHeight="1">
      <c r="A22" s="379" t="s">
        <v>1216</v>
      </c>
      <c r="B22" s="380"/>
      <c r="C22" s="360" t="s">
        <v>1217</v>
      </c>
      <c r="D22" s="360"/>
      <c r="E22" s="517" t="s">
        <v>369</v>
      </c>
      <c r="F22" s="521" t="s">
        <v>75</v>
      </c>
      <c r="G22" s="506" t="s">
        <v>1218</v>
      </c>
      <c r="H22" s="708"/>
      <c r="I22" s="710"/>
      <c r="J22" s="709"/>
      <c r="K22" s="360"/>
      <c r="L22" s="361"/>
      <c r="M22" s="580" t="s">
        <v>1207</v>
      </c>
      <c r="N22" s="1272" t="s">
        <v>495</v>
      </c>
      <c r="O22" s="1273"/>
      <c r="P22" s="1273"/>
      <c r="Q22" s="1345" t="s">
        <v>437</v>
      </c>
      <c r="R22" s="1272"/>
      <c r="S22" s="519" t="s">
        <v>480</v>
      </c>
    </row>
    <row r="23" spans="1:21" ht="97.5" customHeight="1">
      <c r="A23" s="407"/>
      <c r="B23" s="366"/>
      <c r="C23" s="366"/>
      <c r="D23" s="366"/>
      <c r="E23" s="488" t="s">
        <v>441</v>
      </c>
      <c r="F23" s="522" t="s">
        <v>34</v>
      </c>
      <c r="G23" s="431" t="s">
        <v>1219</v>
      </c>
      <c r="H23" s="431"/>
      <c r="I23" s="689"/>
      <c r="J23" s="689"/>
      <c r="K23" s="363"/>
      <c r="L23" s="362"/>
      <c r="M23" s="686"/>
      <c r="N23" s="1265"/>
      <c r="O23" s="1266"/>
      <c r="P23" s="1266"/>
      <c r="Q23" s="1265"/>
      <c r="R23" s="1266"/>
      <c r="S23" s="529"/>
    </row>
    <row r="24" spans="1:21">
      <c r="A24" s="507"/>
      <c r="B24" s="509"/>
      <c r="C24" s="349"/>
      <c r="D24" s="349"/>
      <c r="E24" s="500"/>
      <c r="F24" s="397"/>
      <c r="G24" s="523"/>
      <c r="H24" s="384"/>
      <c r="I24" s="354"/>
      <c r="J24" s="352"/>
      <c r="K24" s="349"/>
      <c r="L24" s="354"/>
      <c r="M24" s="398"/>
      <c r="N24" s="1270"/>
      <c r="O24" s="1270"/>
      <c r="P24" s="1270"/>
      <c r="Q24" s="356"/>
      <c r="R24" s="502"/>
      <c r="S24" s="403"/>
    </row>
    <row r="25" spans="1:21" ht="110.25" customHeight="1">
      <c r="A25" s="508" t="s">
        <v>1220</v>
      </c>
      <c r="B25" s="509"/>
      <c r="C25" s="349" t="s">
        <v>1221</v>
      </c>
      <c r="D25" s="349"/>
      <c r="E25" s="470" t="s">
        <v>499</v>
      </c>
      <c r="F25" s="398" t="s">
        <v>1222</v>
      </c>
      <c r="G25" s="486" t="s">
        <v>501</v>
      </c>
      <c r="H25" s="386"/>
      <c r="I25" s="354" t="s">
        <v>1222</v>
      </c>
      <c r="J25" s="385" t="s">
        <v>1223</v>
      </c>
      <c r="K25" s="349"/>
      <c r="L25" s="354"/>
      <c r="M25" s="398" t="s">
        <v>1224</v>
      </c>
      <c r="N25" s="1270" t="s">
        <v>495</v>
      </c>
      <c r="O25" s="1270"/>
      <c r="P25" s="1270" t="s">
        <v>480</v>
      </c>
      <c r="Q25" s="1269" t="s">
        <v>437</v>
      </c>
      <c r="R25" s="1270"/>
      <c r="S25" s="403" t="s">
        <v>480</v>
      </c>
    </row>
    <row r="26" spans="1:21" ht="147.75" customHeight="1">
      <c r="A26" s="508"/>
      <c r="B26" s="509"/>
      <c r="C26" s="349"/>
      <c r="D26" s="349"/>
      <c r="E26" s="470"/>
      <c r="F26" s="398"/>
      <c r="G26" s="486"/>
      <c r="H26" s="386"/>
      <c r="I26" s="354"/>
      <c r="J26" s="352"/>
      <c r="K26" s="349"/>
      <c r="L26" s="354"/>
      <c r="M26" s="398"/>
      <c r="N26" s="1270"/>
      <c r="O26" s="1270"/>
      <c r="P26" s="1270"/>
      <c r="Q26" s="356"/>
      <c r="R26" s="502"/>
      <c r="S26" s="403"/>
    </row>
    <row r="27" spans="1:21" ht="121.5" customHeight="1">
      <c r="A27" s="394" t="s">
        <v>1225</v>
      </c>
      <c r="B27" s="394"/>
      <c r="C27" s="390" t="s">
        <v>1226</v>
      </c>
      <c r="D27" s="390"/>
      <c r="E27" s="518" t="s">
        <v>369</v>
      </c>
      <c r="F27" s="518" t="s">
        <v>75</v>
      </c>
      <c r="G27" s="389" t="s">
        <v>1227</v>
      </c>
      <c r="H27" s="395"/>
      <c r="I27" s="391"/>
      <c r="J27" s="392"/>
      <c r="K27" s="390"/>
      <c r="L27" s="539"/>
      <c r="M27" s="541" t="s">
        <v>1207</v>
      </c>
      <c r="N27" s="1338" t="s">
        <v>436</v>
      </c>
      <c r="O27" s="1325"/>
      <c r="P27" s="1326"/>
      <c r="Q27" s="1325" t="s">
        <v>437</v>
      </c>
      <c r="R27" s="1325"/>
      <c r="S27" s="420" t="s">
        <v>480</v>
      </c>
    </row>
    <row r="28" spans="1:21" ht="92.25" customHeight="1">
      <c r="A28" s="537"/>
      <c r="B28" s="537"/>
      <c r="C28" s="538"/>
      <c r="D28" s="538"/>
      <c r="E28" s="388"/>
      <c r="F28" s="388"/>
      <c r="G28" s="364"/>
      <c r="H28" s="353"/>
      <c r="I28" s="393"/>
      <c r="J28" s="1278"/>
      <c r="K28" s="1278"/>
      <c r="L28" s="1278"/>
      <c r="M28" s="542"/>
      <c r="N28" s="1292"/>
      <c r="O28" s="1278"/>
      <c r="P28" s="1293"/>
      <c r="Q28" s="1278"/>
      <c r="R28" s="1278"/>
      <c r="S28" s="540"/>
    </row>
    <row r="29" spans="1:21" ht="97.5" customHeight="1">
      <c r="A29" s="532"/>
      <c r="B29" s="532"/>
      <c r="C29" s="533"/>
      <c r="D29" s="534"/>
      <c r="E29" s="530"/>
      <c r="F29" s="530"/>
      <c r="G29" s="531"/>
      <c r="H29" s="535"/>
      <c r="I29" s="536"/>
      <c r="J29" s="530"/>
      <c r="K29" s="530"/>
      <c r="L29" s="530"/>
      <c r="M29" s="536"/>
      <c r="N29" s="1342"/>
      <c r="O29" s="1342"/>
      <c r="P29" s="1342"/>
      <c r="Q29" s="1342"/>
      <c r="R29" s="1342"/>
      <c r="S29" s="536"/>
    </row>
    <row r="30" spans="1:21" ht="114" customHeight="1">
      <c r="A30" s="532"/>
      <c r="B30" s="532"/>
      <c r="C30" s="534"/>
      <c r="D30" s="534"/>
      <c r="E30" s="536"/>
      <c r="F30" s="536"/>
      <c r="G30" s="531"/>
      <c r="H30" s="531"/>
      <c r="I30" s="536"/>
      <c r="J30" s="530"/>
      <c r="K30" s="530"/>
      <c r="L30" s="530"/>
      <c r="M30" s="536"/>
      <c r="N30" s="1342"/>
      <c r="O30" s="1342"/>
      <c r="P30" s="1342"/>
      <c r="Q30" s="1342"/>
      <c r="R30" s="1342"/>
      <c r="S30" s="536"/>
    </row>
    <row r="31" spans="1:21" ht="105" customHeight="1">
      <c r="A31" s="532"/>
      <c r="B31" s="532"/>
      <c r="C31" s="534"/>
      <c r="D31" s="534"/>
      <c r="E31" s="536"/>
      <c r="F31" s="536"/>
      <c r="G31" s="531"/>
      <c r="H31" s="531"/>
      <c r="I31" s="536"/>
      <c r="J31" s="530"/>
      <c r="K31" s="530"/>
      <c r="L31" s="530"/>
      <c r="M31" s="536"/>
      <c r="N31" s="530"/>
      <c r="O31" s="530"/>
      <c r="P31" s="530"/>
      <c r="Q31" s="530"/>
      <c r="R31" s="530"/>
      <c r="S31" s="536"/>
    </row>
    <row r="32" spans="1:21" ht="93.75" customHeight="1">
      <c r="A32" s="532"/>
      <c r="B32" s="532"/>
      <c r="C32" s="534"/>
      <c r="D32" s="534"/>
      <c r="E32" s="536"/>
      <c r="F32" s="536"/>
      <c r="I32" s="536"/>
      <c r="J32" s="530"/>
      <c r="K32" s="530"/>
      <c r="L32" s="530"/>
      <c r="M32" s="536"/>
      <c r="N32" s="1342"/>
      <c r="O32" s="1342"/>
      <c r="P32" s="1342"/>
      <c r="Q32" s="1342"/>
      <c r="R32" s="1342"/>
      <c r="S32" s="536"/>
    </row>
    <row r="33" spans="1:19" ht="111.75" customHeight="1">
      <c r="A33" s="532"/>
      <c r="B33" s="532"/>
      <c r="C33" s="534"/>
      <c r="D33" s="534"/>
      <c r="E33" s="536"/>
      <c r="F33" s="536"/>
      <c r="I33" s="536"/>
      <c r="J33" s="530"/>
      <c r="K33" s="530"/>
      <c r="L33" s="530"/>
      <c r="M33" s="536"/>
      <c r="N33" s="1342"/>
      <c r="O33" s="1342"/>
      <c r="P33" s="1342"/>
      <c r="Q33" s="1342"/>
      <c r="R33" s="1342"/>
      <c r="S33" s="536"/>
    </row>
    <row r="34" spans="1:19" ht="123.75" customHeight="1">
      <c r="A34" s="532"/>
      <c r="B34" s="532"/>
      <c r="C34" s="534"/>
      <c r="D34" s="534"/>
      <c r="E34" s="536"/>
      <c r="F34" s="536"/>
      <c r="G34" s="531"/>
      <c r="H34" s="531"/>
      <c r="I34" s="536"/>
      <c r="J34" s="530"/>
      <c r="K34" s="530"/>
      <c r="L34" s="530"/>
      <c r="M34" s="536"/>
      <c r="N34" s="530"/>
      <c r="O34" s="530"/>
      <c r="P34" s="530"/>
      <c r="Q34" s="530"/>
      <c r="R34" s="530"/>
      <c r="S34" s="536"/>
    </row>
    <row r="35" spans="1:19" ht="92.25" customHeight="1">
      <c r="A35" s="532"/>
      <c r="B35" s="532"/>
      <c r="C35" s="534"/>
      <c r="D35" s="534"/>
      <c r="E35" s="536"/>
      <c r="F35" s="536"/>
      <c r="I35" s="536"/>
      <c r="J35" s="530"/>
      <c r="K35" s="530"/>
      <c r="L35" s="530"/>
      <c r="M35" s="536"/>
      <c r="N35" s="1342"/>
      <c r="O35" s="1342"/>
      <c r="P35" s="1342"/>
      <c r="Q35" s="1342"/>
      <c r="R35" s="1342"/>
      <c r="S35" s="536"/>
    </row>
    <row r="36" spans="1:19" ht="120.75" customHeight="1">
      <c r="A36" s="532"/>
      <c r="B36" s="532"/>
      <c r="C36" s="534"/>
      <c r="D36" s="534"/>
      <c r="E36" s="536"/>
      <c r="F36" s="536"/>
      <c r="I36" s="536"/>
      <c r="J36" s="530"/>
      <c r="K36" s="530"/>
      <c r="L36" s="530"/>
      <c r="M36" s="536"/>
      <c r="N36" s="1342"/>
      <c r="O36" s="1342"/>
      <c r="P36" s="1342"/>
      <c r="Q36" s="1342"/>
      <c r="R36" s="1342"/>
      <c r="S36" s="536"/>
    </row>
  </sheetData>
  <mergeCells count="38">
    <mergeCell ref="Q36:R36"/>
    <mergeCell ref="N36:P36"/>
    <mergeCell ref="Q35:R35"/>
    <mergeCell ref="N35:P35"/>
    <mergeCell ref="N20:P20"/>
    <mergeCell ref="Q20:R20"/>
    <mergeCell ref="N21:P21"/>
    <mergeCell ref="Q21:R21"/>
    <mergeCell ref="N22:P22"/>
    <mergeCell ref="Q22:R22"/>
    <mergeCell ref="N23:P23"/>
    <mergeCell ref="Q23:R23"/>
    <mergeCell ref="N24:P24"/>
    <mergeCell ref="N26:P26"/>
    <mergeCell ref="N27:P27"/>
    <mergeCell ref="Q27:R27"/>
    <mergeCell ref="A1:T1"/>
    <mergeCell ref="B2:T2"/>
    <mergeCell ref="B3:T3"/>
    <mergeCell ref="A10:C10"/>
    <mergeCell ref="Q17:R17"/>
    <mergeCell ref="Q18:R18"/>
    <mergeCell ref="N18:P18"/>
    <mergeCell ref="Q19:R19"/>
    <mergeCell ref="N19:P19"/>
    <mergeCell ref="N25:P25"/>
    <mergeCell ref="Q25:R25"/>
    <mergeCell ref="J28:L28"/>
    <mergeCell ref="N28:P28"/>
    <mergeCell ref="Q28:R28"/>
    <mergeCell ref="N29:P29"/>
    <mergeCell ref="Q29:R29"/>
    <mergeCell ref="N30:P30"/>
    <mergeCell ref="Q30:R30"/>
    <mergeCell ref="N32:P32"/>
    <mergeCell ref="Q32:R32"/>
    <mergeCell ref="N33:P33"/>
    <mergeCell ref="Q33:R33"/>
  </mergeCells>
  <conditionalFormatting sqref="N18:N21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7" xr:uid="{5F800ABB-6361-4B07-AAC0-87CA47D0ACD7}"/>
  </dataValidations>
  <hyperlinks>
    <hyperlink ref="A1" location="'Objetos de Dominio'!A1" display="Volver al inicio" xr:uid="{1859D103-D9C3-4E4E-93FD-3FD16B7309BC}"/>
    <hyperlink ref="V4" location="'Objeto Dominio 2'!A17" display="'Objeto Dominio 2'!A17" xr:uid="{9AE1362F-F6CD-47DE-9E62-6F502E91D695}"/>
    <hyperlink ref="W4" location="'Objeto Dominio 2'!A18" display="'Objeto Dominio 2'!A18" xr:uid="{4269CF36-E91C-40F9-B326-E95C67E19355}"/>
    <hyperlink ref="X4" location="'Objeto Dominio 2'!A19" display="'Objeto Dominio 2'!A19" xr:uid="{86EAFEE7-26FA-4E2B-A022-ACE48B6B7FD5}"/>
    <hyperlink ref="U4" location="'Objeto Dominio 2'!A16" display="'Objeto Dominio 2'!A16" xr:uid="{5D2539B1-E1B0-45B7-AE56-DC687DDC4FF9}"/>
    <hyperlink ref="A1:T1" location="'Listado Objetos de Dominio'!A1" display="&lt;-Volver al inicio" xr:uid="{62353C86-9E66-45FF-9FFC-BDE405BD2CD7}"/>
    <hyperlink ref="C12" location="'Imagen  Caracterización'!A6" display="=A6" xr:uid="{46C52366-0823-4AB0-B06F-4303E1C1950B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D2650A9-B5BA-41C6-B541-0332D88511D4}">
          <x14:formula1>
            <xm:f>Caracterizacion!$C$3:$C$18</xm:f>
          </x14:formula1>
          <xm:sqref>E5:E7 F6:G7</xm:sqref>
        </x14:dataValidation>
        <x14:dataValidation type="list" allowBlank="1" showInputMessage="1" showErrorMessage="1" xr:uid="{C5BDFCFA-73E4-4EC8-8F65-6C6957892117}">
          <x14:formula1>
            <xm:f>Caracterizacion!$H$3:$H$4</xm:f>
          </x14:formula1>
          <xm:sqref>L5:S7</xm:sqref>
        </x14:dataValidation>
        <x14:dataValidation type="custom" allowBlank="1" showInputMessage="1" showErrorMessage="1" xr:uid="{A09A92A9-28FC-4BCF-BD01-8095809D9CC3}">
          <x14:formula1>
            <xm:f>Caracterizacion!$F$3</xm:f>
          </x14:formula1>
          <xm:sqref>J5</xm:sqref>
        </x14:dataValidation>
        <x14:dataValidation type="list" allowBlank="1" showInputMessage="1" showErrorMessage="1" xr:uid="{2CE2FB7E-F124-40A2-9604-614202FD93FE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A56ED6F7-54D2-4262-B777-66A222A76A75}">
          <x14:formula1>
            <xm:f>Caracterizacion!$A$3:$A$40</xm:f>
          </x14:formula1>
          <xm:sqref>B6:B7</xm:sqref>
        </x14:dataValidation>
        <x14:dataValidation type="list" allowBlank="1" showInputMessage="1" showErrorMessage="1" xr:uid="{E14995F6-D778-45E3-B8D8-5BD144F2CD7F}">
          <x14:formula1>
            <xm:f>Caracterizacion!$A$3:$A$14</xm:f>
          </x14:formula1>
          <xm:sqref>B5</xm:sqref>
        </x14:dataValidation>
        <x14:dataValidation type="list" allowBlank="1" showInputMessage="1" showErrorMessage="1" xr:uid="{35A72C0C-E54F-4711-8A10-F09E9DA7C477}">
          <x14:formula1>
            <xm:f>Caracterizacion!$B$4:$B$28</xm:f>
          </x14:formula1>
          <xm:sqref>C6:C7 D6</xm:sqref>
        </x14:dataValidation>
        <x14:dataValidation type="list" allowBlank="1" showInputMessage="1" showErrorMessage="1" xr:uid="{34BD4B37-81DC-41B9-8214-63E152E7EDED}">
          <x14:formula1>
            <xm:f>Caracterizacion!$B$4:$B$26</xm:f>
          </x14:formula1>
          <xm:sqref>C5:D5</xm:sqref>
        </x14:dataValidation>
        <x14:dataValidation type="list" allowBlank="1" showInputMessage="1" showErrorMessage="1" xr:uid="{F14D9BE7-EB00-45C0-B6AC-7578FB87EA94}">
          <x14:formula1>
            <xm:f>Caracterizacion!$B$3:$B$515</xm:f>
          </x14:formula1>
          <xm:sqref>D7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35BF-9509-479B-9945-A42E6AC38752}">
  <dimension ref="A2:E23"/>
  <sheetViews>
    <sheetView workbookViewId="0">
      <selection activeCell="E4" sqref="E4"/>
    </sheetView>
  </sheetViews>
  <sheetFormatPr defaultRowHeight="15"/>
  <cols>
    <col min="1" max="1" width="39.42578125" bestFit="1" customWidth="1"/>
    <col min="2" max="2" width="36.42578125" customWidth="1"/>
    <col min="3" max="3" width="26.5703125" customWidth="1"/>
    <col min="4" max="4" width="18" bestFit="1" customWidth="1"/>
    <col min="5" max="5" width="18.42578125" bestFit="1" customWidth="1"/>
  </cols>
  <sheetData>
    <row r="2" spans="1:5" ht="46.5">
      <c r="A2" s="99" t="s">
        <v>1228</v>
      </c>
      <c r="B2" s="99" t="s">
        <v>1229</v>
      </c>
      <c r="C2" s="99" t="s">
        <v>1230</v>
      </c>
      <c r="D2" s="99" t="s">
        <v>1231</v>
      </c>
      <c r="E2" s="99" t="s">
        <v>1232</v>
      </c>
    </row>
    <row r="3" spans="1:5">
      <c r="A3" s="94" t="s">
        <v>369</v>
      </c>
      <c r="B3" s="94" t="s">
        <v>370</v>
      </c>
      <c r="C3" s="100" t="s">
        <v>145</v>
      </c>
      <c r="D3" s="101" t="s">
        <v>371</v>
      </c>
      <c r="E3" s="102" t="s">
        <v>509</v>
      </c>
    </row>
    <row r="4" spans="1:5">
      <c r="A4" s="74" t="s">
        <v>372</v>
      </c>
      <c r="B4" s="56" t="s">
        <v>1233</v>
      </c>
      <c r="C4" s="63" t="s">
        <v>1234</v>
      </c>
      <c r="D4" s="64" t="s">
        <v>1233</v>
      </c>
      <c r="E4" s="65" t="s">
        <v>1235</v>
      </c>
    </row>
    <row r="5" spans="1:5">
      <c r="A5" s="74" t="s">
        <v>374</v>
      </c>
      <c r="B5" s="56" t="s">
        <v>1236</v>
      </c>
      <c r="C5" s="63" t="s">
        <v>1234</v>
      </c>
      <c r="D5" s="64" t="s">
        <v>1236</v>
      </c>
      <c r="E5" s="65" t="s">
        <v>1237</v>
      </c>
    </row>
    <row r="6" spans="1:5">
      <c r="A6" s="74" t="s">
        <v>376</v>
      </c>
      <c r="B6" s="56" t="s">
        <v>1238</v>
      </c>
      <c r="C6" s="63" t="s">
        <v>1239</v>
      </c>
      <c r="D6" s="64" t="s">
        <v>1238</v>
      </c>
      <c r="E6" s="65" t="s">
        <v>1240</v>
      </c>
    </row>
    <row r="7" spans="1:5">
      <c r="A7" s="74" t="s">
        <v>378</v>
      </c>
      <c r="B7" s="56" t="s">
        <v>1241</v>
      </c>
      <c r="C7" s="63" t="s">
        <v>1239</v>
      </c>
      <c r="D7" s="64" t="s">
        <v>1241</v>
      </c>
      <c r="E7" s="65" t="s">
        <v>1242</v>
      </c>
    </row>
    <row r="8" spans="1:5">
      <c r="A8" s="74" t="s">
        <v>380</v>
      </c>
      <c r="B8" s="56" t="s">
        <v>1243</v>
      </c>
      <c r="C8" s="63" t="s">
        <v>1239</v>
      </c>
      <c r="D8" s="64" t="s">
        <v>1243</v>
      </c>
      <c r="E8" s="65" t="s">
        <v>1244</v>
      </c>
    </row>
    <row r="9" spans="1:5">
      <c r="A9" s="74" t="s">
        <v>382</v>
      </c>
      <c r="B9" s="56" t="s">
        <v>1245</v>
      </c>
      <c r="C9" s="63" t="s">
        <v>1246</v>
      </c>
      <c r="D9" s="64" t="s">
        <v>1245</v>
      </c>
      <c r="E9" s="65" t="s">
        <v>1247</v>
      </c>
    </row>
    <row r="10" spans="1:5">
      <c r="A10" s="74" t="s">
        <v>384</v>
      </c>
      <c r="B10" s="56" t="s">
        <v>1248</v>
      </c>
      <c r="C10" s="63" t="s">
        <v>1246</v>
      </c>
      <c r="D10" s="64" t="s">
        <v>1248</v>
      </c>
      <c r="E10" s="65" t="s">
        <v>1249</v>
      </c>
    </row>
    <row r="11" spans="1:5">
      <c r="A11" s="74" t="s">
        <v>386</v>
      </c>
      <c r="B11" s="56" t="s">
        <v>1250</v>
      </c>
      <c r="C11" s="63" t="s">
        <v>1246</v>
      </c>
      <c r="D11" s="64" t="s">
        <v>1250</v>
      </c>
      <c r="E11" s="65" t="s">
        <v>1251</v>
      </c>
    </row>
    <row r="14" spans="1:5">
      <c r="A14" s="67"/>
    </row>
    <row r="23" spans="1:1">
      <c r="A23" s="67"/>
    </row>
  </sheetData>
  <hyperlinks>
    <hyperlink ref="C3" location="'Marca Muestreo'!A3" display="marca" xr:uid="{FBFB0EE5-B4FD-4B76-8262-F65D66C7142F}"/>
    <hyperlink ref="C4" location="'Marca Muestreo'!A4" display="Bajaj" xr:uid="{DF841379-55B6-4DDE-9F71-EB45383F3664}"/>
    <hyperlink ref="C5" location="'Marca Muestreo'!A4" display="Bajaj" xr:uid="{F1B82D10-6971-4663-9A34-189F002F19A2}"/>
    <hyperlink ref="C6" location="'Marca Muestreo'!A6" display="Honda" xr:uid="{33C1A492-2ED9-436B-9996-1312504E3F61}"/>
    <hyperlink ref="C7" location="'Marca Muestreo'!A6" display="Honda" xr:uid="{B0BB5B21-7D49-4019-9AF5-95BB7F271CE0}"/>
    <hyperlink ref="C8" location="'Marca Muestreo'!A6" display="Honda" xr:uid="{A837CFF3-8D55-4427-8EE0-9FF697974630}"/>
    <hyperlink ref="C9" location="'Marca Muestreo'!A5" display="Yamaha" xr:uid="{8266F7C2-1C28-453E-B200-E3966A01FFD2}"/>
    <hyperlink ref="C10" location="'Marca Muestreo'!A5" display="Yamaha" xr:uid="{448E0043-9881-482E-AED3-0E9562380216}"/>
    <hyperlink ref="C11" location="'Marca Muestreo'!A5" display="Yamaha" xr:uid="{A1603328-BC62-4BCA-93A0-E90A0B52BF4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2621FD-5161-4A7C-A1D6-7C90CC5679F1}">
          <x14:formula1>
            <xm:f>Caracterizacion!$V$21:$V$200</xm:f>
          </x14:formula1>
          <xm:sqref>A4:A11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EE0B-A755-40C5-BE60-80B408B67ACF}">
  <dimension ref="A1:V47"/>
  <sheetViews>
    <sheetView zoomScale="85" zoomScaleNormal="85" workbookViewId="0">
      <pane xSplit="1" topLeftCell="H5" activePane="topRight" state="frozen"/>
      <selection pane="topRight" activeCell="H5" sqref="H5"/>
    </sheetView>
  </sheetViews>
  <sheetFormatPr defaultColWidth="11.42578125" defaultRowHeight="15"/>
  <cols>
    <col min="1" max="1" width="39.85546875" style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16.42578125" style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69.42578125" style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94.42578125" style="1" bestFit="1" customWidth="1"/>
    <col min="20" max="20" width="90.42578125" style="1" customWidth="1"/>
    <col min="21" max="21" width="61.5703125" style="1" customWidth="1"/>
    <col min="22" max="22" width="52.28515625" style="1" bestFit="1" customWidth="1"/>
    <col min="23" max="16384" width="11.42578125" style="1"/>
  </cols>
  <sheetData>
    <row r="1" spans="1:22">
      <c r="A1" s="109" t="s">
        <v>390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22">
      <c r="A2" s="4" t="s">
        <v>391</v>
      </c>
      <c r="B2" s="1209" t="str">
        <f>'Listado Objetos de Dominio'!A18</f>
        <v>Línea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V2" s="332"/>
    </row>
    <row r="3" spans="1:22">
      <c r="A3" s="4" t="s">
        <v>392</v>
      </c>
      <c r="B3" s="1187" t="str">
        <f>'Listado Objetos de Dominio'!B18</f>
        <v>Objeto de dominio que representa la familia o serie específica de motocicletas dentro de una marca.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V3" s="332"/>
    </row>
    <row r="4" spans="1:22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294" t="str">
        <f>A32</f>
        <v>Crear la línea de una Marca de Motocicleta</v>
      </c>
      <c r="U4" s="295" t="str">
        <f>A31</f>
        <v>Consultar Información de las Líneas  de una marca de motocicletas</v>
      </c>
      <c r="V4" s="332"/>
    </row>
    <row r="5" spans="1:22" ht="33" customHeight="1">
      <c r="A5" s="11" t="str">
        <f>'Linea Muestreo'!A3</f>
        <v>id</v>
      </c>
      <c r="B5" s="5" t="s">
        <v>75</v>
      </c>
      <c r="C5" s="5">
        <v>32</v>
      </c>
      <c r="D5" s="5">
        <v>32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7" t="str">
        <f>'Linea Muestreo'!A2</f>
        <v>Corresponde al identificador único que va a permitir diferenciar cada una de las líneas de motocicletas en el sistema</v>
      </c>
      <c r="T5" s="296" t="s">
        <v>467</v>
      </c>
      <c r="U5" s="24" t="s">
        <v>408</v>
      </c>
    </row>
    <row r="6" spans="1:22" ht="30.75">
      <c r="A6" s="11" t="str">
        <f>'Linea Muestreo'!B3</f>
        <v>nombre</v>
      </c>
      <c r="B6" s="5" t="s">
        <v>75</v>
      </c>
      <c r="C6" s="5">
        <v>1</v>
      </c>
      <c r="D6" s="5">
        <v>40</v>
      </c>
      <c r="E6" s="5"/>
      <c r="F6" s="5"/>
      <c r="G6" s="5"/>
      <c r="H6" s="5" t="s">
        <v>410</v>
      </c>
      <c r="I6" s="5" t="s">
        <v>411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'Linea Muestreo'!B2</f>
        <v>Corresponde al atributo que da a conocer las líneas que manejan las  marcas de motocicleta que la identifica dentro del catálogo del fabricante.</v>
      </c>
      <c r="T6" s="296" t="s">
        <v>467</v>
      </c>
      <c r="U6" s="24" t="s">
        <v>765</v>
      </c>
    </row>
    <row r="7" spans="1:22" ht="81" customHeight="1">
      <c r="A7" s="11" t="str">
        <f>'Linea Muestreo'!C3</f>
        <v>marca</v>
      </c>
      <c r="B7" s="144" t="s">
        <v>145</v>
      </c>
      <c r="C7" s="5"/>
      <c r="D7" s="5"/>
      <c r="E7" s="5"/>
      <c r="F7" s="5"/>
      <c r="G7" s="5"/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7" t="str">
        <f>'Linea Muestreo'!C2</f>
        <v>Corresponde a la marca que relaciona la línea con el fabricante de la motocicleta</v>
      </c>
      <c r="T7" s="296" t="s">
        <v>467</v>
      </c>
      <c r="U7" s="24" t="s">
        <v>1252</v>
      </c>
    </row>
    <row r="12" spans="1:22">
      <c r="A12" s="1188" t="s">
        <v>414</v>
      </c>
      <c r="B12" s="1189"/>
      <c r="C12" s="1190"/>
    </row>
    <row r="13" spans="1:22">
      <c r="A13" s="105" t="s">
        <v>415</v>
      </c>
      <c r="B13" s="106" t="s">
        <v>2</v>
      </c>
      <c r="C13" s="107" t="s">
        <v>416</v>
      </c>
    </row>
    <row r="14" spans="1:22" ht="48" customHeight="1">
      <c r="A14" s="108" t="s">
        <v>1253</v>
      </c>
      <c r="B14" s="108" t="str">
        <f>'Linea Muestreo'!D2</f>
        <v>El nombre de la línea no debe estar duplicado</v>
      </c>
      <c r="C14" s="104" t="str">
        <f>A6</f>
        <v>nombre</v>
      </c>
      <c r="G14" s="1" t="s">
        <v>418</v>
      </c>
    </row>
    <row r="15" spans="1:22">
      <c r="A15" s="1340" t="s">
        <v>1254</v>
      </c>
      <c r="B15" s="1340" t="str">
        <f>'Linea Muestreo'!E2</f>
        <v>El nombre de la línea no se debe de repetir dentro de la marca ni fuera de la marca</v>
      </c>
      <c r="C15" s="104" t="str">
        <f>A7</f>
        <v>marca</v>
      </c>
    </row>
    <row r="16" spans="1:22" ht="51.75" customHeight="1">
      <c r="A16" s="1340"/>
      <c r="B16" s="1340"/>
      <c r="C16" s="104" t="str">
        <f>A6</f>
        <v>nombre</v>
      </c>
    </row>
    <row r="18" spans="1:21">
      <c r="A18" s="137" t="s">
        <v>82</v>
      </c>
      <c r="B18" s="138">
        <v>0.1</v>
      </c>
      <c r="C18" s="138">
        <v>0.2</v>
      </c>
      <c r="D18" s="139">
        <v>0.3</v>
      </c>
    </row>
    <row r="19" spans="1:21">
      <c r="A19" s="140">
        <v>2</v>
      </c>
      <c r="B19" s="136">
        <f>ROUNDUP($A$19*$B$18,0)</f>
        <v>1</v>
      </c>
      <c r="C19" s="136">
        <f>ROUNDUP($A$19*$C$18,0)</f>
        <v>1</v>
      </c>
      <c r="D19" s="136">
        <f>ROUNDUP($A$19*$D$18,0)</f>
        <v>1</v>
      </c>
    </row>
    <row r="20" spans="1:21">
      <c r="A20" s="141">
        <v>30</v>
      </c>
      <c r="B20" s="142">
        <f>ROUND($A$20*$B$18,0)</f>
        <v>3</v>
      </c>
      <c r="C20" s="142">
        <f>ROUND($A$20*$C$18,0)</f>
        <v>6</v>
      </c>
      <c r="D20" s="142">
        <f>ROUND($A$20*$D$18,0)</f>
        <v>9</v>
      </c>
    </row>
    <row r="23" spans="1:21" ht="60.75">
      <c r="A23" s="560" t="s">
        <v>1255</v>
      </c>
    </row>
    <row r="29" spans="1:21">
      <c r="A29" s="68" t="s">
        <v>419</v>
      </c>
      <c r="B29" s="1197" t="s">
        <v>2</v>
      </c>
      <c r="C29" s="1198"/>
      <c r="D29" s="1197" t="s">
        <v>420</v>
      </c>
      <c r="E29" s="1208"/>
      <c r="F29" s="1208"/>
      <c r="G29" s="1198"/>
      <c r="H29" s="69"/>
      <c r="I29" s="69"/>
      <c r="J29" s="1197" t="s">
        <v>421</v>
      </c>
      <c r="K29" s="1208"/>
      <c r="L29" s="1208"/>
      <c r="M29" s="1208"/>
      <c r="N29" s="1178" t="s">
        <v>422</v>
      </c>
      <c r="O29" s="1202"/>
      <c r="P29" s="1202"/>
      <c r="Q29" s="1202"/>
      <c r="R29" s="1179"/>
      <c r="S29" s="310" t="s">
        <v>474</v>
      </c>
      <c r="T29" s="290"/>
      <c r="U29" s="290"/>
    </row>
    <row r="30" spans="1:21">
      <c r="A30" s="70"/>
      <c r="B30" s="1348"/>
      <c r="C30" s="1350"/>
      <c r="D30" s="1348" t="s">
        <v>423</v>
      </c>
      <c r="E30" s="1349"/>
      <c r="F30" s="1349"/>
      <c r="G30" s="1350"/>
      <c r="H30" s="301" t="s">
        <v>424</v>
      </c>
      <c r="I30" s="301" t="s">
        <v>2</v>
      </c>
      <c r="J30" s="301" t="s">
        <v>66</v>
      </c>
      <c r="K30" s="1348" t="s">
        <v>2</v>
      </c>
      <c r="L30" s="1349"/>
      <c r="M30" s="1350"/>
      <c r="N30" s="286" t="s">
        <v>425</v>
      </c>
      <c r="O30" s="1176" t="s">
        <v>2</v>
      </c>
      <c r="P30" s="1367"/>
      <c r="Q30" s="1203" t="s">
        <v>426</v>
      </c>
      <c r="R30" s="1246"/>
      <c r="S30" s="300" t="s">
        <v>427</v>
      </c>
      <c r="T30" s="290"/>
      <c r="U30" s="290"/>
    </row>
    <row r="31" spans="1:21" ht="257.25" customHeight="1">
      <c r="A31" s="562" t="s">
        <v>1256</v>
      </c>
      <c r="B31" s="1360" t="s">
        <v>1257</v>
      </c>
      <c r="C31" s="1360"/>
      <c r="D31" s="1346" t="s">
        <v>430</v>
      </c>
      <c r="E31" s="1347"/>
      <c r="F31" s="1347"/>
      <c r="G31" s="1347"/>
      <c r="H31" s="564" t="s">
        <v>36</v>
      </c>
      <c r="I31" s="564" t="s">
        <v>1258</v>
      </c>
      <c r="J31" s="563" t="s">
        <v>1259</v>
      </c>
      <c r="K31" s="1346" t="s">
        <v>1260</v>
      </c>
      <c r="L31" s="1347"/>
      <c r="M31" s="1347"/>
      <c r="N31" s="563" t="s">
        <v>1261</v>
      </c>
      <c r="O31" s="1358" t="s">
        <v>444</v>
      </c>
      <c r="P31" s="1359"/>
      <c r="Q31" s="1346" t="s">
        <v>437</v>
      </c>
      <c r="R31" s="1347"/>
      <c r="S31" s="565" t="s">
        <v>438</v>
      </c>
      <c r="T31" s="291"/>
    </row>
    <row r="32" spans="1:21" ht="204" customHeight="1">
      <c r="A32" s="600" t="s">
        <v>1262</v>
      </c>
      <c r="B32" s="1353" t="s">
        <v>1263</v>
      </c>
      <c r="C32" s="1354"/>
      <c r="D32" s="1355" t="s">
        <v>441</v>
      </c>
      <c r="E32" s="1355"/>
      <c r="F32" s="1355"/>
      <c r="G32" s="1355"/>
      <c r="H32" s="573" t="s">
        <v>36</v>
      </c>
      <c r="I32" s="576" t="s">
        <v>1264</v>
      </c>
      <c r="J32" s="510"/>
      <c r="K32" s="1356"/>
      <c r="L32" s="1356"/>
      <c r="M32" s="1357"/>
      <c r="N32" s="572" t="s">
        <v>1265</v>
      </c>
      <c r="O32" s="1361" t="s">
        <v>1266</v>
      </c>
      <c r="P32" s="1362"/>
      <c r="Q32" s="1351" t="s">
        <v>483</v>
      </c>
      <c r="R32" s="1352"/>
      <c r="S32" s="510" t="s">
        <v>438</v>
      </c>
    </row>
    <row r="33" spans="1:19" ht="204" customHeight="1">
      <c r="A33" s="343"/>
      <c r="B33" s="343"/>
      <c r="C33" s="577"/>
      <c r="D33" s="336"/>
      <c r="E33" s="336"/>
      <c r="F33" s="336"/>
      <c r="G33" s="336"/>
      <c r="H33" s="574"/>
      <c r="I33" s="570"/>
      <c r="J33" s="302"/>
      <c r="K33" s="566"/>
      <c r="L33" s="566"/>
      <c r="M33" s="557"/>
      <c r="N33" s="578" t="s">
        <v>1267</v>
      </c>
      <c r="O33" s="1361" t="s">
        <v>1268</v>
      </c>
      <c r="P33" s="1275"/>
      <c r="Q33" s="1351" t="s">
        <v>1269</v>
      </c>
      <c r="R33" s="1365"/>
      <c r="S33" s="336"/>
    </row>
    <row r="34" spans="1:19" ht="204" customHeight="1">
      <c r="A34" s="347"/>
      <c r="B34" s="347"/>
      <c r="C34" s="559"/>
      <c r="D34" s="555"/>
      <c r="E34" s="555"/>
      <c r="F34" s="555"/>
      <c r="G34" s="555"/>
      <c r="H34" s="575"/>
      <c r="I34" s="567"/>
      <c r="J34" s="516"/>
      <c r="K34" s="556"/>
      <c r="L34" s="556"/>
      <c r="M34" s="558"/>
      <c r="N34" s="579" t="s">
        <v>1261</v>
      </c>
      <c r="O34" s="1363" t="s">
        <v>436</v>
      </c>
      <c r="P34" s="1364"/>
      <c r="Q34" s="1363" t="s">
        <v>437</v>
      </c>
      <c r="R34" s="1366"/>
      <c r="S34" s="336"/>
    </row>
    <row r="37" spans="1:19">
      <c r="Q37" s="1" t="s">
        <v>1270</v>
      </c>
    </row>
    <row r="46" spans="1:19">
      <c r="N46" s="297"/>
      <c r="O46" s="298"/>
    </row>
    <row r="47" spans="1:19">
      <c r="N47" s="297"/>
      <c r="O47" s="299"/>
    </row>
  </sheetData>
  <mergeCells count="28">
    <mergeCell ref="O33:P33"/>
    <mergeCell ref="O34:P34"/>
    <mergeCell ref="Q33:R33"/>
    <mergeCell ref="Q34:R34"/>
    <mergeCell ref="B2:S2"/>
    <mergeCell ref="B3:S3"/>
    <mergeCell ref="A12:C12"/>
    <mergeCell ref="A15:A16"/>
    <mergeCell ref="B15:B16"/>
    <mergeCell ref="O30:P30"/>
    <mergeCell ref="K30:M30"/>
    <mergeCell ref="J29:M29"/>
    <mergeCell ref="Q30:R30"/>
    <mergeCell ref="N29:R29"/>
    <mergeCell ref="B29:C29"/>
    <mergeCell ref="B30:C30"/>
    <mergeCell ref="D31:G31"/>
    <mergeCell ref="D29:G29"/>
    <mergeCell ref="D30:G30"/>
    <mergeCell ref="Q32:R32"/>
    <mergeCell ref="B32:C32"/>
    <mergeCell ref="D32:G32"/>
    <mergeCell ref="K32:M32"/>
    <mergeCell ref="O31:P31"/>
    <mergeCell ref="B31:C31"/>
    <mergeCell ref="K31:M31"/>
    <mergeCell ref="O32:P32"/>
    <mergeCell ref="Q31:R31"/>
  </mergeCells>
  <dataValidations count="1">
    <dataValidation allowBlank="1" showInputMessage="1" showErrorMessage="1" sqref="H5:H7 I5" xr:uid="{867A717D-61D5-4F36-AC2A-82937BEBAD2E}"/>
  </dataValidations>
  <hyperlinks>
    <hyperlink ref="A1" location="'Objetos de Dominio'!A1" display="Volver al inicio" xr:uid="{3D959270-D16D-4F4A-9C3D-39190F9BF72F}"/>
    <hyperlink ref="A1:S1" location="'Listado Objetos de Dominio'!A1" display="&lt;-Volver al inicio" xr:uid="{4F364EC4-B181-4814-A0B4-AF106C50F225}"/>
    <hyperlink ref="C14" location="'Linea Caracterización'!A6" display="=A6" xr:uid="{A2ABEB71-EC38-468B-8F74-8461FF497674}"/>
    <hyperlink ref="A7" location="'Marca Caracterización'!B2" display="='Marca Caracterización'!B2" xr:uid="{54E990D7-B311-4CF4-A238-07FB37A15932}"/>
    <hyperlink ref="C15" location="=A6" display="=A6" xr:uid="{F52BD625-3B6A-45FE-B62B-E2699402FBA6}"/>
    <hyperlink ref="C16" location="'Linea Caracterización'!A6" display="=A6" xr:uid="{FA985071-D744-45E2-8A89-0EB1AD82A664}"/>
    <hyperlink ref="B7" location="'Marca Caracterización'!B2" display="Marca" xr:uid="{0DE7BC55-DD75-4062-8323-4CFAEBFBB9B0}"/>
    <hyperlink ref="B2:S2" location="'Listado Objetos de Dominio'!A17" display="='Listado Objetos de Dominio'!A17" xr:uid="{28716EDB-CFE5-4346-9BCA-290B8B3AC380}"/>
    <hyperlink ref="A31:B31" location="'Objeto Dominio 2'!R4" display="Reponsabilidad 2" xr:uid="{F8B0AA0F-E16F-406A-AB5F-76BE8547D781}"/>
    <hyperlink ref="T4" location="'Objeto Dominio 2'!A16" display="'Objeto Dominio 2'!A16" xr:uid="{43F22C46-1026-44E3-B467-0D5CB8500714}"/>
    <hyperlink ref="U4" location="'Objeto Dominio 2'!A17" display="'Objeto Dominio 2'!A17" xr:uid="{5EFB0DA6-3B56-4903-8307-68FBA6725A98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custom" allowBlank="1" showInputMessage="1" showErrorMessage="1" xr:uid="{1D92CD59-94AA-45BB-9164-C70A9F7A5DA0}">
          <x14:formula1>
            <xm:f>Caracterizacion!$F$3</xm:f>
          </x14:formula1>
          <xm:sqref>J5</xm:sqref>
        </x14:dataValidation>
        <x14:dataValidation type="list" allowBlank="1" showInputMessage="1" showErrorMessage="1" xr:uid="{5960AF64-8A1E-42ED-B4B2-ACAB89BB5F05}">
          <x14:formula1>
            <xm:f>Caracterizacion!$H$3:$H$4</xm:f>
          </x14:formula1>
          <xm:sqref>L5:R7</xm:sqref>
        </x14:dataValidation>
        <x14:dataValidation type="list" allowBlank="1" showInputMessage="1" showErrorMessage="1" xr:uid="{F5EA75DB-97EF-4C6C-8CA8-F7414FB99C31}">
          <x14:formula1>
            <xm:f>Caracterizacion!$D$3:$D$8</xm:f>
          </x14:formula1>
          <xm:sqref>F5:G7</xm:sqref>
        </x14:dataValidation>
        <x14:dataValidation type="list" allowBlank="1" showInputMessage="1" showErrorMessage="1" xr:uid="{3C99EC43-2DF2-4E3B-B282-0135F0604584}">
          <x14:formula1>
            <xm:f>Caracterizacion!$C$3:$C$18</xm:f>
          </x14:formula1>
          <xm:sqref>E5:E7</xm:sqref>
        </x14:dataValidation>
        <x14:dataValidation type="list" allowBlank="1" showInputMessage="1" showErrorMessage="1" xr:uid="{DFB7944E-790F-4274-8C9D-A89A0601BC2E}">
          <x14:formula1>
            <xm:f>Caracterizacion!$A$3:$A$14</xm:f>
          </x14:formula1>
          <xm:sqref>B5</xm:sqref>
        </x14:dataValidation>
        <x14:dataValidation type="list" allowBlank="1" showInputMessage="1" showErrorMessage="1" xr:uid="{A943748B-91F8-4B85-899D-377FC3694423}">
          <x14:formula1>
            <xm:f>Caracterizacion!$A$3:$A$40</xm:f>
          </x14:formula1>
          <xm:sqref>B6:B7</xm:sqref>
        </x14:dataValidation>
        <x14:dataValidation type="list" allowBlank="1" showInputMessage="1" showErrorMessage="1" xr:uid="{3759F690-1A40-471C-8A81-D58A27265DF1}">
          <x14:formula1>
            <xm:f>Caracterizacion!$B$4:$B$505</xm:f>
          </x14:formula1>
          <xm:sqref>C5:D7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9DAE-7420-4BF9-8EC5-66667108C8E2}">
  <dimension ref="A2:E23"/>
  <sheetViews>
    <sheetView workbookViewId="0">
      <selection activeCell="C3" sqref="C3:C8"/>
    </sheetView>
  </sheetViews>
  <sheetFormatPr defaultRowHeight="15"/>
  <cols>
    <col min="1" max="1" width="39.42578125" bestFit="1" customWidth="1"/>
    <col min="2" max="2" width="36.42578125" customWidth="1"/>
    <col min="3" max="3" width="26.5703125" customWidth="1"/>
    <col min="4" max="4" width="18" bestFit="1" customWidth="1"/>
    <col min="5" max="5" width="18.42578125" bestFit="1" customWidth="1"/>
  </cols>
  <sheetData>
    <row r="2" spans="1:5" ht="34.5">
      <c r="A2" s="99" t="s">
        <v>1271</v>
      </c>
      <c r="B2" s="99" t="s">
        <v>1272</v>
      </c>
      <c r="C2" s="125" t="s">
        <v>1273</v>
      </c>
      <c r="D2" s="125" t="s">
        <v>1274</v>
      </c>
      <c r="E2" s="122"/>
    </row>
    <row r="3" spans="1:5">
      <c r="A3" s="56" t="s">
        <v>369</v>
      </c>
      <c r="B3" t="s">
        <v>1275</v>
      </c>
      <c r="C3" s="58" t="s">
        <v>431</v>
      </c>
      <c r="D3" s="1170" t="s">
        <v>371</v>
      </c>
      <c r="E3" s="59"/>
    </row>
    <row r="4" spans="1:5">
      <c r="A4" s="135" t="s">
        <v>1276</v>
      </c>
      <c r="B4" s="255" t="s">
        <v>1235</v>
      </c>
      <c r="C4" s="63" t="s">
        <v>375</v>
      </c>
      <c r="D4" s="1170" t="str">
        <f>B4</f>
        <v>Boxer Bajaj</v>
      </c>
      <c r="E4" s="59"/>
    </row>
    <row r="5" spans="1:5">
      <c r="A5" s="135" t="s">
        <v>1277</v>
      </c>
      <c r="B5" s="255" t="s">
        <v>1237</v>
      </c>
      <c r="C5" s="63" t="s">
        <v>375</v>
      </c>
      <c r="D5" s="1170" t="str">
        <f t="shared" ref="D5:D8" si="0">B5</f>
        <v>Pulsar Bajaj</v>
      </c>
      <c r="E5" s="59"/>
    </row>
    <row r="6" spans="1:5">
      <c r="A6" s="135" t="s">
        <v>1278</v>
      </c>
      <c r="B6" s="255" t="s">
        <v>1244</v>
      </c>
      <c r="C6" s="63" t="s">
        <v>379</v>
      </c>
      <c r="D6" s="1170" t="str">
        <f t="shared" si="0"/>
        <v>CB Honda</v>
      </c>
      <c r="E6" s="59"/>
    </row>
    <row r="7" spans="1:5">
      <c r="A7" s="135" t="s">
        <v>1279</v>
      </c>
      <c r="B7" s="255" t="s">
        <v>1251</v>
      </c>
      <c r="C7" s="63" t="s">
        <v>379</v>
      </c>
      <c r="D7" s="1170" t="str">
        <f t="shared" si="0"/>
        <v>MT Yamaha</v>
      </c>
      <c r="E7" s="59"/>
    </row>
    <row r="8" spans="1:5">
      <c r="A8" s="135" t="s">
        <v>897</v>
      </c>
      <c r="B8" s="255" t="s">
        <v>1240</v>
      </c>
      <c r="C8" s="63" t="s">
        <v>377</v>
      </c>
      <c r="D8" s="1170" t="str">
        <f t="shared" si="0"/>
        <v>XR Honda</v>
      </c>
      <c r="E8" s="59"/>
    </row>
    <row r="9" spans="1:5">
      <c r="B9" s="59"/>
      <c r="C9" s="117"/>
      <c r="D9" s="59"/>
      <c r="E9" s="59"/>
    </row>
    <row r="10" spans="1:5">
      <c r="B10" s="59"/>
      <c r="C10" s="117"/>
      <c r="D10" s="59"/>
      <c r="E10" s="59"/>
    </row>
    <row r="11" spans="1:5">
      <c r="B11" s="59"/>
      <c r="C11" s="117"/>
      <c r="D11" s="59"/>
      <c r="E11" s="59"/>
    </row>
    <row r="14" spans="1:5">
      <c r="A14" s="67"/>
    </row>
    <row r="23" spans="1:1">
      <c r="A23" s="67"/>
    </row>
  </sheetData>
  <hyperlinks>
    <hyperlink ref="B4" location="Linea!E3" display="Boxer Bajaj" xr:uid="{239CD003-D7A3-4D3C-BFEC-4CDDD04DA041}"/>
    <hyperlink ref="C4" location="Categoria!C4" display="Urbana" xr:uid="{2318FE16-470D-4912-993C-0B21C4D33781}"/>
    <hyperlink ref="B5" location="Linea!E4" display="Pulsar Bajaj" xr:uid="{1F5F9D67-EEAF-4C6A-A012-52BE2032F7DB}"/>
    <hyperlink ref="C5" location="Categoria!C4" display="Urbana" xr:uid="{AED65F56-A766-4724-9832-6166DD4D8A11}"/>
    <hyperlink ref="B6" location="Linea!E7" display="CB Honda" xr:uid="{83965B70-4654-4998-96A4-51593596C8CA}"/>
    <hyperlink ref="C6" location="Categoria!C6" display="Deportiva" xr:uid="{0E1440F4-F510-45BA-BC87-D82131FEF002}"/>
    <hyperlink ref="B7" location="Linea!E10" display="MT Yamaha" xr:uid="{8BF03A31-7DA0-446B-81D7-610CC1707565}"/>
    <hyperlink ref="C7" location="Categoria!C6" display="Deportiva" xr:uid="{BF157F11-34FC-4FBD-B873-50367F4E69AB}"/>
    <hyperlink ref="B8" location="Linea!E5" display="XR Honda" xr:uid="{9A62B761-5948-472C-BC7A-0869773124FD}"/>
    <hyperlink ref="C8" location="Categoria!C5" display="Todoterreno" xr:uid="{6B223425-1A0F-4439-8C45-D4271C71330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D25A4B-FE0C-40F3-AEF1-49F5101D8CE1}">
          <x14:formula1>
            <xm:f>Caracterizacion!$V$21:$V$200</xm:f>
          </x14:formula1>
          <xm:sqref>A9:A11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5E59-CB8E-440B-B609-0C45667C5AC4}">
  <dimension ref="A1:U33"/>
  <sheetViews>
    <sheetView zoomScale="85" zoomScaleNormal="85" workbookViewId="0">
      <pane xSplit="1" topLeftCell="B1" activePane="topRight" state="frozen"/>
      <selection pane="topRight" activeCell="D13" sqref="D13"/>
    </sheetView>
  </sheetViews>
  <sheetFormatPr defaultColWidth="11.42578125" defaultRowHeight="15"/>
  <cols>
    <col min="1" max="1" width="32.7109375" style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9.710937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94.42578125" style="1" bestFit="1" customWidth="1"/>
    <col min="20" max="20" width="80" style="1" customWidth="1"/>
    <col min="21" max="21" width="52.28515625" style="1" bestFit="1" customWidth="1"/>
    <col min="22" max="16384" width="11.42578125" style="1"/>
  </cols>
  <sheetData>
    <row r="1" spans="1:21">
      <c r="A1" s="109" t="s">
        <v>390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21">
      <c r="A2" s="4" t="s">
        <v>391</v>
      </c>
      <c r="B2" s="1209" t="str">
        <f>'Listado Objetos de Dominio'!A19</f>
        <v>Línea Categoría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</row>
    <row r="3" spans="1:21">
      <c r="A3" s="4" t="s">
        <v>392</v>
      </c>
      <c r="B3" s="1187" t="str">
        <f>'Listado Objetos de Dominio'!B19</f>
        <v>Objeto de dominio que representa la relación entre una línea de motocicletas y su categoría.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</row>
    <row r="4" spans="1:21" ht="16.5" customHeight="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568" t="str">
        <f>A29</f>
        <v>Crear asociación de la  Línea Categoría</v>
      </c>
      <c r="U4" s="294" t="str">
        <f>A32</f>
        <v>Consultar  Información de la  Línea Categoría</v>
      </c>
    </row>
    <row r="5" spans="1:21" ht="47.25" customHeight="1">
      <c r="A5" s="11" t="str">
        <f>'Linea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7" t="str">
        <f>'Linea Categoría Muestreo'!A2</f>
        <v>Corresponde al identificador único que va a permitir diferenciar cada una de las líneas de motocicletas y su categoría en el sistema</v>
      </c>
      <c r="T5" s="569" t="s">
        <v>467</v>
      </c>
      <c r="U5" s="309" t="s">
        <v>468</v>
      </c>
    </row>
    <row r="6" spans="1:21" ht="48" customHeight="1">
      <c r="A6" s="11" t="str">
        <f>'Linea Categoría Muestreo'!B3</f>
        <v>líneaMarca</v>
      </c>
      <c r="B6" s="144" t="s">
        <v>143</v>
      </c>
      <c r="C6" s="5"/>
      <c r="D6" s="5"/>
      <c r="E6" s="5"/>
      <c r="F6" s="5"/>
      <c r="G6" s="5"/>
      <c r="H6" s="5"/>
      <c r="I6" s="5"/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'Linea Categoría Muestreo'!B2</f>
        <v>Corresponde a la línea de motocicleta que la identifica dentro del catálogo del fabricante.</v>
      </c>
      <c r="T6" s="569" t="s">
        <v>467</v>
      </c>
      <c r="U6" s="309" t="s">
        <v>1280</v>
      </c>
    </row>
    <row r="7" spans="1:21" ht="66" customHeight="1">
      <c r="A7" s="11" t="str">
        <f>'Linea Categoría Muestreo'!C3</f>
        <v>categoría</v>
      </c>
      <c r="B7" s="144" t="s">
        <v>431</v>
      </c>
      <c r="C7" s="5"/>
      <c r="D7" s="5"/>
      <c r="E7" s="5"/>
      <c r="F7" s="5"/>
      <c r="G7" s="5"/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7" t="str">
        <f>'Linea Categoría Muestreo'!C2</f>
        <v>Corresponde a la categoría que determina el tipo de uso principal de la motocicleta según sus características.</v>
      </c>
      <c r="T7" s="569" t="s">
        <v>467</v>
      </c>
      <c r="U7" s="309" t="s">
        <v>1281</v>
      </c>
    </row>
    <row r="11" spans="1:21">
      <c r="T11" s="291"/>
    </row>
    <row r="12" spans="1:21">
      <c r="A12" s="1188" t="s">
        <v>414</v>
      </c>
      <c r="B12" s="1189"/>
      <c r="C12" s="1190"/>
      <c r="T12" s="291"/>
    </row>
    <row r="13" spans="1:21">
      <c r="A13" s="105" t="s">
        <v>415</v>
      </c>
      <c r="B13" s="106" t="s">
        <v>2</v>
      </c>
      <c r="C13" s="107" t="s">
        <v>416</v>
      </c>
      <c r="I13" s="62"/>
    </row>
    <row r="14" spans="1:21" ht="47.25" customHeight="1">
      <c r="A14" s="108" t="s">
        <v>1282</v>
      </c>
      <c r="B14" s="103" t="str">
        <f>'Linea Categoría Muestreo'!D2</f>
        <v>No puede haber lineas y marcas repetidas</v>
      </c>
      <c r="C14" s="104" t="str">
        <f>A6</f>
        <v>líneaMarca</v>
      </c>
      <c r="G14" s="1" t="s">
        <v>418</v>
      </c>
      <c r="T14" s="291"/>
    </row>
    <row r="16" spans="1:21">
      <c r="A16" s="137" t="s">
        <v>82</v>
      </c>
      <c r="B16" s="138">
        <v>0.1</v>
      </c>
      <c r="C16" s="138">
        <v>0.2</v>
      </c>
      <c r="D16" s="139">
        <v>0.3</v>
      </c>
    </row>
    <row r="17" spans="1:20">
      <c r="A17" s="140">
        <v>2</v>
      </c>
      <c r="B17" s="136">
        <f>ROUNDUP($A$17*$B$16,0)</f>
        <v>1</v>
      </c>
      <c r="C17" s="136">
        <f>ROUNDUP($A$17*$C$16,0)</f>
        <v>1</v>
      </c>
      <c r="D17" s="136">
        <f>ROUNDUP($A$17*$D$16,0)</f>
        <v>1</v>
      </c>
    </row>
    <row r="18" spans="1:20">
      <c r="A18" s="141">
        <v>30</v>
      </c>
      <c r="B18" s="142">
        <f>ROUND($A$18*$B$16,0)</f>
        <v>3</v>
      </c>
      <c r="C18" s="142">
        <f>ROUND($A$18*$C$16,0)</f>
        <v>6</v>
      </c>
      <c r="D18" s="142">
        <f>ROUND($A$18*$D$16,0)</f>
        <v>9</v>
      </c>
    </row>
    <row r="27" spans="1:20">
      <c r="A27" s="313" t="s">
        <v>419</v>
      </c>
      <c r="B27" s="1386" t="s">
        <v>2</v>
      </c>
      <c r="C27" s="1387"/>
      <c r="D27" s="318"/>
      <c r="E27" s="310"/>
      <c r="F27" s="310"/>
      <c r="G27" s="310" t="s">
        <v>420</v>
      </c>
      <c r="H27" s="320"/>
      <c r="I27" s="310"/>
      <c r="J27" s="310" t="s">
        <v>421</v>
      </c>
      <c r="K27" s="310"/>
      <c r="L27" s="310"/>
      <c r="M27" s="327"/>
      <c r="N27" s="1202" t="s">
        <v>422</v>
      </c>
      <c r="O27" s="1202"/>
      <c r="P27" s="1202"/>
      <c r="Q27" s="1202"/>
      <c r="R27" s="1202"/>
      <c r="S27" s="288" t="s">
        <v>474</v>
      </c>
      <c r="T27" s="290"/>
    </row>
    <row r="28" spans="1:20">
      <c r="A28" s="314"/>
      <c r="B28" s="1369"/>
      <c r="C28" s="1370"/>
      <c r="D28" s="1203" t="s">
        <v>423</v>
      </c>
      <c r="E28" s="1204"/>
      <c r="F28" s="1204"/>
      <c r="G28" s="1205"/>
      <c r="H28" s="329" t="s">
        <v>424</v>
      </c>
      <c r="I28" s="328" t="s">
        <v>2</v>
      </c>
      <c r="J28" s="315" t="s">
        <v>66</v>
      </c>
      <c r="K28" s="1373" t="s">
        <v>2</v>
      </c>
      <c r="L28" s="1217"/>
      <c r="M28" s="1217"/>
      <c r="N28" s="311" t="s">
        <v>425</v>
      </c>
      <c r="O28" s="1203" t="s">
        <v>2</v>
      </c>
      <c r="P28" s="1205"/>
      <c r="Q28" s="1203" t="s">
        <v>426</v>
      </c>
      <c r="R28" s="1204"/>
      <c r="S28" s="312" t="s">
        <v>427</v>
      </c>
      <c r="T28" s="290"/>
    </row>
    <row r="29" spans="1:20" ht="96.75" customHeight="1">
      <c r="A29" s="653" t="s">
        <v>1283</v>
      </c>
      <c r="B29" s="1375" t="s">
        <v>1284</v>
      </c>
      <c r="C29" s="1376"/>
      <c r="D29" s="1351" t="s">
        <v>441</v>
      </c>
      <c r="E29" s="1352"/>
      <c r="F29" s="1352"/>
      <c r="G29" s="1365"/>
      <c r="H29" s="654" t="s">
        <v>1285</v>
      </c>
      <c r="I29" s="655" t="s">
        <v>1286</v>
      </c>
      <c r="J29" s="511"/>
      <c r="K29" s="1377"/>
      <c r="L29" s="1378"/>
      <c r="M29" s="1379"/>
      <c r="N29" s="554" t="s">
        <v>1287</v>
      </c>
      <c r="O29" s="1380" t="s">
        <v>444</v>
      </c>
      <c r="P29" s="1381"/>
      <c r="Q29" s="1181" t="s">
        <v>437</v>
      </c>
      <c r="R29" s="1243"/>
      <c r="S29" s="459" t="s">
        <v>438</v>
      </c>
    </row>
    <row r="30" spans="1:20" ht="89.25" customHeight="1">
      <c r="A30" s="407"/>
      <c r="B30" s="407"/>
      <c r="C30" s="366"/>
      <c r="D30" s="407"/>
      <c r="E30" s="366"/>
      <c r="F30" s="366"/>
      <c r="G30" s="367"/>
      <c r="H30" s="366"/>
      <c r="I30" s="656"/>
      <c r="J30" s="366"/>
      <c r="K30" s="407"/>
      <c r="L30" s="366"/>
      <c r="M30" s="367"/>
      <c r="N30" s="554" t="s">
        <v>1288</v>
      </c>
      <c r="O30" s="1380" t="s">
        <v>1289</v>
      </c>
      <c r="P30" s="1381"/>
      <c r="Q30" s="1181" t="s">
        <v>1290</v>
      </c>
      <c r="R30" s="1243"/>
      <c r="S30" s="459" t="s">
        <v>1005</v>
      </c>
    </row>
    <row r="31" spans="1:20" ht="99.75" customHeight="1">
      <c r="A31" s="407"/>
      <c r="B31" s="407"/>
      <c r="C31" s="366"/>
      <c r="D31" s="407"/>
      <c r="E31" s="366"/>
      <c r="F31" s="366"/>
      <c r="G31" s="367"/>
      <c r="H31" s="366"/>
      <c r="I31" s="656"/>
      <c r="J31" s="366"/>
      <c r="K31" s="407"/>
      <c r="L31" s="366"/>
      <c r="M31" s="367"/>
      <c r="N31" s="587" t="s">
        <v>1291</v>
      </c>
      <c r="O31" s="1382" t="s">
        <v>1292</v>
      </c>
      <c r="P31" s="1383"/>
      <c r="Q31" s="1384" t="s">
        <v>1293</v>
      </c>
      <c r="R31" s="1385"/>
      <c r="S31" s="571" t="s">
        <v>438</v>
      </c>
    </row>
    <row r="32" spans="1:20" ht="114" customHeight="1">
      <c r="A32" s="657" t="s">
        <v>1294</v>
      </c>
      <c r="B32" s="1368" t="s">
        <v>1295</v>
      </c>
      <c r="C32" s="1368"/>
      <c r="D32" s="1371" t="s">
        <v>430</v>
      </c>
      <c r="E32" s="1372"/>
      <c r="F32" s="1372"/>
      <c r="G32" s="1372"/>
      <c r="H32" s="658" t="s">
        <v>1285</v>
      </c>
      <c r="I32" s="658" t="s">
        <v>1296</v>
      </c>
      <c r="J32" s="589" t="s">
        <v>1297</v>
      </c>
      <c r="K32" s="1371" t="s">
        <v>1298</v>
      </c>
      <c r="L32" s="1372"/>
      <c r="M32" s="1372"/>
      <c r="N32" s="589" t="s">
        <v>1299</v>
      </c>
      <c r="O32" s="1371" t="s">
        <v>436</v>
      </c>
      <c r="P32" s="1372"/>
      <c r="Q32" s="1371" t="s">
        <v>437</v>
      </c>
      <c r="R32" s="1374"/>
      <c r="S32" s="659" t="s">
        <v>438</v>
      </c>
    </row>
    <row r="33" spans="1:1">
      <c r="A33" s="245"/>
    </row>
  </sheetData>
  <mergeCells count="24">
    <mergeCell ref="O30:P30"/>
    <mergeCell ref="Q30:R30"/>
    <mergeCell ref="O31:P31"/>
    <mergeCell ref="Q31:R31"/>
    <mergeCell ref="B2:S2"/>
    <mergeCell ref="B3:S3"/>
    <mergeCell ref="A12:C12"/>
    <mergeCell ref="B27:C27"/>
    <mergeCell ref="B32:C32"/>
    <mergeCell ref="B28:C28"/>
    <mergeCell ref="D32:G32"/>
    <mergeCell ref="K32:M32"/>
    <mergeCell ref="N27:R27"/>
    <mergeCell ref="D28:G28"/>
    <mergeCell ref="K28:M28"/>
    <mergeCell ref="O28:P28"/>
    <mergeCell ref="Q28:R28"/>
    <mergeCell ref="Q32:R32"/>
    <mergeCell ref="B29:C29"/>
    <mergeCell ref="D29:G29"/>
    <mergeCell ref="K29:M29"/>
    <mergeCell ref="O32:P32"/>
    <mergeCell ref="O29:P29"/>
    <mergeCell ref="Q29:R29"/>
  </mergeCells>
  <dataValidations count="1">
    <dataValidation allowBlank="1" showInputMessage="1" showErrorMessage="1" sqref="H5:H7 I5" xr:uid="{6B97A981-0DB7-49FA-A9F6-A53A5CD0525E}"/>
  </dataValidations>
  <hyperlinks>
    <hyperlink ref="A1" location="'Objetos de Dominio'!A1" display="Volver al inicio" xr:uid="{319FA8FB-2602-415F-92B7-CAFED33BECD8}"/>
    <hyperlink ref="U4" location="'Objeto Dominio 2'!A16" display="'Objeto Dominio 2'!A16" xr:uid="{2939B4F0-5867-4723-AC37-6E2B8D957216}"/>
    <hyperlink ref="A1:S1" location="'Listado Objetos de Dominio'!A1" display="&lt;-Volver al inicio" xr:uid="{7E2E389E-9380-4196-BB40-B3DD19034EA9}"/>
    <hyperlink ref="C14" location="'Linea Categoría Caracterización'!A6" display="=A6" xr:uid="{2F2F3392-3A42-4B29-B4CC-72BDE29E06D5}"/>
    <hyperlink ref="A7" location="'Marca Caracterización'!B2" display="='Marca Caracterización'!B2" xr:uid="{FC489EDD-1F94-4AD4-8699-18EA7533487C}"/>
    <hyperlink ref="B7" location="'Categoría Caracterización'!A1" display="categoria" xr:uid="{B3993689-31F4-488F-9C3B-05B4BC5E34EF}"/>
    <hyperlink ref="B6" location="'Linea Caracterización'!A1" display="Alfanumérico" xr:uid="{BE0D423B-1016-4741-9D08-AA48EC8D527B}"/>
    <hyperlink ref="B2:S2" location="'Listado Objetos de Dominio'!A18" display="='Listado Objetos de Dominio'!A18" xr:uid="{D95989A7-EC83-46E6-9E0C-F27B248F3BBA}"/>
    <hyperlink ref="A32:B32" location="'Objeto Dominio 2'!R4" display="Reponsabilidad 2" xr:uid="{ACD1BFDA-D718-4D40-97CD-A001F5F7FDFD}"/>
    <hyperlink ref="T4" location="'Objeto Dominio 2'!A16" display="'Objeto Dominio 2'!A16" xr:uid="{ED9ADBD7-0A07-4CEE-A6F4-74C215782A99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7F4BB16-727D-4E06-9A55-D0A8E7E73BD1}">
          <x14:formula1>
            <xm:f>Caracterizacion!$C$3:$C$18</xm:f>
          </x14:formula1>
          <xm:sqref>E5:E7</xm:sqref>
        </x14:dataValidation>
        <x14:dataValidation type="list" allowBlank="1" showInputMessage="1" showErrorMessage="1" xr:uid="{9E0F99E9-8EAE-4943-AD75-34168CE9471A}">
          <x14:formula1>
            <xm:f>Caracterizacion!$D$3:$D$8</xm:f>
          </x14:formula1>
          <xm:sqref>F5:G7</xm:sqref>
        </x14:dataValidation>
        <x14:dataValidation type="list" allowBlank="1" showInputMessage="1" showErrorMessage="1" xr:uid="{81B08C40-1785-4B6A-971D-6DDBAA467FD2}">
          <x14:formula1>
            <xm:f>Caracterizacion!$H$3:$H$4</xm:f>
          </x14:formula1>
          <xm:sqref>L5:R7</xm:sqref>
        </x14:dataValidation>
        <x14:dataValidation type="custom" allowBlank="1" showInputMessage="1" showErrorMessage="1" xr:uid="{6F9E5CF7-F9F9-42F5-806D-3C8779A8C843}">
          <x14:formula1>
            <xm:f>Caracterizacion!$F$3</xm:f>
          </x14:formula1>
          <xm:sqref>J5</xm:sqref>
        </x14:dataValidation>
        <x14:dataValidation type="list" allowBlank="1" showInputMessage="1" showErrorMessage="1" xr:uid="{C526357B-91A5-4CD2-9BD0-4FBB56080DBD}">
          <x14:formula1>
            <xm:f>Caracterizacion!$A$3:$A$44</xm:f>
          </x14:formula1>
          <xm:sqref>B5:B7</xm:sqref>
        </x14:dataValidation>
        <x14:dataValidation type="list" allowBlank="1" showInputMessage="1" showErrorMessage="1" xr:uid="{43602CE9-6AD3-4D34-A735-5C63EA233CAB}">
          <x14:formula1>
            <xm:f>Caracterizacion!$B$4:$B$505</xm:f>
          </x14:formula1>
          <xm:sqref>C5:D7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56F4-A3E0-4CE6-AE75-6E6A71D7C388}">
  <dimension ref="A2:T38"/>
  <sheetViews>
    <sheetView workbookViewId="0">
      <selection activeCell="C10" sqref="C10"/>
    </sheetView>
  </sheetViews>
  <sheetFormatPr defaultRowHeight="15"/>
  <cols>
    <col min="1" max="1" width="40.42578125" bestFit="1" customWidth="1"/>
    <col min="2" max="2" width="51.7109375" customWidth="1"/>
    <col min="3" max="3" width="30.5703125" customWidth="1"/>
  </cols>
  <sheetData>
    <row r="2" spans="1:3" ht="36.75" customHeight="1">
      <c r="A2" s="282" t="s">
        <v>1300</v>
      </c>
      <c r="B2" s="282" t="s">
        <v>1301</v>
      </c>
      <c r="C2" s="282" t="s">
        <v>1302</v>
      </c>
    </row>
    <row r="3" spans="1:3">
      <c r="A3" s="94" t="s">
        <v>369</v>
      </c>
      <c r="B3" s="94" t="s">
        <v>370</v>
      </c>
      <c r="C3" s="95" t="s">
        <v>371</v>
      </c>
    </row>
    <row r="4" spans="1:3">
      <c r="A4" s="74" t="s">
        <v>1303</v>
      </c>
      <c r="B4" s="56" t="s">
        <v>1234</v>
      </c>
      <c r="C4" s="57" t="s">
        <v>1234</v>
      </c>
    </row>
    <row r="5" spans="1:3">
      <c r="A5" s="74" t="s">
        <v>1304</v>
      </c>
      <c r="B5" s="56" t="s">
        <v>1246</v>
      </c>
      <c r="C5" s="57" t="s">
        <v>1246</v>
      </c>
    </row>
    <row r="6" spans="1:3">
      <c r="A6" s="74" t="s">
        <v>1305</v>
      </c>
      <c r="B6" s="56" t="s">
        <v>1239</v>
      </c>
      <c r="C6" s="57" t="s">
        <v>1239</v>
      </c>
    </row>
    <row r="7" spans="1:3">
      <c r="A7" s="74" t="s">
        <v>1306</v>
      </c>
      <c r="B7" s="56" t="s">
        <v>1307</v>
      </c>
      <c r="C7" s="57" t="s">
        <v>1307</v>
      </c>
    </row>
    <row r="8" spans="1:3">
      <c r="A8" s="74" t="s">
        <v>1308</v>
      </c>
      <c r="B8" s="56" t="s">
        <v>1309</v>
      </c>
      <c r="C8" s="57" t="s">
        <v>1309</v>
      </c>
    </row>
    <row r="9" spans="1:3">
      <c r="A9" s="74" t="s">
        <v>1310</v>
      </c>
      <c r="B9" s="56" t="s">
        <v>1311</v>
      </c>
      <c r="C9" s="57" t="s">
        <v>1311</v>
      </c>
    </row>
    <row r="10" spans="1:3">
      <c r="A10" s="74" t="s">
        <v>1312</v>
      </c>
      <c r="B10" s="56" t="s">
        <v>1313</v>
      </c>
      <c r="C10" s="57" t="s">
        <v>1313</v>
      </c>
    </row>
    <row r="11" spans="1:3">
      <c r="A11" s="74" t="s">
        <v>1314</v>
      </c>
      <c r="B11" s="58" t="s">
        <v>1315</v>
      </c>
      <c r="C11" s="57" t="s">
        <v>1315</v>
      </c>
    </row>
    <row r="38" spans="20:20">
      <c r="T38" s="86"/>
    </row>
  </sheetData>
  <dataValidations count="1">
    <dataValidation allowBlank="1" showInputMessage="1" showErrorMessage="1" sqref="A4:A11" xr:uid="{D3D45549-0A0F-4717-9FB8-7AE0E41A0908}"/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608-57CC-45B0-8234-10CA49C3B004}">
  <dimension ref="A1:U28"/>
  <sheetViews>
    <sheetView zoomScale="85" zoomScaleNormal="85" workbookViewId="0">
      <pane xSplit="1" topLeftCell="H5" activePane="topRight" state="frozen"/>
      <selection pane="topRight" activeCell="H5" sqref="H5"/>
    </sheetView>
  </sheetViews>
  <sheetFormatPr defaultColWidth="11.42578125" defaultRowHeight="15"/>
  <cols>
    <col min="1" max="1" width="46.5703125" style="1" customWidth="1"/>
    <col min="2" max="2" width="28" style="1" customWidth="1"/>
    <col min="3" max="3" width="18.7109375" style="1" bestFit="1" customWidth="1"/>
    <col min="4" max="4" width="18.85546875" style="1" bestFit="1" customWidth="1"/>
    <col min="5" max="5" width="10.5703125" style="1" customWidth="1"/>
    <col min="6" max="6" width="11" style="1" customWidth="1"/>
    <col min="7" max="7" width="12.5703125" style="1" customWidth="1"/>
    <col min="8" max="8" width="36.140625" style="1" bestFit="1" customWidth="1"/>
    <col min="9" max="9" width="114.7109375" style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94.42578125" style="1" bestFit="1" customWidth="1"/>
    <col min="20" max="20" width="82.7109375" style="1" customWidth="1"/>
    <col min="21" max="21" width="66.85546875" style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</row>
    <row r="2" spans="1:21">
      <c r="A2" s="4" t="s">
        <v>391</v>
      </c>
      <c r="B2" s="1209" t="str">
        <f>'Listado Objetos de Dominio'!A20</f>
        <v>Marca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</row>
    <row r="3" spans="1:21">
      <c r="A3" s="4" t="s">
        <v>392</v>
      </c>
      <c r="B3" s="1187" t="str">
        <f>'Listado Objetos de Dominio'!B20</f>
        <v>Objeto de dominio que representa cada uno de los fabricantes de motocicletas.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294" t="str">
        <f>A15</f>
        <v>Agregar información de la  Marca de la Motocicleta</v>
      </c>
      <c r="U4" s="295" t="s">
        <v>1316</v>
      </c>
    </row>
    <row r="5" spans="1:21">
      <c r="A5" s="11" t="str">
        <f>'Marca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7" t="str">
        <f>'Marca Muestreo'!A2</f>
        <v>Corresponde al identificador que va a permitir diferenciar cada una de las marcas de motocicletas</v>
      </c>
      <c r="T5" s="296" t="s">
        <v>467</v>
      </c>
      <c r="U5" s="71" t="s">
        <v>408</v>
      </c>
    </row>
    <row r="6" spans="1:21" ht="30.75">
      <c r="A6" s="11" t="str">
        <f>'Marca Muestreo'!B3</f>
        <v>nombre</v>
      </c>
      <c r="B6" s="5" t="s">
        <v>75</v>
      </c>
      <c r="C6" s="5">
        <v>1</v>
      </c>
      <c r="D6" s="5">
        <v>20</v>
      </c>
      <c r="E6" s="5"/>
      <c r="F6" s="5"/>
      <c r="G6" s="5"/>
      <c r="H6" s="5" t="s">
        <v>410</v>
      </c>
      <c r="I6" s="5" t="s">
        <v>411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'Marca Muestreo'!B2</f>
        <v>Corresponde al atributo nombre que permite saber cuál es la marca de una motocicleta</v>
      </c>
      <c r="T6" s="296" t="s">
        <v>467</v>
      </c>
      <c r="U6" s="71" t="s">
        <v>807</v>
      </c>
    </row>
    <row r="8" spans="1:21">
      <c r="A8" s="1188" t="s">
        <v>414</v>
      </c>
      <c r="B8" s="1189"/>
      <c r="C8" s="1190"/>
    </row>
    <row r="9" spans="1:21">
      <c r="A9" s="17" t="s">
        <v>415</v>
      </c>
      <c r="B9" s="16" t="s">
        <v>2</v>
      </c>
      <c r="C9" s="18" t="s">
        <v>416</v>
      </c>
      <c r="I9" s="89"/>
    </row>
    <row r="10" spans="1:21" ht="50.25" customHeight="1">
      <c r="A10" s="15" t="s">
        <v>1317</v>
      </c>
      <c r="B10" s="15" t="s">
        <v>1318</v>
      </c>
      <c r="C10" s="38" t="str">
        <f>A6</f>
        <v>nombre</v>
      </c>
      <c r="G10" s="1" t="s">
        <v>418</v>
      </c>
    </row>
    <row r="13" spans="1:21">
      <c r="A13" s="1393" t="s">
        <v>419</v>
      </c>
      <c r="B13" s="1244" t="s">
        <v>2</v>
      </c>
      <c r="C13" s="1206"/>
      <c r="D13" s="1206"/>
      <c r="E13" s="1178" t="s">
        <v>420</v>
      </c>
      <c r="F13" s="1202"/>
      <c r="G13" s="1202"/>
      <c r="H13" s="1202"/>
      <c r="I13" s="1179"/>
      <c r="J13" s="1388" t="s">
        <v>421</v>
      </c>
      <c r="K13" s="1201"/>
      <c r="L13" s="1201"/>
      <c r="M13" s="1201"/>
      <c r="N13" s="1178" t="s">
        <v>422</v>
      </c>
      <c r="O13" s="1202"/>
      <c r="P13" s="1202"/>
      <c r="Q13" s="1244" t="s">
        <v>474</v>
      </c>
      <c r="R13" s="1206"/>
      <c r="S13" s="1207"/>
    </row>
    <row r="14" spans="1:21">
      <c r="A14" s="1394"/>
      <c r="B14" s="1216"/>
      <c r="C14" s="1217"/>
      <c r="D14" s="1392"/>
      <c r="E14" s="1216" t="s">
        <v>423</v>
      </c>
      <c r="F14" s="1217"/>
      <c r="G14" s="1392"/>
      <c r="H14" s="315" t="s">
        <v>424</v>
      </c>
      <c r="I14" s="341" t="s">
        <v>2</v>
      </c>
      <c r="J14" s="301" t="s">
        <v>66</v>
      </c>
      <c r="K14" s="1348" t="s">
        <v>2</v>
      </c>
      <c r="L14" s="1349"/>
      <c r="M14" s="1350"/>
      <c r="N14" s="286" t="s">
        <v>425</v>
      </c>
      <c r="O14" s="1176" t="s">
        <v>2</v>
      </c>
      <c r="P14" s="1177"/>
      <c r="Q14" s="1244" t="s">
        <v>426</v>
      </c>
      <c r="R14" s="1206"/>
      <c r="S14" s="288" t="s">
        <v>427</v>
      </c>
    </row>
    <row r="15" spans="1:21" ht="109.5" customHeight="1">
      <c r="A15" s="285" t="s">
        <v>1319</v>
      </c>
      <c r="B15" s="1307" t="s">
        <v>1320</v>
      </c>
      <c r="C15" s="1301"/>
      <c r="D15" s="1301"/>
      <c r="E15" s="1397" t="s">
        <v>370</v>
      </c>
      <c r="F15" s="1398"/>
      <c r="G15" s="1399"/>
      <c r="H15" s="636" t="s">
        <v>75</v>
      </c>
      <c r="I15" s="649" t="s">
        <v>1321</v>
      </c>
      <c r="J15" s="646"/>
      <c r="K15" s="1414"/>
      <c r="L15" s="1414"/>
      <c r="M15" s="1415"/>
      <c r="N15" s="789" t="s">
        <v>1322</v>
      </c>
      <c r="O15" s="1404" t="s">
        <v>495</v>
      </c>
      <c r="P15" s="1405"/>
      <c r="Q15" s="1307" t="s">
        <v>1323</v>
      </c>
      <c r="R15" s="1302"/>
      <c r="S15" s="289" t="s">
        <v>438</v>
      </c>
    </row>
    <row r="16" spans="1:21" ht="109.5" customHeight="1">
      <c r="A16" s="631"/>
      <c r="B16" s="396"/>
      <c r="C16" s="597"/>
      <c r="D16" s="597"/>
      <c r="E16" s="598"/>
      <c r="F16" s="633"/>
      <c r="G16" s="643"/>
      <c r="H16" s="632"/>
      <c r="I16" s="650"/>
      <c r="J16" s="647"/>
      <c r="K16" s="632"/>
      <c r="L16" s="632"/>
      <c r="M16" s="637"/>
      <c r="N16" s="789" t="s">
        <v>1324</v>
      </c>
      <c r="O16" s="1416" t="s">
        <v>1325</v>
      </c>
      <c r="P16" s="1306"/>
      <c r="Q16" s="1304" t="s">
        <v>1293</v>
      </c>
      <c r="R16" s="1306"/>
      <c r="S16" s="633" t="s">
        <v>438</v>
      </c>
    </row>
    <row r="17" spans="1:19" ht="109.5" customHeight="1">
      <c r="A17" s="631"/>
      <c r="B17" s="638"/>
      <c r="C17" s="639"/>
      <c r="D17" s="639"/>
      <c r="E17" s="644"/>
      <c r="F17" s="640"/>
      <c r="G17" s="645"/>
      <c r="H17" s="641"/>
      <c r="I17" s="651"/>
      <c r="J17" s="648"/>
      <c r="K17" s="641"/>
      <c r="L17" s="641"/>
      <c r="M17" s="642"/>
      <c r="N17" s="789" t="s">
        <v>1326</v>
      </c>
      <c r="O17" s="1416" t="s">
        <v>1327</v>
      </c>
      <c r="P17" s="1306"/>
      <c r="Q17" s="1304" t="s">
        <v>1290</v>
      </c>
      <c r="R17" s="1305"/>
      <c r="S17" s="634" t="s">
        <v>1005</v>
      </c>
    </row>
    <row r="18" spans="1:19" ht="15" customHeight="1">
      <c r="A18" s="1389" t="s">
        <v>1316</v>
      </c>
      <c r="B18" s="1408" t="s">
        <v>1328</v>
      </c>
      <c r="C18" s="1409"/>
      <c r="D18" s="1410"/>
      <c r="E18" s="1400" t="s">
        <v>499</v>
      </c>
      <c r="F18" s="1401"/>
      <c r="G18" s="1401"/>
      <c r="H18" s="1395" t="s">
        <v>40</v>
      </c>
      <c r="I18" s="292"/>
      <c r="J18" s="635"/>
      <c r="K18" s="1228" t="s">
        <v>1329</v>
      </c>
      <c r="L18" s="1229"/>
      <c r="M18" s="1337"/>
      <c r="N18" s="1406" t="s">
        <v>1330</v>
      </c>
      <c r="O18" s="1272" t="s">
        <v>436</v>
      </c>
      <c r="P18" s="1273"/>
      <c r="Q18" s="1272" t="s">
        <v>870</v>
      </c>
      <c r="R18" s="1274"/>
      <c r="S18" s="1230" t="s">
        <v>438</v>
      </c>
    </row>
    <row r="19" spans="1:19" ht="15" customHeight="1">
      <c r="A19" s="1390"/>
      <c r="B19" s="1408"/>
      <c r="C19" s="1409"/>
      <c r="D19" s="1410"/>
      <c r="E19" s="1400"/>
      <c r="F19" s="1401"/>
      <c r="G19" s="1401"/>
      <c r="H19" s="1395"/>
      <c r="I19" s="292" t="s">
        <v>1331</v>
      </c>
      <c r="J19" s="284" t="s">
        <v>1332</v>
      </c>
      <c r="K19" s="1228"/>
      <c r="L19" s="1229"/>
      <c r="M19" s="1337"/>
      <c r="N19" s="1230"/>
      <c r="O19" s="1228"/>
      <c r="P19" s="1229"/>
      <c r="Q19" s="1228"/>
      <c r="R19" s="1337"/>
      <c r="S19" s="1230"/>
    </row>
    <row r="20" spans="1:19" ht="84" customHeight="1">
      <c r="A20" s="1391"/>
      <c r="B20" s="1411"/>
      <c r="C20" s="1412"/>
      <c r="D20" s="1413"/>
      <c r="E20" s="1402"/>
      <c r="F20" s="1403"/>
      <c r="G20" s="1403"/>
      <c r="H20" s="1396"/>
      <c r="I20" s="293"/>
      <c r="J20" s="287"/>
      <c r="K20" s="1265"/>
      <c r="L20" s="1266"/>
      <c r="M20" s="1339"/>
      <c r="N20" s="1407"/>
      <c r="O20" s="1265"/>
      <c r="P20" s="1266"/>
      <c r="Q20" s="1265"/>
      <c r="R20" s="1339"/>
      <c r="S20" s="1407"/>
    </row>
    <row r="23" spans="1:19">
      <c r="A23" s="137" t="s">
        <v>82</v>
      </c>
      <c r="B23" s="138">
        <v>0.1</v>
      </c>
      <c r="C23" s="138">
        <v>0.2</v>
      </c>
      <c r="D23" s="139">
        <v>0.3</v>
      </c>
    </row>
    <row r="24" spans="1:19">
      <c r="A24" s="140">
        <v>2</v>
      </c>
      <c r="B24" s="136">
        <f>ROUNDUP($A$24*$B$23,0)</f>
        <v>1</v>
      </c>
      <c r="C24" s="136">
        <f>ROUNDUP($A$24*$C$23,0)</f>
        <v>1</v>
      </c>
      <c r="D24" s="136">
        <f>ROUNDUP($A$24*$D$23,0)</f>
        <v>1</v>
      </c>
    </row>
    <row r="25" spans="1:19">
      <c r="A25" s="141">
        <v>15</v>
      </c>
      <c r="B25" s="142">
        <f>ROUND($A$25*$B$23,0)</f>
        <v>2</v>
      </c>
      <c r="C25" s="142">
        <f>ROUND($A$25*$C$23,0)</f>
        <v>3</v>
      </c>
      <c r="D25" s="142">
        <f>ROUND($A$25*$D$23,0)</f>
        <v>5</v>
      </c>
    </row>
    <row r="28" spans="1:19">
      <c r="H28" s="283"/>
    </row>
  </sheetData>
  <mergeCells count="32">
    <mergeCell ref="Q15:R15"/>
    <mergeCell ref="Q14:R14"/>
    <mergeCell ref="Q13:S13"/>
    <mergeCell ref="Q18:R20"/>
    <mergeCell ref="S18:S20"/>
    <mergeCell ref="Q16:R16"/>
    <mergeCell ref="Q17:R17"/>
    <mergeCell ref="O15:P15"/>
    <mergeCell ref="O18:P20"/>
    <mergeCell ref="N18:N20"/>
    <mergeCell ref="B18:D20"/>
    <mergeCell ref="B15:D15"/>
    <mergeCell ref="K18:M20"/>
    <mergeCell ref="K15:M15"/>
    <mergeCell ref="O16:P16"/>
    <mergeCell ref="O17:P17"/>
    <mergeCell ref="A18:A20"/>
    <mergeCell ref="E14:G14"/>
    <mergeCell ref="B13:D14"/>
    <mergeCell ref="A13:A14"/>
    <mergeCell ref="E13:I13"/>
    <mergeCell ref="H18:H20"/>
    <mergeCell ref="E15:G15"/>
    <mergeCell ref="E18:G20"/>
    <mergeCell ref="A1:S1"/>
    <mergeCell ref="B2:S2"/>
    <mergeCell ref="B3:S3"/>
    <mergeCell ref="A8:C8"/>
    <mergeCell ref="K14:M14"/>
    <mergeCell ref="J13:M13"/>
    <mergeCell ref="N13:P13"/>
    <mergeCell ref="O14:P14"/>
  </mergeCells>
  <dataValidations count="1">
    <dataValidation allowBlank="1" showInputMessage="1" showErrorMessage="1" sqref="I5 H5:H6" xr:uid="{BFFFDC43-89FE-44BA-B535-E865B1B3ECC4}"/>
  </dataValidations>
  <hyperlinks>
    <hyperlink ref="A1" location="'Objetos de Dominio'!A1" display="Volver al inicio" xr:uid="{F92E8141-0BAA-4CFF-A2AA-790349ADA214}"/>
    <hyperlink ref="A1:S1" location="'Listado Objetos de Dominio'!A1" display="&lt;-Volver al inicio" xr:uid="{BAD90D86-7311-49B0-A802-02D69BE204D5}"/>
    <hyperlink ref="C10" location="'Marca Caracterización'!A6" display="=A6" xr:uid="{8B979B67-F7EA-462D-9C6D-7610B77696E0}"/>
    <hyperlink ref="B2:S2" location="'Listado Objetos de Dominio'!A19" display="='Listado Objetos de Dominio'!A19" xr:uid="{C1F2056D-3834-44ED-9607-5E30A3C7CC7A}"/>
    <hyperlink ref="T4" location="'Objeto Dominio 2'!A16" display="'Objeto Dominio 2'!A16" xr:uid="{F66CECC3-2EE1-49F8-9E57-39E041254432}"/>
    <hyperlink ref="U4" location="'Objeto Dominio 2'!A17" display="'Objeto Dominio 2'!A17" xr:uid="{C31578C6-097C-48B5-85BE-E2B5695507BB}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BE5169F-FF3D-4FC0-AC22-EDDE070D9611}">
          <x14:formula1>
            <xm:f>Caracterizacion!$C$3:$C$18</xm:f>
          </x14:formula1>
          <xm:sqref>E5:E6</xm:sqref>
        </x14:dataValidation>
        <x14:dataValidation type="list" allowBlank="1" showInputMessage="1" showErrorMessage="1" xr:uid="{D5C549EA-F847-4D73-9FC3-096164B94E72}">
          <x14:formula1>
            <xm:f>Caracterizacion!$D$3:$D$8</xm:f>
          </x14:formula1>
          <xm:sqref>F5:G6</xm:sqref>
        </x14:dataValidation>
        <x14:dataValidation type="list" allowBlank="1" showInputMessage="1" showErrorMessage="1" xr:uid="{981F0F40-A808-437B-A98F-ACF9F08B2194}">
          <x14:formula1>
            <xm:f>Caracterizacion!$H$3:$H$4</xm:f>
          </x14:formula1>
          <xm:sqref>L5:R6</xm:sqref>
        </x14:dataValidation>
        <x14:dataValidation type="custom" allowBlank="1" showInputMessage="1" showErrorMessage="1" xr:uid="{BD6755D6-B3FF-4CF9-BB99-D9ADCE8BC172}">
          <x14:formula1>
            <xm:f>Caracterizacion!$F$3</xm:f>
          </x14:formula1>
          <xm:sqref>J5</xm:sqref>
        </x14:dataValidation>
        <x14:dataValidation type="list" allowBlank="1" showInputMessage="1" showErrorMessage="1" xr:uid="{3EFA5A86-024E-456E-A029-7365490C6A1A}">
          <x14:formula1>
            <xm:f>Caracterizacion!$A$3:$A$14</xm:f>
          </x14:formula1>
          <xm:sqref>B5:B6</xm:sqref>
        </x14:dataValidation>
        <x14:dataValidation type="list" allowBlank="1" showInputMessage="1" showErrorMessage="1" xr:uid="{AFBE568F-884E-4B50-AA33-EC15F2B23E29}">
          <x14:formula1>
            <xm:f>Caracterizacion!$B$4:$B$505</xm:f>
          </x14:formula1>
          <xm:sqref>C5:D6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7F40-5176-4CB6-BA2F-5DFD3A8514C1}">
  <dimension ref="A1:G12"/>
  <sheetViews>
    <sheetView workbookViewId="0">
      <selection activeCell="B30" sqref="B30"/>
    </sheetView>
  </sheetViews>
  <sheetFormatPr defaultRowHeight="15"/>
  <cols>
    <col min="1" max="1" width="40" bestFit="1" customWidth="1"/>
    <col min="2" max="2" width="31.42578125" customWidth="1"/>
    <col min="3" max="3" width="27.85546875" customWidth="1"/>
    <col min="4" max="4" width="26.7109375" customWidth="1"/>
    <col min="5" max="5" width="30" customWidth="1"/>
    <col min="6" max="6" width="30.7109375" customWidth="1"/>
    <col min="7" max="7" width="34" customWidth="1"/>
  </cols>
  <sheetData>
    <row r="1" spans="1:7" ht="34.5"/>
    <row r="2" spans="1:7" ht="34.5" customHeight="1">
      <c r="A2" s="125" t="s">
        <v>1333</v>
      </c>
      <c r="B2" s="125" t="s">
        <v>1334</v>
      </c>
      <c r="C2" s="125" t="s">
        <v>1335</v>
      </c>
      <c r="D2" s="125" t="s">
        <v>1336</v>
      </c>
      <c r="E2" s="125" t="s">
        <v>1337</v>
      </c>
      <c r="F2" s="125" t="s">
        <v>1338</v>
      </c>
      <c r="G2" s="125" t="s">
        <v>1339</v>
      </c>
    </row>
    <row r="3" spans="1:7">
      <c r="A3" s="906" t="s">
        <v>369</v>
      </c>
      <c r="B3" s="94" t="s">
        <v>1340</v>
      </c>
      <c r="C3" s="237" t="s">
        <v>147</v>
      </c>
      <c r="D3" s="237" t="s">
        <v>163</v>
      </c>
      <c r="E3" s="94" t="s">
        <v>1341</v>
      </c>
      <c r="F3" s="123" t="s">
        <v>371</v>
      </c>
      <c r="G3" s="124" t="s">
        <v>371</v>
      </c>
    </row>
    <row r="4" spans="1:7">
      <c r="A4" s="119" t="s">
        <v>1342</v>
      </c>
      <c r="B4" s="82" t="s">
        <v>927</v>
      </c>
      <c r="C4" s="63" t="s">
        <v>1343</v>
      </c>
      <c r="D4" s="63">
        <v>1036956621</v>
      </c>
      <c r="E4" s="93">
        <v>2018</v>
      </c>
      <c r="F4" s="90" t="s">
        <v>927</v>
      </c>
      <c r="G4" s="91" t="s">
        <v>1344</v>
      </c>
    </row>
    <row r="5" spans="1:7">
      <c r="A5" s="119" t="s">
        <v>1345</v>
      </c>
      <c r="B5" s="82" t="s">
        <v>931</v>
      </c>
      <c r="C5" s="63" t="s">
        <v>1346</v>
      </c>
      <c r="D5" s="63">
        <v>1036956621</v>
      </c>
      <c r="E5" s="92">
        <v>2022</v>
      </c>
      <c r="F5" s="90" t="s">
        <v>931</v>
      </c>
      <c r="G5" s="91" t="s">
        <v>1347</v>
      </c>
    </row>
    <row r="6" spans="1:7">
      <c r="A6" s="119" t="s">
        <v>1348</v>
      </c>
      <c r="B6" s="82" t="s">
        <v>1349</v>
      </c>
      <c r="C6" s="63" t="s">
        <v>1350</v>
      </c>
      <c r="D6" s="63">
        <v>1037651168</v>
      </c>
      <c r="E6" s="93">
        <v>2024</v>
      </c>
      <c r="F6" s="90" t="s">
        <v>1349</v>
      </c>
      <c r="G6" s="91" t="s">
        <v>1351</v>
      </c>
    </row>
    <row r="7" spans="1:7">
      <c r="A7" s="119" t="s">
        <v>1352</v>
      </c>
      <c r="B7" s="82" t="s">
        <v>1353</v>
      </c>
      <c r="C7" s="63" t="s">
        <v>1354</v>
      </c>
      <c r="D7" s="63">
        <v>1036961199</v>
      </c>
      <c r="E7" s="93">
        <v>2023</v>
      </c>
      <c r="F7" s="90" t="s">
        <v>1353</v>
      </c>
      <c r="G7" s="91" t="s">
        <v>1355</v>
      </c>
    </row>
    <row r="8" spans="1:7">
      <c r="A8" s="119" t="s">
        <v>1356</v>
      </c>
      <c r="B8" s="82" t="s">
        <v>1357</v>
      </c>
      <c r="C8" s="63" t="s">
        <v>1358</v>
      </c>
      <c r="D8" s="63">
        <v>1036958823</v>
      </c>
      <c r="E8" s="93">
        <v>2019</v>
      </c>
      <c r="F8" s="90" t="s">
        <v>1357</v>
      </c>
      <c r="G8" s="91" t="s">
        <v>1359</v>
      </c>
    </row>
    <row r="9" spans="1:7">
      <c r="A9" s="119" t="s">
        <v>1360</v>
      </c>
      <c r="B9" s="82" t="s">
        <v>1361</v>
      </c>
      <c r="C9" s="63" t="s">
        <v>1362</v>
      </c>
      <c r="D9" s="63">
        <v>1037651168</v>
      </c>
      <c r="E9" s="93">
        <v>2025</v>
      </c>
      <c r="F9" s="90" t="s">
        <v>1361</v>
      </c>
      <c r="G9" s="91" t="s">
        <v>1363</v>
      </c>
    </row>
    <row r="10" spans="1:7">
      <c r="A10" s="119" t="s">
        <v>1364</v>
      </c>
      <c r="B10" s="82" t="s">
        <v>1365</v>
      </c>
      <c r="C10" s="63" t="s">
        <v>1366</v>
      </c>
      <c r="D10" s="63">
        <v>1036958823</v>
      </c>
      <c r="E10" s="93">
        <v>2018</v>
      </c>
      <c r="F10" s="90" t="s">
        <v>1365</v>
      </c>
      <c r="G10" s="91" t="s">
        <v>1367</v>
      </c>
    </row>
    <row r="11" spans="1:7">
      <c r="A11" s="119" t="s">
        <v>1368</v>
      </c>
      <c r="B11" s="82" t="s">
        <v>989</v>
      </c>
      <c r="C11" s="63" t="s">
        <v>1369</v>
      </c>
      <c r="D11" s="63">
        <v>1036958823</v>
      </c>
      <c r="E11" s="93">
        <v>2024</v>
      </c>
      <c r="F11" s="90" t="s">
        <v>989</v>
      </c>
      <c r="G11" s="91" t="s">
        <v>1370</v>
      </c>
    </row>
    <row r="12" spans="1:7">
      <c r="A12" s="119" t="s">
        <v>1371</v>
      </c>
      <c r="B12" s="82" t="s">
        <v>1372</v>
      </c>
      <c r="C12" s="63" t="s">
        <v>1373</v>
      </c>
      <c r="D12" s="63">
        <v>1036958823</v>
      </c>
      <c r="E12" s="93">
        <v>2024</v>
      </c>
      <c r="F12" s="90" t="s">
        <v>1372</v>
      </c>
      <c r="G12" s="91" t="s">
        <v>1374</v>
      </c>
    </row>
  </sheetData>
  <hyperlinks>
    <hyperlink ref="C3" location="Modelo!A2" display="Modelo" xr:uid="{53EC94AC-241C-4DFF-B9DB-EE25802A470C}"/>
    <hyperlink ref="D3" location="Usuario!A2" display="Propietario" xr:uid="{DE3BDF34-A988-4F3A-91C6-781CCC8C0A87}"/>
    <hyperlink ref="C4" location="Modelo!F3" display="Boxer BM 100 CLASSIC" xr:uid="{741AAE7C-F41A-4C30-BF88-7C5E9A54E652}"/>
    <hyperlink ref="D4" location="Usuario!J3" display="1036956621" xr:uid="{8FC3D52B-956A-44D7-B9EA-FF8BFA22E2D1}"/>
    <hyperlink ref="C5" location="Modelo!F4" display="Boxer CT 100" xr:uid="{35A4D3CC-2CE9-4840-BBFA-EF05FAE30681}"/>
    <hyperlink ref="D5" location="Usuario!J3" display="1036956621" xr:uid="{A8A6CD9D-92C3-44DB-B751-9697DB05331E}"/>
    <hyperlink ref="E5" location="Modelo!F4" display="2022" xr:uid="{64CC3783-FF1B-405B-BD5D-7642DDDD1CEB}"/>
    <hyperlink ref="C6" location="Modelo!F5" display="XR  150L" xr:uid="{106D5BF4-7F70-4E33-85BB-C2A601493F80}"/>
    <hyperlink ref="D6" location="Usuario!J6" display="1037651168" xr:uid="{96F1A8E0-1EEF-4FE3-A41F-F4E0D6FBB55A}"/>
    <hyperlink ref="C7" location="Modelo!F6" display="XRE 300" xr:uid="{CE90F34E-B11D-4E05-8033-5F149A54AFA3}"/>
    <hyperlink ref="D7" location="Usuario!J5" display="1036961199" xr:uid="{6AE24858-97C3-4EEE-8197-F88DAB21ADD0}"/>
    <hyperlink ref="C8" location="Modelo!F7" display="CB 100" xr:uid="{D5BBC383-352E-4337-909C-97D4CE44E592}"/>
    <hyperlink ref="D8" location="Usuario!J4" display="1036958823" xr:uid="{E51F8ED5-321D-4157-A291-2FEAA9FDF75A}"/>
    <hyperlink ref="C9" location="Modelo!F8" display="FZ 250 v3.0" xr:uid="{B5A7C47E-B4DC-486E-A68A-431DB5EA5491}"/>
    <hyperlink ref="D9" location="Usuario!J6" display="1037651168" xr:uid="{5618FCF3-A1EA-4E0F-89DD-7A920AF9E2CB}"/>
    <hyperlink ref="C10" location="Modelo!F9" display="XTZ 125" xr:uid="{A7C70C20-7F00-4BEB-AD35-5B4BBB54A3E2}"/>
    <hyperlink ref="D10" location="Usuario!J4" display="1036958823" xr:uid="{32626766-5770-4A1E-9E10-2C0042FE699C}"/>
    <hyperlink ref="C11" location="Modelo!F10" display="MT 03'" xr:uid="{846345C0-AAC4-49D8-BE8D-7553A05338DE}"/>
    <hyperlink ref="D11" location="Usuario!J4" display="1036958823" xr:uid="{38097F8F-DDBF-450B-B24C-B21F9AA2372E}"/>
    <hyperlink ref="C12" location="Modelo!F11" display="MT 15" xr:uid="{253C4C93-E95C-46B6-8846-45087F032D3B}"/>
    <hyperlink ref="D12" location="Usuario!J4" display="1036958823" xr:uid="{323B0867-7ADA-4CB0-844A-09DFC7E89182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277F-6B22-448A-91AB-26ED121F9141}">
  <dimension ref="A1:Y37"/>
  <sheetViews>
    <sheetView zoomScale="85" zoomScaleNormal="85" workbookViewId="0">
      <pane xSplit="1" topLeftCell="D1" activePane="topRight" state="frozen"/>
      <selection pane="topRight" activeCell="D15" sqref="D15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9.5703125" style="1" customWidth="1"/>
    <col min="7" max="7" width="28.5703125" style="1" bestFit="1" customWidth="1"/>
    <col min="8" max="8" width="50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72.14062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63.7109375" style="1" customWidth="1"/>
    <col min="26" max="16384" width="11.42578125" style="1"/>
  </cols>
  <sheetData>
    <row r="1" spans="1:25">
      <c r="A1" s="1185"/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5">
      <c r="A2" s="4" t="s">
        <v>391</v>
      </c>
      <c r="B2" s="1209" t="str">
        <f>'Listado Objetos de Dominio'!$A$22</f>
        <v>Motocicleta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5">
      <c r="A3" s="189" t="s">
        <v>392</v>
      </c>
      <c r="B3" s="1210" t="str">
        <f>'Listado Objetos de Dominio'!$B$22</f>
        <v>Objeto de dominio que representa el vehículo de dos ruedas con sus características específicas.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5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A23</f>
        <v>Registrar Información de la Motocicleta</v>
      </c>
      <c r="V4" s="35" t="str">
        <f>A27</f>
        <v>Modificar Información de la  Motocicleta</v>
      </c>
      <c r="W4" s="36" t="str">
        <f>A30</f>
        <v>Eliminar Información de la Motocicleta</v>
      </c>
      <c r="X4" s="2" t="str">
        <f>A34</f>
        <v>Consultar Información de la Motocicleta</v>
      </c>
      <c r="Y4" s="2" t="str">
        <f>A36</f>
        <v>Consultar Información General de la Motocicleta</v>
      </c>
    </row>
    <row r="5" spans="1:25" ht="31.5" customHeight="1">
      <c r="A5" s="184" t="str">
        <f>'Motocicleta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'Motocicleta Muestreo'!A2</f>
        <v>Corresponde al identificador único que corresponde a un UUID para identificar cada registro de motocicleta en el sistema.</v>
      </c>
      <c r="U5" s="795" t="s">
        <v>467</v>
      </c>
      <c r="V5" s="39" t="s">
        <v>409</v>
      </c>
      <c r="W5" s="43" t="s">
        <v>467</v>
      </c>
      <c r="X5" s="47" t="s">
        <v>468</v>
      </c>
      <c r="Y5" s="47" t="s">
        <v>468</v>
      </c>
    </row>
    <row r="6" spans="1:25" ht="56.25" customHeight="1">
      <c r="A6" s="216" t="str">
        <f>'Motocicleta Muestreo'!B3</f>
        <v>matricula</v>
      </c>
      <c r="B6" s="216" t="s">
        <v>75</v>
      </c>
      <c r="C6" s="216">
        <v>6</v>
      </c>
      <c r="D6" s="216">
        <v>6</v>
      </c>
      <c r="E6" s="216"/>
      <c r="F6" s="216"/>
      <c r="G6" s="216"/>
      <c r="H6" s="216" t="s">
        <v>410</v>
      </c>
      <c r="I6" s="5" t="s">
        <v>1375</v>
      </c>
      <c r="J6" s="216"/>
      <c r="K6" s="217"/>
      <c r="L6" s="218" t="s">
        <v>78</v>
      </c>
      <c r="M6" s="218" t="s">
        <v>78</v>
      </c>
      <c r="N6" s="218" t="s">
        <v>81</v>
      </c>
      <c r="O6" s="218" t="s">
        <v>81</v>
      </c>
      <c r="P6" s="218" t="s">
        <v>78</v>
      </c>
      <c r="Q6" s="218" t="s">
        <v>78</v>
      </c>
      <c r="R6" s="218" t="s">
        <v>78</v>
      </c>
      <c r="S6" s="218" t="s">
        <v>81</v>
      </c>
      <c r="T6" s="217" t="str">
        <f>'Motocicleta Muestreo'!B2</f>
        <v xml:space="preserve"> Corresponde al atributo alfanumérico único que identifica oficialmente a la motocicleta.</v>
      </c>
      <c r="U6" s="795" t="s">
        <v>467</v>
      </c>
      <c r="V6" s="39" t="s">
        <v>413</v>
      </c>
      <c r="W6" s="799" t="s">
        <v>933</v>
      </c>
      <c r="X6" s="47" t="s">
        <v>1376</v>
      </c>
      <c r="Y6" s="47" t="s">
        <v>408</v>
      </c>
    </row>
    <row r="7" spans="1:25" ht="45.75">
      <c r="A7" s="216" t="str">
        <f>'Motocicleta Muestreo'!C3</f>
        <v>referencia</v>
      </c>
      <c r="B7" s="216" t="s">
        <v>147</v>
      </c>
      <c r="C7" s="216"/>
      <c r="D7" s="216"/>
      <c r="E7" s="216"/>
      <c r="F7" s="216"/>
      <c r="G7" s="216"/>
      <c r="H7" s="216"/>
      <c r="I7" s="5"/>
      <c r="J7" s="216"/>
      <c r="K7" s="217"/>
      <c r="L7" s="218" t="s">
        <v>81</v>
      </c>
      <c r="M7" s="218" t="s">
        <v>81</v>
      </c>
      <c r="N7" s="218" t="s">
        <v>81</v>
      </c>
      <c r="O7" s="218" t="s">
        <v>81</v>
      </c>
      <c r="P7" s="218" t="s">
        <v>78</v>
      </c>
      <c r="Q7" s="218" t="s">
        <v>78</v>
      </c>
      <c r="R7" s="218" t="s">
        <v>81</v>
      </c>
      <c r="S7" s="218" t="s">
        <v>81</v>
      </c>
      <c r="T7" s="217" t="str">
        <f>'Motocicleta Muestreo'!C2</f>
        <v xml:space="preserve"> Corresponde al modelo que contiene el nombre comercial que especifica el tipo y versión específica de la motocicleta.</v>
      </c>
      <c r="U7" s="795" t="s">
        <v>467</v>
      </c>
      <c r="V7" s="39" t="s">
        <v>413</v>
      </c>
      <c r="W7" s="799" t="s">
        <v>933</v>
      </c>
      <c r="X7" s="47" t="s">
        <v>1376</v>
      </c>
      <c r="Y7" s="47" t="s">
        <v>1376</v>
      </c>
    </row>
    <row r="8" spans="1:25" ht="45.75">
      <c r="A8" s="216" t="str">
        <f>'Motocicleta Muestreo'!D3</f>
        <v>usuario</v>
      </c>
      <c r="B8" s="216" t="s">
        <v>163</v>
      </c>
      <c r="C8" s="216"/>
      <c r="D8" s="216"/>
      <c r="E8" s="216"/>
      <c r="F8" s="216"/>
      <c r="G8" s="216"/>
      <c r="H8" s="216"/>
      <c r="I8" s="5"/>
      <c r="J8" s="216"/>
      <c r="K8" s="217"/>
      <c r="L8" s="218" t="s">
        <v>81</v>
      </c>
      <c r="M8" s="218" t="s">
        <v>81</v>
      </c>
      <c r="N8" s="218" t="s">
        <v>81</v>
      </c>
      <c r="O8" s="218" t="s">
        <v>81</v>
      </c>
      <c r="P8" s="218" t="s">
        <v>78</v>
      </c>
      <c r="Q8" s="218" t="s">
        <v>81</v>
      </c>
      <c r="R8" s="218" t="s">
        <v>78</v>
      </c>
      <c r="S8" s="218" t="s">
        <v>81</v>
      </c>
      <c r="T8" s="217" t="str">
        <f>'Motocicleta Muestreo'!D2</f>
        <v>Corresponde al usuario que identifica de manera única al dueño actual de la motocicleta en el sistema.</v>
      </c>
      <c r="U8" s="795" t="s">
        <v>467</v>
      </c>
      <c r="V8" s="39" t="s">
        <v>409</v>
      </c>
      <c r="W8" s="799" t="s">
        <v>933</v>
      </c>
      <c r="X8" s="968" t="s">
        <v>1377</v>
      </c>
      <c r="Y8" s="968" t="s">
        <v>1378</v>
      </c>
    </row>
    <row r="9" spans="1:25" ht="30.75">
      <c r="A9" s="216" t="str">
        <f>'Motocicleta Muestreo'!E3</f>
        <v>año</v>
      </c>
      <c r="B9" s="216" t="s">
        <v>79</v>
      </c>
      <c r="C9" s="216"/>
      <c r="D9" s="216"/>
      <c r="E9" s="216"/>
      <c r="F9" s="216">
        <v>2000</v>
      </c>
      <c r="G9" s="216">
        <v>2026</v>
      </c>
      <c r="H9" s="216"/>
      <c r="I9" s="5"/>
      <c r="J9" s="216"/>
      <c r="K9" s="217"/>
      <c r="L9" s="218" t="s">
        <v>78</v>
      </c>
      <c r="M9" s="218" t="s">
        <v>78</v>
      </c>
      <c r="N9" s="218" t="s">
        <v>81</v>
      </c>
      <c r="O9" s="218" t="s">
        <v>81</v>
      </c>
      <c r="P9" s="218" t="s">
        <v>78</v>
      </c>
      <c r="Q9" s="218" t="s">
        <v>78</v>
      </c>
      <c r="R9" s="218" t="s">
        <v>81</v>
      </c>
      <c r="S9" s="218" t="s">
        <v>81</v>
      </c>
      <c r="T9" s="217" t="str">
        <f>'Motocicleta Muestreo'!E2</f>
        <v>Corresponde al atributo que indica el año de fabricación  de la motocicleta.</v>
      </c>
      <c r="U9" s="795" t="s">
        <v>467</v>
      </c>
      <c r="V9" s="39" t="s">
        <v>413</v>
      </c>
      <c r="W9" s="799" t="s">
        <v>933</v>
      </c>
      <c r="X9" s="968" t="s">
        <v>1379</v>
      </c>
      <c r="Y9" s="968" t="s">
        <v>1379</v>
      </c>
    </row>
    <row r="10" spans="1:25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9"/>
      <c r="L10" s="180"/>
      <c r="M10" s="180"/>
      <c r="N10" s="180"/>
      <c r="O10" s="180"/>
      <c r="P10" s="180"/>
      <c r="Q10" s="180"/>
      <c r="R10" s="180"/>
      <c r="S10" s="180"/>
      <c r="T10" s="179"/>
      <c r="U10" s="178"/>
    </row>
    <row r="11" spans="1:25" ht="15" customHeight="1"/>
    <row r="12" spans="1:25" ht="35.25" customHeight="1">
      <c r="A12" s="1418" t="s">
        <v>414</v>
      </c>
      <c r="B12" s="1419"/>
      <c r="C12" s="1420"/>
      <c r="G12" s="1" t="s">
        <v>418</v>
      </c>
    </row>
    <row r="13" spans="1:25">
      <c r="A13" s="113" t="s">
        <v>415</v>
      </c>
      <c r="B13" s="113" t="s">
        <v>2</v>
      </c>
      <c r="C13" s="113" t="s">
        <v>416</v>
      </c>
    </row>
    <row r="14" spans="1:25" ht="40.5" customHeight="1">
      <c r="A14" s="1340" t="s">
        <v>1380</v>
      </c>
      <c r="B14" s="1340" t="str">
        <f>'Motocicleta Muestreo'!F2</f>
        <v>la identificación de la motocicleta no debe de tener duplicidad en el registro.</v>
      </c>
      <c r="C14" s="1417" t="str">
        <f>A6</f>
        <v>matricula</v>
      </c>
      <c r="Y14" s="245"/>
    </row>
    <row r="15" spans="1:25" ht="36" customHeight="1">
      <c r="A15" s="1340"/>
      <c r="B15" s="1340"/>
      <c r="C15" s="1417"/>
    </row>
    <row r="16" spans="1:25">
      <c r="A16" s="1340" t="s">
        <v>1381</v>
      </c>
      <c r="B16" s="1340" t="str">
        <f>'Motocicleta Muestreo'!G2</f>
        <v>Vincula el identificador del propietario con la matrícula de la motocicleta para establecer una relación única entre ambos.</v>
      </c>
      <c r="C16" s="1417"/>
    </row>
    <row r="17" spans="1:22" ht="57" customHeight="1">
      <c r="A17" s="1340"/>
      <c r="B17" s="1340"/>
      <c r="C17" s="232" t="str">
        <f>A8</f>
        <v>usuario</v>
      </c>
    </row>
    <row r="21" spans="1:22">
      <c r="A21" s="358" t="s">
        <v>419</v>
      </c>
      <c r="B21" s="317"/>
      <c r="C21" s="317" t="s">
        <v>2</v>
      </c>
      <c r="D21" s="317"/>
      <c r="E21" s="318"/>
      <c r="F21" s="319"/>
      <c r="G21" s="317" t="s">
        <v>420</v>
      </c>
      <c r="H21" s="333"/>
      <c r="I21" s="319"/>
      <c r="J21" s="319" t="s">
        <v>421</v>
      </c>
      <c r="K21" s="319"/>
      <c r="L21" s="319"/>
      <c r="M21" s="318"/>
      <c r="N21" s="319" t="s">
        <v>422</v>
      </c>
      <c r="O21" s="319"/>
      <c r="P21" s="319"/>
      <c r="Q21" s="318"/>
      <c r="R21" s="319" t="s">
        <v>474</v>
      </c>
      <c r="S21" s="358"/>
      <c r="T21" s="290"/>
      <c r="U21" s="290"/>
      <c r="V21" s="290"/>
    </row>
    <row r="22" spans="1:22">
      <c r="A22" s="312"/>
      <c r="B22" s="346"/>
      <c r="C22" s="346"/>
      <c r="D22" s="340"/>
      <c r="E22" s="341" t="s">
        <v>423</v>
      </c>
      <c r="F22" s="337" t="s">
        <v>424</v>
      </c>
      <c r="G22" s="316"/>
      <c r="H22" s="333" t="s">
        <v>2</v>
      </c>
      <c r="I22" s="346" t="s">
        <v>66</v>
      </c>
      <c r="J22" s="339"/>
      <c r="K22" s="346" t="s">
        <v>2</v>
      </c>
      <c r="L22" s="340"/>
      <c r="M22" s="337" t="s">
        <v>425</v>
      </c>
      <c r="N22" s="334"/>
      <c r="O22" s="335" t="s">
        <v>2</v>
      </c>
      <c r="P22" s="335"/>
      <c r="Q22" s="1178" t="s">
        <v>426</v>
      </c>
      <c r="R22" s="1202"/>
      <c r="S22" s="358" t="s">
        <v>427</v>
      </c>
      <c r="T22" s="290"/>
      <c r="U22" s="290"/>
      <c r="V22" s="290"/>
    </row>
    <row r="23" spans="1:22" ht="108" customHeight="1">
      <c r="A23" s="592" t="s">
        <v>1382</v>
      </c>
      <c r="B23" s="593"/>
      <c r="C23" s="594" t="s">
        <v>1383</v>
      </c>
      <c r="D23" s="594"/>
      <c r="E23" s="344" t="s">
        <v>441</v>
      </c>
      <c r="F23" s="680" t="s">
        <v>149</v>
      </c>
      <c r="G23" s="683" t="s">
        <v>1384</v>
      </c>
      <c r="H23" s="428"/>
      <c r="I23" s="595"/>
      <c r="J23" s="594"/>
      <c r="K23" s="594"/>
      <c r="L23" s="595"/>
      <c r="M23" s="365" t="s">
        <v>1385</v>
      </c>
      <c r="N23" s="1264" t="s">
        <v>495</v>
      </c>
      <c r="O23" s="1258"/>
      <c r="P23" s="1259"/>
      <c r="Q23" s="1260" t="s">
        <v>870</v>
      </c>
      <c r="R23" s="1257"/>
      <c r="S23" s="552" t="s">
        <v>438</v>
      </c>
    </row>
    <row r="24" spans="1:22" ht="100.5" customHeight="1">
      <c r="A24" s="581"/>
      <c r="B24" s="596"/>
      <c r="C24" s="597"/>
      <c r="D24" s="597"/>
      <c r="E24" s="396"/>
      <c r="F24" s="681"/>
      <c r="G24" s="679"/>
      <c r="H24" s="430"/>
      <c r="I24" s="599"/>
      <c r="J24" s="597"/>
      <c r="K24" s="597"/>
      <c r="L24" s="599"/>
      <c r="M24" s="365" t="s">
        <v>1386</v>
      </c>
      <c r="N24" s="1218" t="s">
        <v>1387</v>
      </c>
      <c r="O24" s="1219"/>
      <c r="P24" s="1220"/>
      <c r="Q24" s="1260" t="s">
        <v>1388</v>
      </c>
      <c r="R24" s="1257"/>
      <c r="S24" s="552" t="s">
        <v>438</v>
      </c>
      <c r="T24" s="291"/>
      <c r="U24" s="291"/>
    </row>
    <row r="25" spans="1:22" ht="77.25" customHeight="1">
      <c r="A25" s="581"/>
      <c r="B25" s="596"/>
      <c r="C25" s="597"/>
      <c r="D25" s="597"/>
      <c r="E25" s="396"/>
      <c r="F25" s="681"/>
      <c r="G25" s="679"/>
      <c r="H25" s="430"/>
      <c r="I25" s="599"/>
      <c r="J25" s="597"/>
      <c r="K25" s="597"/>
      <c r="L25" s="599"/>
      <c r="M25" s="365" t="s">
        <v>1389</v>
      </c>
      <c r="N25" s="1257" t="s">
        <v>1390</v>
      </c>
      <c r="O25" s="1258"/>
      <c r="P25" s="1259"/>
      <c r="Q25" s="1220" t="s">
        <v>483</v>
      </c>
      <c r="R25" s="1218"/>
      <c r="S25" s="553" t="s">
        <v>1005</v>
      </c>
      <c r="T25" s="291"/>
      <c r="U25" s="291"/>
    </row>
    <row r="26" spans="1:22" ht="102" customHeight="1">
      <c r="A26" s="581"/>
      <c r="B26" s="596"/>
      <c r="C26" s="597"/>
      <c r="D26" s="597"/>
      <c r="E26" s="396"/>
      <c r="F26" s="681"/>
      <c r="G26" s="679"/>
      <c r="H26" s="430"/>
      <c r="I26" s="599"/>
      <c r="J26" s="597"/>
      <c r="K26" s="597"/>
      <c r="L26" s="631"/>
      <c r="M26" s="892" t="s">
        <v>1391</v>
      </c>
      <c r="N26" s="1225" t="s">
        <v>1392</v>
      </c>
      <c r="O26" s="1226"/>
      <c r="P26" s="1227"/>
      <c r="Q26" s="1257" t="s">
        <v>1393</v>
      </c>
      <c r="R26" s="1259"/>
      <c r="S26" s="553" t="s">
        <v>438</v>
      </c>
      <c r="T26" s="291"/>
      <c r="U26" s="291"/>
    </row>
    <row r="27" spans="1:22" ht="73.5" customHeight="1">
      <c r="A27" s="342" t="s">
        <v>1394</v>
      </c>
      <c r="B27" s="600"/>
      <c r="C27" s="580" t="s">
        <v>1395</v>
      </c>
      <c r="D27" s="580"/>
      <c r="E27" s="517" t="s">
        <v>441</v>
      </c>
      <c r="F27" s="696" t="s">
        <v>149</v>
      </c>
      <c r="G27" s="550" t="s">
        <v>1396</v>
      </c>
      <c r="H27" s="551"/>
      <c r="I27" s="361"/>
      <c r="J27" s="580"/>
      <c r="K27" s="580"/>
      <c r="L27" s="773"/>
      <c r="M27" s="768" t="s">
        <v>1397</v>
      </c>
      <c r="N27" s="1272" t="s">
        <v>495</v>
      </c>
      <c r="O27" s="1273"/>
      <c r="P27" s="1274"/>
      <c r="Q27" s="1275" t="s">
        <v>881</v>
      </c>
      <c r="R27" s="1275"/>
      <c r="S27" s="519" t="s">
        <v>438</v>
      </c>
      <c r="T27" s="291"/>
      <c r="U27" s="291"/>
    </row>
    <row r="28" spans="1:22" ht="51" customHeight="1">
      <c r="A28" s="601"/>
      <c r="B28" s="601"/>
      <c r="C28" s="601"/>
      <c r="D28" s="601"/>
      <c r="E28" s="487" t="s">
        <v>369</v>
      </c>
      <c r="F28" s="369" t="s">
        <v>75</v>
      </c>
      <c r="G28" s="623" t="s">
        <v>1398</v>
      </c>
      <c r="H28" s="624"/>
      <c r="I28" s="602"/>
      <c r="J28" s="601"/>
      <c r="K28" s="601"/>
      <c r="L28" s="601"/>
      <c r="M28" s="768"/>
      <c r="N28" s="1228"/>
      <c r="O28" s="1229"/>
      <c r="P28" s="1337"/>
      <c r="Q28" s="1229"/>
      <c r="R28" s="1229"/>
      <c r="S28" s="774"/>
    </row>
    <row r="29" spans="1:22" ht="65.25" customHeight="1">
      <c r="A29" s="601"/>
      <c r="B29" s="601"/>
      <c r="C29" s="601"/>
      <c r="D29" s="601"/>
      <c r="E29" s="372"/>
      <c r="F29" s="369"/>
      <c r="G29" s="431"/>
      <c r="H29" s="432"/>
      <c r="I29" s="602"/>
      <c r="J29" s="601"/>
      <c r="K29" s="601"/>
      <c r="L29" s="601"/>
      <c r="M29" s="768"/>
      <c r="N29" s="1228"/>
      <c r="O29" s="1229"/>
      <c r="P29" s="1337"/>
      <c r="Q29" s="1277"/>
      <c r="R29" s="1277"/>
      <c r="S29" s="774"/>
    </row>
    <row r="30" spans="1:22" ht="69" customHeight="1">
      <c r="A30" s="605" t="s">
        <v>1399</v>
      </c>
      <c r="B30" s="606"/>
      <c r="C30" s="382" t="s">
        <v>1400</v>
      </c>
      <c r="D30" s="382"/>
      <c r="E30" s="470" t="s">
        <v>885</v>
      </c>
      <c r="F30" s="398" t="s">
        <v>75</v>
      </c>
      <c r="G30" s="486" t="s">
        <v>1401</v>
      </c>
      <c r="H30" s="386"/>
      <c r="I30" s="354"/>
      <c r="J30" s="470"/>
      <c r="K30" s="382"/>
      <c r="L30" s="354"/>
      <c r="M30" s="470"/>
      <c r="N30" s="1269"/>
      <c r="O30" s="1270"/>
      <c r="P30" s="1271"/>
      <c r="Q30" s="382"/>
      <c r="R30" s="354"/>
      <c r="S30" s="403"/>
    </row>
    <row r="31" spans="1:22" ht="96.75" customHeight="1">
      <c r="A31" s="608"/>
      <c r="B31" s="606"/>
      <c r="C31" s="382"/>
      <c r="D31" s="382"/>
      <c r="E31" s="470"/>
      <c r="F31" s="398"/>
      <c r="G31" s="486"/>
      <c r="H31" s="386"/>
      <c r="I31" s="354"/>
      <c r="J31" s="470"/>
      <c r="K31" s="382"/>
      <c r="L31" s="354"/>
      <c r="M31" s="470" t="s">
        <v>1402</v>
      </c>
      <c r="N31" s="1269" t="s">
        <v>1403</v>
      </c>
      <c r="O31" s="1270"/>
      <c r="P31" s="1271" t="s">
        <v>480</v>
      </c>
      <c r="Q31" s="1270" t="s">
        <v>1131</v>
      </c>
      <c r="R31" s="1270"/>
      <c r="S31" s="403" t="s">
        <v>438</v>
      </c>
    </row>
    <row r="32" spans="1:22" ht="48" customHeight="1">
      <c r="A32" s="608"/>
      <c r="B32" s="606"/>
      <c r="C32" s="382"/>
      <c r="D32" s="382"/>
      <c r="E32" s="470"/>
      <c r="F32" s="398"/>
      <c r="G32" s="486"/>
      <c r="H32" s="386"/>
      <c r="I32" s="354"/>
      <c r="J32" s="470"/>
      <c r="K32" s="382"/>
      <c r="L32" s="354"/>
      <c r="M32" s="470"/>
      <c r="N32" s="1269"/>
      <c r="O32" s="1270"/>
      <c r="P32" s="1271"/>
      <c r="Q32" s="382"/>
      <c r="R32" s="354"/>
      <c r="S32" s="403"/>
    </row>
    <row r="33" spans="1:19" ht="12.75" customHeight="1">
      <c r="A33" s="608"/>
      <c r="B33" s="606"/>
      <c r="C33" s="382"/>
      <c r="D33" s="382"/>
      <c r="E33" s="501"/>
      <c r="F33" s="400"/>
      <c r="G33" s="549"/>
      <c r="H33" s="496"/>
      <c r="I33" s="354"/>
      <c r="J33" s="470"/>
      <c r="K33" s="382"/>
      <c r="L33" s="354"/>
      <c r="M33" s="470"/>
      <c r="N33" s="1269"/>
      <c r="O33" s="1270"/>
      <c r="P33" s="1271"/>
      <c r="Q33" s="382"/>
      <c r="R33" s="354"/>
      <c r="S33" s="403"/>
    </row>
    <row r="34" spans="1:19" ht="106.5" customHeight="1">
      <c r="A34" s="609" t="s">
        <v>1404</v>
      </c>
      <c r="B34" s="609"/>
      <c r="C34" s="583" t="s">
        <v>1405</v>
      </c>
      <c r="D34" s="583"/>
      <c r="E34" s="415" t="s">
        <v>499</v>
      </c>
      <c r="F34" s="415" t="s">
        <v>1406</v>
      </c>
      <c r="G34" s="417" t="s">
        <v>501</v>
      </c>
      <c r="H34" s="418"/>
      <c r="I34" s="391" t="s">
        <v>1406</v>
      </c>
      <c r="J34" s="392" t="s">
        <v>1407</v>
      </c>
      <c r="K34" s="583"/>
      <c r="L34" s="539"/>
      <c r="M34" s="420" t="s">
        <v>1408</v>
      </c>
      <c r="N34" s="1325" t="s">
        <v>436</v>
      </c>
      <c r="O34" s="1325"/>
      <c r="P34" s="1325"/>
      <c r="Q34" s="1338" t="s">
        <v>1131</v>
      </c>
      <c r="R34" s="1325"/>
      <c r="S34" s="420" t="s">
        <v>438</v>
      </c>
    </row>
    <row r="35" spans="1:19" ht="59.25" customHeight="1">
      <c r="A35" s="610"/>
      <c r="B35" s="610"/>
      <c r="C35" s="582"/>
      <c r="D35" s="582"/>
      <c r="E35" s="415"/>
      <c r="F35" s="415"/>
      <c r="G35" s="417"/>
      <c r="H35" s="418"/>
      <c r="I35" s="393"/>
      <c r="J35" s="1278"/>
      <c r="K35" s="1278"/>
      <c r="L35" s="1278"/>
      <c r="M35" s="540"/>
      <c r="N35" s="1278"/>
      <c r="O35" s="1278"/>
      <c r="P35" s="1278"/>
      <c r="Q35" s="1292"/>
      <c r="R35" s="1278"/>
      <c r="S35" s="540"/>
    </row>
    <row r="36" spans="1:19" ht="120" customHeight="1">
      <c r="A36" s="1171" t="s">
        <v>1409</v>
      </c>
      <c r="B36" s="583"/>
      <c r="C36" s="583" t="s">
        <v>1410</v>
      </c>
      <c r="D36" s="583"/>
      <c r="E36" s="518" t="s">
        <v>499</v>
      </c>
      <c r="F36" s="518" t="s">
        <v>1406</v>
      </c>
      <c r="G36" s="389" t="s">
        <v>501</v>
      </c>
      <c r="H36" s="395"/>
      <c r="I36" s="391" t="s">
        <v>1406</v>
      </c>
      <c r="J36" s="392" t="s">
        <v>1411</v>
      </c>
      <c r="K36" s="583"/>
      <c r="L36" s="539"/>
      <c r="M36" s="420" t="s">
        <v>1408</v>
      </c>
      <c r="N36" s="1325" t="s">
        <v>436</v>
      </c>
      <c r="O36" s="1325"/>
      <c r="P36" s="1325"/>
      <c r="Q36" s="1338" t="s">
        <v>1131</v>
      </c>
      <c r="R36" s="1325"/>
      <c r="S36" s="420" t="s">
        <v>438</v>
      </c>
    </row>
    <row r="37" spans="1:19" ht="87" customHeight="1">
      <c r="A37" s="1172"/>
      <c r="B37" s="1103"/>
      <c r="C37" s="582"/>
      <c r="D37" s="582"/>
      <c r="E37" s="388"/>
      <c r="F37" s="388"/>
      <c r="G37" s="364"/>
      <c r="H37" s="353"/>
      <c r="I37" s="393"/>
      <c r="J37" s="1278"/>
      <c r="K37" s="1278"/>
      <c r="L37" s="1278"/>
      <c r="M37" s="540"/>
      <c r="N37" s="1278"/>
      <c r="O37" s="1278"/>
      <c r="P37" s="1278"/>
      <c r="Q37" s="1292"/>
      <c r="R37" s="1278"/>
      <c r="S37" s="540"/>
    </row>
  </sheetData>
  <mergeCells count="39">
    <mergeCell ref="N36:P36"/>
    <mergeCell ref="Q36:R36"/>
    <mergeCell ref="J37:L37"/>
    <mergeCell ref="N37:P37"/>
    <mergeCell ref="Q37:R37"/>
    <mergeCell ref="B16:B17"/>
    <mergeCell ref="A16:A17"/>
    <mergeCell ref="C14:C16"/>
    <mergeCell ref="A1:T1"/>
    <mergeCell ref="B2:T2"/>
    <mergeCell ref="B3:T3"/>
    <mergeCell ref="A12:C12"/>
    <mergeCell ref="A14:A15"/>
    <mergeCell ref="B14:B15"/>
    <mergeCell ref="Q22:R22"/>
    <mergeCell ref="N23:P23"/>
    <mergeCell ref="Q23:R23"/>
    <mergeCell ref="N24:P24"/>
    <mergeCell ref="Q24:R24"/>
    <mergeCell ref="N25:P25"/>
    <mergeCell ref="Q25:R25"/>
    <mergeCell ref="N27:P27"/>
    <mergeCell ref="Q27:R27"/>
    <mergeCell ref="N28:P28"/>
    <mergeCell ref="Q28:R28"/>
    <mergeCell ref="N26:P26"/>
    <mergeCell ref="Q26:R26"/>
    <mergeCell ref="N29:P29"/>
    <mergeCell ref="Q29:R29"/>
    <mergeCell ref="N30:P30"/>
    <mergeCell ref="N31:P31"/>
    <mergeCell ref="Q31:R31"/>
    <mergeCell ref="N32:P32"/>
    <mergeCell ref="N33:P33"/>
    <mergeCell ref="N34:P34"/>
    <mergeCell ref="Q34:R34"/>
    <mergeCell ref="J35:L35"/>
    <mergeCell ref="N35:P35"/>
    <mergeCell ref="Q35:R35"/>
  </mergeCells>
  <conditionalFormatting sqref="N23:N26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9" xr:uid="{BBAF4DF9-D443-475D-8292-6F551483FA63}"/>
  </dataValidations>
  <hyperlinks>
    <hyperlink ref="C14" location="'Dia Caracterización'!A6" display="=A6" xr:uid="{25EDCF29-75DA-436F-834A-1AC145D295E2}"/>
    <hyperlink ref="C14" location="'Calificación Caracterización'!A6" display="=A6" xr:uid="{18893934-1268-4975-8816-981F5CE1F01D}"/>
    <hyperlink ref="C14:C15" location="'Motocicleta Caracterización'!A6" display="=A6" xr:uid="{63BE3F88-2881-4ABC-8A04-0D72DBBFAE91}"/>
    <hyperlink ref="C17" location="'Motocicleta Caracterización'!A8" display="=A8" xr:uid="{2C0132EB-CC5F-4C91-B49C-E67A27102630}"/>
    <hyperlink ref="B2:T2" location="'Listado Objetos de Dominio'!A21" display="='Listado Objetos de Dominio'!$A$21" xr:uid="{3C63A5B8-946B-48EF-8EED-5CF20995F43C}"/>
    <hyperlink ref="H34" location="'Tipo Relación Institución'!A6" display="'Tipo Relación Institución'!A6" xr:uid="{31A947D3-7F63-41D8-947D-221D4A1324C4}"/>
    <hyperlink ref="A27:B27" location="'Objeto Dominio 2'!R4" display="Reponsabilidad 2" xr:uid="{4E464FA0-839D-4650-8FC5-4D85B7BD0DF4}"/>
    <hyperlink ref="A23:B23" location="'Objeto Dominio 2'!Q4" display="Reponsabilidad 1" xr:uid="{CA30FBB6-73B2-4254-809F-09B4258ED900}"/>
    <hyperlink ref="A34:B34" location="'Objeto Dominio 2'!T4" display="Reponsabilidad 4" xr:uid="{FC42C1F3-51DC-4E22-9BC9-5452418E6B3A}"/>
    <hyperlink ref="A30:B30" location="'Objeto Dominio 2'!S4" display="Reponsabilidad 3" xr:uid="{3A611F85-8F0F-4DA7-BB26-0A59497D626A}"/>
    <hyperlink ref="V4" location="'Objeto Dominio 2'!A17" display="'Objeto Dominio 2'!A17" xr:uid="{65537D88-A4AA-48ED-B985-21FEC5DA5E28}"/>
    <hyperlink ref="W4" location="'Objeto Dominio 2'!A18" display="'Objeto Dominio 2'!A18" xr:uid="{5A6002F7-8812-4988-8B8C-CA4852474DBF}"/>
    <hyperlink ref="X4" location="'Objeto Dominio 2'!A19" display="'Objeto Dominio 2'!A19" xr:uid="{9D6393FF-0FE1-4419-B438-85E4D0814AF6}"/>
    <hyperlink ref="U4" location="'Objeto Dominio 2'!A16" display="'Objeto Dominio 2'!A16" xr:uid="{58D8D4BE-5773-41F2-8122-EEBB69C0E88F}"/>
    <hyperlink ref="H36" location="'Tipo Relación Institución'!A6" display="'Tipo Relación Institución'!A6" xr:uid="{0CD0AC88-2E59-47AF-A890-E97C6D8A0D46}"/>
    <hyperlink ref="Y4" location="'Objeto Dominio 2'!A19" display="'Objeto Dominio 2'!A19" xr:uid="{072FCD85-43F8-4421-9412-0C241DB4293C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37C8863-6D65-4B2F-A45A-1B9C76F1B798}">
          <x14:formula1>
            <xm:f>Caracterizacion!$B$3:$B$515</xm:f>
          </x14:formula1>
          <xm:sqref>F5:G5 F10:G10</xm:sqref>
        </x14:dataValidation>
        <x14:dataValidation type="list" allowBlank="1" showInputMessage="1" showErrorMessage="1" xr:uid="{79DE7AC9-2657-4AB0-933E-796679D3E09D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9C461027-2E1C-40DF-9F50-8E0F2A489CB5}">
          <x14:formula1>
            <xm:f>Caracterizacion!$C$3:$C$18</xm:f>
          </x14:formula1>
          <xm:sqref>E5:E10</xm:sqref>
        </x14:dataValidation>
        <x14:dataValidation type="list" allowBlank="1" showInputMessage="1" showErrorMessage="1" xr:uid="{6D482808-F521-40EB-9028-0B7E2304A295}">
          <x14:formula1>
            <xm:f>Caracterizacion!$A$3:$A$40</xm:f>
          </x14:formula1>
          <xm:sqref>B6:B10</xm:sqref>
        </x14:dataValidation>
        <x14:dataValidation type="list" allowBlank="1" showInputMessage="1" showErrorMessage="1" xr:uid="{A34F6C78-45F6-47EB-9AD4-84C8D193B3CD}">
          <x14:formula1>
            <xm:f>Caracterizacion!$A$3:$A$14</xm:f>
          </x14:formula1>
          <xm:sqref>B5</xm:sqref>
        </x14:dataValidation>
        <x14:dataValidation type="custom" allowBlank="1" showInputMessage="1" showErrorMessage="1" xr:uid="{A90110EE-BCA9-415B-91F2-5C3893CCC431}">
          <x14:formula1>
            <xm:f>Caracterizacion!$F$3</xm:f>
          </x14:formula1>
          <xm:sqref>J5</xm:sqref>
        </x14:dataValidation>
        <x14:dataValidation type="list" allowBlank="1" showInputMessage="1" showErrorMessage="1" xr:uid="{577832BC-261D-4E73-A928-E8FA0876A8C7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BB3B2768-1AFD-4250-8637-FBD8DDB24CC5}">
          <x14:formula1>
            <xm:f>Caracterizacion!$B$3:$B$550</xm:f>
          </x14:formula1>
          <xm:sqref>F6:G9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772A-0864-4787-B55A-71EFE8FAC120}">
  <dimension ref="A1:J12"/>
  <sheetViews>
    <sheetView workbookViewId="0">
      <selection activeCell="C13" sqref="C13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  <col min="6" max="6" width="21" bestFit="1" customWidth="1"/>
    <col min="7" max="7" width="18.5703125" customWidth="1"/>
    <col min="8" max="8" width="26.140625" bestFit="1" customWidth="1"/>
    <col min="9" max="9" width="18.42578125" bestFit="1" customWidth="1"/>
    <col min="10" max="10" width="18" bestFit="1" customWidth="1"/>
  </cols>
  <sheetData>
    <row r="1" spans="1:10">
      <c r="D1" s="59"/>
    </row>
    <row r="2" spans="1:10" ht="34.5">
      <c r="A2" s="99" t="s">
        <v>1412</v>
      </c>
      <c r="B2" s="125" t="s">
        <v>1413</v>
      </c>
      <c r="C2" s="125" t="s">
        <v>1414</v>
      </c>
      <c r="D2" s="99" t="s">
        <v>1415</v>
      </c>
      <c r="E2" s="99" t="s">
        <v>1416</v>
      </c>
      <c r="F2" s="122"/>
      <c r="G2" s="122"/>
      <c r="H2" s="122"/>
      <c r="I2" s="122"/>
      <c r="J2" s="122"/>
    </row>
    <row r="3" spans="1:10">
      <c r="A3" s="149" t="s">
        <v>369</v>
      </c>
      <c r="B3" s="56" t="s">
        <v>1417</v>
      </c>
      <c r="C3" s="56" t="s">
        <v>1418</v>
      </c>
      <c r="D3" s="207" t="s">
        <v>1419</v>
      </c>
      <c r="E3" s="120" t="s">
        <v>371</v>
      </c>
      <c r="F3" s="59"/>
      <c r="G3" s="59"/>
      <c r="H3" s="59"/>
      <c r="I3" s="59"/>
      <c r="J3" s="59"/>
    </row>
    <row r="4" spans="1:10">
      <c r="A4" s="206" t="s">
        <v>1420</v>
      </c>
      <c r="B4" s="58">
        <v>0</v>
      </c>
      <c r="C4" s="58">
        <v>0</v>
      </c>
      <c r="D4" s="208"/>
      <c r="E4" s="121" t="str">
        <f>D4&amp;" "&amp;""&amp;B4&amp;""&amp;"-"&amp;""&amp;C4</f>
        <v xml:space="preserve"> 0-0</v>
      </c>
      <c r="F4" s="117"/>
      <c r="G4" s="59"/>
      <c r="H4" s="59"/>
      <c r="I4" s="59"/>
      <c r="J4" s="59"/>
    </row>
    <row r="5" spans="1:10" ht="29.25">
      <c r="A5" s="206" t="s">
        <v>1368</v>
      </c>
      <c r="B5" s="56">
        <v>1</v>
      </c>
      <c r="C5" s="56">
        <v>1</v>
      </c>
      <c r="D5" s="208" t="s">
        <v>1421</v>
      </c>
      <c r="E5" s="121" t="str">
        <f>D5&amp;" "&amp;""&amp;B5&amp;""&amp;"-"&amp;""&amp;C5</f>
        <v xml:space="preserve">
Pésimo 1-1</v>
      </c>
      <c r="F5" s="117"/>
      <c r="G5" s="59"/>
      <c r="H5" s="59"/>
      <c r="I5" s="59"/>
      <c r="J5" s="59"/>
    </row>
    <row r="6" spans="1:10">
      <c r="A6" s="206" t="s">
        <v>1371</v>
      </c>
      <c r="B6" s="56">
        <v>2</v>
      </c>
      <c r="C6" s="56">
        <v>2</v>
      </c>
      <c r="D6" s="207" t="s">
        <v>1422</v>
      </c>
      <c r="E6" s="121" t="str">
        <f>D6&amp;" "&amp;""&amp;B6&amp;""&amp;"-"&amp;""&amp;C6</f>
        <v>Malo 2-2</v>
      </c>
      <c r="F6" s="117"/>
      <c r="G6" s="59"/>
      <c r="H6" s="59"/>
      <c r="I6" s="59"/>
      <c r="J6" s="59"/>
    </row>
    <row r="7" spans="1:10">
      <c r="A7" s="206" t="s">
        <v>1423</v>
      </c>
      <c r="B7" s="56">
        <v>3</v>
      </c>
      <c r="C7" s="56">
        <v>3</v>
      </c>
      <c r="D7" s="207" t="s">
        <v>1424</v>
      </c>
      <c r="E7" s="121" t="str">
        <f t="shared" ref="E6:E9" si="0">D7&amp;" "&amp;""&amp;B7&amp;""&amp;"-"&amp;""&amp;C7</f>
        <v>Regular 3-3</v>
      </c>
      <c r="F7" s="117"/>
      <c r="G7" s="59"/>
      <c r="H7" s="59"/>
      <c r="I7" s="59"/>
      <c r="J7" s="59"/>
    </row>
    <row r="8" spans="1:10">
      <c r="A8" s="206" t="s">
        <v>1425</v>
      </c>
      <c r="B8" s="56">
        <v>4</v>
      </c>
      <c r="C8" s="56">
        <v>4</v>
      </c>
      <c r="D8" s="207" t="s">
        <v>1426</v>
      </c>
      <c r="E8" s="121" t="str">
        <f t="shared" si="0"/>
        <v>Bueno 4-4</v>
      </c>
      <c r="F8" s="59"/>
    </row>
    <row r="9" spans="1:10">
      <c r="A9" s="206" t="s">
        <v>1192</v>
      </c>
      <c r="B9" s="56">
        <v>5</v>
      </c>
      <c r="C9" s="56">
        <v>5</v>
      </c>
      <c r="D9" s="207" t="s">
        <v>1427</v>
      </c>
      <c r="E9" s="121" t="str">
        <f t="shared" si="0"/>
        <v>Excelente 5-5</v>
      </c>
      <c r="F9" s="59"/>
    </row>
    <row r="10" spans="1:10">
      <c r="B10" s="116"/>
      <c r="C10" s="117"/>
      <c r="D10" s="59"/>
      <c r="E10" s="118"/>
      <c r="F10" s="59"/>
    </row>
    <row r="11" spans="1:10">
      <c r="B11" s="116"/>
      <c r="C11" s="117"/>
      <c r="E11" s="118"/>
      <c r="F11" s="59"/>
    </row>
    <row r="12" spans="1:10">
      <c r="B12" s="116"/>
      <c r="C12" s="117"/>
      <c r="D12" s="59"/>
      <c r="E12" s="118"/>
      <c r="F12" s="59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7BF7-7A6B-457E-A694-4E6CF0D8629C}">
  <dimension ref="A1:U20"/>
  <sheetViews>
    <sheetView zoomScale="85" zoomScaleNormal="85" workbookViewId="0">
      <pane xSplit="1" topLeftCell="B8" activePane="topRight" state="frozen"/>
      <selection pane="topRight" activeCell="A19" sqref="A19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23.710937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Dominio'!$A$23</f>
        <v>Rango Calificación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4" t="s">
        <v>392</v>
      </c>
      <c r="B3" s="1187" t="str">
        <f>'Listado Objetos de Dominio'!$B$23</f>
        <v>Objeto de dominio que representa los intervalos de valoración permitidos para las calificaciones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945" t="str">
        <f>A18</f>
        <v>Consultar Información del Rango Calificación</v>
      </c>
    </row>
    <row r="5" spans="1:21" ht="46.5" customHeight="1">
      <c r="A5" s="11" t="str">
        <f>'Rango Calificación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'Rango Calificación Muestreo'!A2</f>
        <v>Corresponde al identificador único que identifica cada a la etiqueta y su valor de calificación en el sistema.</v>
      </c>
      <c r="U5" s="1135" t="s">
        <v>408</v>
      </c>
    </row>
    <row r="6" spans="1:21" ht="52.5" customHeight="1">
      <c r="A6" s="11" t="str">
        <f>'Rango Calificación Muestreo'!B3</f>
        <v>valorMínimo</v>
      </c>
      <c r="B6" s="5" t="s">
        <v>79</v>
      </c>
      <c r="C6" s="5"/>
      <c r="D6" s="5"/>
      <c r="E6" s="5"/>
      <c r="F6" s="5">
        <v>1</v>
      </c>
      <c r="G6" s="5">
        <v>1</v>
      </c>
      <c r="H6" s="5"/>
      <c r="I6" s="5"/>
      <c r="J6" s="5">
        <v>0</v>
      </c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13" t="s">
        <v>81</v>
      </c>
      <c r="T6" s="7" t="str">
        <f>'Rango Calificación Muestreo'!B2</f>
        <v>Corresponde al atributo que indica el valor mínimo de la calificación.</v>
      </c>
      <c r="U6" s="1135" t="s">
        <v>1428</v>
      </c>
    </row>
    <row r="7" spans="1:21" ht="48.75" customHeight="1">
      <c r="A7" s="11" t="str">
        <f>'Rango Calificación Muestreo'!C3</f>
        <v>valorMáximo</v>
      </c>
      <c r="B7" s="5" t="s">
        <v>79</v>
      </c>
      <c r="C7" s="5"/>
      <c r="D7" s="5"/>
      <c r="E7" s="5"/>
      <c r="F7" s="5">
        <v>5</v>
      </c>
      <c r="G7" s="5">
        <v>5</v>
      </c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13" t="s">
        <v>81</v>
      </c>
      <c r="T7" s="5" t="str">
        <f>'Rango Calificación Muestreo'!C2</f>
        <v>Corresponde al atributo que indica el valor máximo de la calificación.</v>
      </c>
      <c r="U7" s="1135" t="s">
        <v>1428</v>
      </c>
    </row>
    <row r="8" spans="1:21" ht="60" customHeight="1">
      <c r="A8" s="11" t="str">
        <f>'Rango Calificación Muestreo'!D3</f>
        <v>etiquetaCalificacion</v>
      </c>
      <c r="B8" s="5" t="s">
        <v>75</v>
      </c>
      <c r="C8" s="5">
        <v>1</v>
      </c>
      <c r="D8" s="5">
        <v>15</v>
      </c>
      <c r="E8" s="5"/>
      <c r="F8" s="5"/>
      <c r="G8" s="5"/>
      <c r="H8" s="5" t="s">
        <v>410</v>
      </c>
      <c r="I8" s="5" t="s">
        <v>1202</v>
      </c>
      <c r="J8" s="5"/>
      <c r="K8" s="13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81</v>
      </c>
      <c r="R8" s="13" t="s">
        <v>81</v>
      </c>
      <c r="S8" s="13" t="s">
        <v>81</v>
      </c>
      <c r="T8" s="7" t="str">
        <f>'Rango Calificación Muestreo'!D2</f>
        <v>Corresponde al atributo que describe el nivel de la calificación según el valor máximo y mínimo.</v>
      </c>
      <c r="U8" s="1135" t="s">
        <v>1429</v>
      </c>
    </row>
    <row r="9" spans="1:21">
      <c r="I9" s="89"/>
    </row>
    <row r="10" spans="1:21" ht="66.75" customHeight="1">
      <c r="A10" s="1254" t="s">
        <v>414</v>
      </c>
      <c r="B10" s="1254"/>
      <c r="C10" s="1254"/>
      <c r="G10" s="1" t="s">
        <v>418</v>
      </c>
    </row>
    <row r="11" spans="1:21">
      <c r="A11" s="113" t="s">
        <v>415</v>
      </c>
      <c r="B11" s="113" t="s">
        <v>2</v>
      </c>
      <c r="C11" s="113" t="s">
        <v>416</v>
      </c>
      <c r="U11" s="291"/>
    </row>
    <row r="12" spans="1:21">
      <c r="A12" s="1214" t="s">
        <v>1430</v>
      </c>
      <c r="B12" s="1214" t="str">
        <f>'Rango Calificación Muestreo'!E2</f>
        <v>La calificación no debe tener duplicidad entre su etiqueta y sus valores mínimo y máximo</v>
      </c>
      <c r="C12" s="232" t="str">
        <f>A6</f>
        <v>valorMínimo</v>
      </c>
      <c r="U12" s="291"/>
    </row>
    <row r="13" spans="1:21">
      <c r="A13" s="1421"/>
      <c r="B13" s="1421"/>
      <c r="C13" s="232" t="str">
        <f>A7</f>
        <v>valorMáximo</v>
      </c>
      <c r="U13" s="291"/>
    </row>
    <row r="14" spans="1:21" ht="31.5" customHeight="1">
      <c r="A14" s="1215"/>
      <c r="B14" s="1215"/>
      <c r="C14" s="232" t="str">
        <f>A8</f>
        <v>etiquetaCalificacion</v>
      </c>
      <c r="U14" s="291"/>
    </row>
    <row r="15" spans="1:21">
      <c r="U15" s="291"/>
    </row>
    <row r="16" spans="1:21">
      <c r="A16" s="316" t="s">
        <v>419</v>
      </c>
      <c r="B16" s="1244" t="s">
        <v>2</v>
      </c>
      <c r="C16" s="1207"/>
      <c r="D16" s="1178" t="s">
        <v>420</v>
      </c>
      <c r="E16" s="1202"/>
      <c r="F16" s="1202"/>
      <c r="G16" s="1202"/>
      <c r="H16" s="1202"/>
      <c r="I16" s="1179"/>
      <c r="J16" s="319"/>
      <c r="K16" s="1202" t="s">
        <v>421</v>
      </c>
      <c r="L16" s="1202"/>
      <c r="M16" s="1179"/>
      <c r="N16" s="1178" t="s">
        <v>422</v>
      </c>
      <c r="O16" s="1202"/>
      <c r="P16" s="1179"/>
      <c r="Q16" s="348"/>
      <c r="R16" s="317" t="s">
        <v>474</v>
      </c>
      <c r="S16" s="358"/>
      <c r="T16" s="290"/>
      <c r="U16" s="291"/>
    </row>
    <row r="17" spans="1:21">
      <c r="A17" s="339"/>
      <c r="B17" s="1245"/>
      <c r="C17" s="1246"/>
      <c r="D17" s="1178" t="s">
        <v>423</v>
      </c>
      <c r="E17" s="1202"/>
      <c r="F17" s="1202"/>
      <c r="G17" s="1247"/>
      <c r="H17" s="341" t="s">
        <v>424</v>
      </c>
      <c r="I17" s="341" t="s">
        <v>2</v>
      </c>
      <c r="J17" s="341" t="s">
        <v>66</v>
      </c>
      <c r="K17" s="1425" t="s">
        <v>2</v>
      </c>
      <c r="L17" s="1202"/>
      <c r="M17" s="1247"/>
      <c r="N17" s="337" t="s">
        <v>425</v>
      </c>
      <c r="O17" s="1248" t="s">
        <v>2</v>
      </c>
      <c r="P17" s="1207"/>
      <c r="Q17" s="1244" t="s">
        <v>426</v>
      </c>
      <c r="R17" s="1206"/>
      <c r="S17" s="358" t="s">
        <v>427</v>
      </c>
      <c r="T17" s="290"/>
      <c r="U17" s="291"/>
    </row>
    <row r="18" spans="1:21" ht="168.75" customHeight="1">
      <c r="A18" s="977" t="s">
        <v>1431</v>
      </c>
      <c r="B18" s="1422" t="s">
        <v>1432</v>
      </c>
      <c r="C18" s="1423"/>
      <c r="D18" s="1194" t="s">
        <v>430</v>
      </c>
      <c r="E18" s="1195"/>
      <c r="F18" s="1195"/>
      <c r="G18" s="1424"/>
      <c r="H18" s="1121" t="s">
        <v>151</v>
      </c>
      <c r="I18" s="1122" t="s">
        <v>1433</v>
      </c>
      <c r="J18" s="1123" t="s">
        <v>1434</v>
      </c>
      <c r="K18" s="1194" t="s">
        <v>1435</v>
      </c>
      <c r="L18" s="1195"/>
      <c r="M18" s="1195"/>
      <c r="N18" s="1124" t="s">
        <v>1436</v>
      </c>
      <c r="O18" s="1195" t="s">
        <v>436</v>
      </c>
      <c r="P18" s="1195"/>
      <c r="Q18" s="1194" t="s">
        <v>437</v>
      </c>
      <c r="R18" s="1424"/>
      <c r="S18" s="1120" t="s">
        <v>438</v>
      </c>
      <c r="U18" s="291"/>
    </row>
    <row r="19" spans="1:21" ht="112.5" customHeight="1">
      <c r="A19" s="981"/>
      <c r="B19" s="1426"/>
      <c r="C19" s="1427"/>
      <c r="D19" s="1428"/>
      <c r="E19" s="1429"/>
      <c r="F19" s="1429"/>
      <c r="G19" s="1430"/>
      <c r="H19" s="1127"/>
      <c r="I19" s="1127"/>
      <c r="J19" s="1125"/>
      <c r="K19" s="1431"/>
      <c r="L19" s="1432"/>
      <c r="M19" s="1432"/>
      <c r="N19" s="1128"/>
      <c r="O19" s="1129"/>
      <c r="P19" s="1129"/>
      <c r="Q19" s="1130"/>
      <c r="R19" s="1131"/>
      <c r="S19" s="1131"/>
      <c r="T19" s="291"/>
      <c r="U19" s="291"/>
    </row>
    <row r="20" spans="1:21">
      <c r="U20" s="291"/>
    </row>
  </sheetData>
  <mergeCells count="23">
    <mergeCell ref="B19:C19"/>
    <mergeCell ref="D19:G19"/>
    <mergeCell ref="K19:M19"/>
    <mergeCell ref="O18:P18"/>
    <mergeCell ref="Q18:R18"/>
    <mergeCell ref="Q17:R17"/>
    <mergeCell ref="B18:C18"/>
    <mergeCell ref="D18:G18"/>
    <mergeCell ref="K18:M18"/>
    <mergeCell ref="B16:C16"/>
    <mergeCell ref="D16:I16"/>
    <mergeCell ref="K16:M16"/>
    <mergeCell ref="N16:P16"/>
    <mergeCell ref="B17:C17"/>
    <mergeCell ref="D17:G17"/>
    <mergeCell ref="K17:M17"/>
    <mergeCell ref="O17:P17"/>
    <mergeCell ref="A1:T1"/>
    <mergeCell ref="B2:T2"/>
    <mergeCell ref="B3:T3"/>
    <mergeCell ref="A10:C10"/>
    <mergeCell ref="A12:A14"/>
    <mergeCell ref="B12:B14"/>
  </mergeCells>
  <dataValidations count="1">
    <dataValidation allowBlank="1" showInputMessage="1" showErrorMessage="1" sqref="H5:I6 H7:H8" xr:uid="{51D21DA1-B4AA-4AC0-844B-0A104395F55A}"/>
  </dataValidations>
  <hyperlinks>
    <hyperlink ref="A1" location="'Objetos de Dominio'!A1" display="Volver al inicio" xr:uid="{0DFBA37D-93EA-4D46-B2F6-8B578502122E}"/>
    <hyperlink ref="U4" location="'Objeto Dominio 2'!A16" display="'Objeto Dominio 2'!A16" xr:uid="{1E3ACE40-A2ED-4D96-9312-9C58511A563C}"/>
    <hyperlink ref="A1:T1" location="'Listado Objetos de Dominio'!A1" display="&lt;-Volver al inicio" xr:uid="{0AB8DC06-462E-4D7E-A41D-B48F7F4542CD}"/>
    <hyperlink ref="C12" location="'Rango Califi Caracterización'!A6" display="=A6" xr:uid="{A2924B7B-02EE-4BF6-B1AF-31FD5DF9F346}"/>
    <hyperlink ref="B7" location="'Linea Caracterización'!B2" display="Alfanumérico" xr:uid="{CE010B10-C5B3-4DBF-BC3B-7732CDE9F30E}"/>
    <hyperlink ref="C13" location="'Rango Califi Caracterización'!A7" display="=A7" xr:uid="{96CF2B49-7DEE-41EC-BEDB-BCE18B98AED3}"/>
    <hyperlink ref="C14" location="'Rango Califi Caracterización'!A8" display="=A8" xr:uid="{2B5FD351-DF14-45BC-A861-061C19BD11E7}"/>
    <hyperlink ref="B2:T2" location="'Listado Objetos de Dominio'!A22" display="='Listado Objetos de Dominio'!$A$22" xr:uid="{1FD6B31B-242B-4F3D-86B6-B6C4C1864F8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1C1A32E-5D84-4681-8F1E-FE7BD064513E}">
          <x14:formula1>
            <xm:f>Caracterizacion!$C$3:$C$18</xm:f>
          </x14:formula1>
          <xm:sqref>E5:E8</xm:sqref>
        </x14:dataValidation>
        <x14:dataValidation type="list" allowBlank="1" showInputMessage="1" showErrorMessage="1" xr:uid="{049C01FF-1F59-4FE8-B96E-1EDD9CD523ED}">
          <x14:formula1>
            <xm:f>Caracterizacion!$H$3:$H$4</xm:f>
          </x14:formula1>
          <xm:sqref>L5:S8</xm:sqref>
        </x14:dataValidation>
        <x14:dataValidation type="custom" allowBlank="1" showInputMessage="1" showErrorMessage="1" xr:uid="{36A54BD9-3872-4668-844D-7FE9FA8504FD}">
          <x14:formula1>
            <xm:f>Caracterizacion!$F$3</xm:f>
          </x14:formula1>
          <xm:sqref>J5</xm:sqref>
        </x14:dataValidation>
        <x14:dataValidation type="list" allowBlank="1" showInputMessage="1" showErrorMessage="1" xr:uid="{CB732E42-661C-4F2A-AC18-56654E7DB805}">
          <x14:formula1>
            <xm:f>Caracterizacion!$D$3:$D$13</xm:f>
          </x14:formula1>
          <xm:sqref>F5:G5 F8:G8</xm:sqref>
        </x14:dataValidation>
        <x14:dataValidation type="list" allowBlank="1" showInputMessage="1" showErrorMessage="1" xr:uid="{077691F8-0252-4B56-B548-EF225C69266A}">
          <x14:formula1>
            <xm:f>Caracterizacion!$A$3:$A$40</xm:f>
          </x14:formula1>
          <xm:sqref>B6:B8</xm:sqref>
        </x14:dataValidation>
        <x14:dataValidation type="list" allowBlank="1" showInputMessage="1" showErrorMessage="1" xr:uid="{3FE2CEC4-B7FD-4807-BC92-EBFD69101116}">
          <x14:formula1>
            <xm:f>Caracterizacion!$A$3:$A$14</xm:f>
          </x14:formula1>
          <xm:sqref>B5</xm:sqref>
        </x14:dataValidation>
        <x14:dataValidation type="list" allowBlank="1" showInputMessage="1" showErrorMessage="1" xr:uid="{5D2701AB-06AA-4CBE-A14F-EEAECA65FFB9}">
          <x14:formula1>
            <xm:f>Caracterizacion!$B$4:$B$26</xm:f>
          </x14:formula1>
          <xm:sqref>C5:D8</xm:sqref>
        </x14:dataValidation>
        <x14:dataValidation type="list" allowBlank="1" showInputMessage="1" showErrorMessage="1" xr:uid="{747F832D-7FB9-4D21-B2E8-99692A92D396}">
          <x14:formula1>
            <xm:f>Caracterizacion!$D$3:$D$16</xm:f>
          </x14:formula1>
          <xm:sqref>F6:G7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3D6D-9AA6-40A9-BC99-FA9E10613F9C}">
  <dimension ref="A2:E11"/>
  <sheetViews>
    <sheetView workbookViewId="0">
      <selection activeCell="C7" sqref="C7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</cols>
  <sheetData>
    <row r="2" spans="1:5" ht="46.5">
      <c r="A2" s="99" t="s">
        <v>1437</v>
      </c>
      <c r="B2" s="99" t="s">
        <v>1438</v>
      </c>
      <c r="C2" s="99" t="s">
        <v>1439</v>
      </c>
      <c r="D2" s="99" t="s">
        <v>1440</v>
      </c>
      <c r="E2" s="99" t="s">
        <v>1441</v>
      </c>
    </row>
    <row r="3" spans="1:5">
      <c r="A3" s="94" t="s">
        <v>369</v>
      </c>
      <c r="B3" s="94" t="s">
        <v>370</v>
      </c>
      <c r="C3" s="94" t="s">
        <v>1442</v>
      </c>
      <c r="D3" s="94" t="s">
        <v>1443</v>
      </c>
      <c r="E3" s="96" t="s">
        <v>371</v>
      </c>
    </row>
    <row r="4" spans="1:5">
      <c r="A4" s="74" t="s">
        <v>1444</v>
      </c>
      <c r="B4" s="56" t="s">
        <v>1445</v>
      </c>
      <c r="C4" s="56">
        <v>50</v>
      </c>
      <c r="D4" s="56">
        <v>200</v>
      </c>
      <c r="E4" s="88" t="s">
        <v>1445</v>
      </c>
    </row>
    <row r="5" spans="1:5">
      <c r="A5" s="74" t="s">
        <v>1446</v>
      </c>
      <c r="B5" s="56" t="s">
        <v>1447</v>
      </c>
      <c r="C5" s="56">
        <v>201</v>
      </c>
      <c r="D5" s="56">
        <v>400</v>
      </c>
      <c r="E5" s="88" t="s">
        <v>1447</v>
      </c>
    </row>
    <row r="6" spans="1:5">
      <c r="A6" s="74" t="s">
        <v>1448</v>
      </c>
      <c r="B6" s="56" t="s">
        <v>1449</v>
      </c>
      <c r="C6" s="56">
        <v>401</v>
      </c>
      <c r="D6" s="56">
        <v>3000</v>
      </c>
      <c r="E6" s="88" t="s">
        <v>1449</v>
      </c>
    </row>
    <row r="11" spans="1:5">
      <c r="E11" s="59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D9BC-82D4-432A-BA18-22CA6E43501C}">
  <dimension ref="A1:T19"/>
  <sheetViews>
    <sheetView zoomScale="85" zoomScaleNormal="85" workbookViewId="0">
      <pane xSplit="1" topLeftCell="G16" activePane="topRight" state="frozen"/>
      <selection pane="topRight" activeCell="A18" sqref="A18"/>
    </sheetView>
  </sheetViews>
  <sheetFormatPr defaultColWidth="11.42578125" defaultRowHeight="15"/>
  <cols>
    <col min="1" max="1" width="23.8554687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63.8554687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2.85546875" style="1" bestFit="1" customWidth="1"/>
    <col min="18" max="18" width="25" style="1" bestFit="1" customWidth="1"/>
    <col min="19" max="19" width="113.140625" style="1" customWidth="1"/>
    <col min="20" max="20" width="132.5703125" style="1" bestFit="1" customWidth="1"/>
    <col min="21" max="21" width="52.28515625" style="1" bestFit="1" customWidth="1"/>
    <col min="22" max="16384" width="11.42578125" style="1"/>
  </cols>
  <sheetData>
    <row r="1" spans="1:20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</row>
    <row r="2" spans="1:20">
      <c r="A2" s="4" t="s">
        <v>391</v>
      </c>
      <c r="B2" s="1209" t="str">
        <f>'Listado Objetos de Dominio'!$A$24</f>
        <v>Rango Cilindraje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</row>
    <row r="3" spans="1:20">
      <c r="A3" s="4" t="s">
        <v>392</v>
      </c>
      <c r="B3" s="1187" t="str">
        <f>'Listado Objetos de Dominio'!$B$24</f>
        <v>Objeto de dominio que representa los rangos de cilindraje de las motos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</row>
    <row r="4" spans="1:20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9" t="s">
        <v>404</v>
      </c>
      <c r="R4" s="9" t="s">
        <v>405</v>
      </c>
      <c r="S4" s="10" t="s">
        <v>2</v>
      </c>
      <c r="T4" s="945" t="str">
        <f>A17</f>
        <v>Consultar Información del Rango Cilindraje</v>
      </c>
    </row>
    <row r="5" spans="1:20" ht="33.75" customHeight="1">
      <c r="A5" s="11" t="str">
        <f>'Rango Cilindraje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5" t="str">
        <f>'Rango Cilindraje Muestreo'!A2</f>
        <v xml:space="preserve"> Corresponde al identificador único que va a permitir diferenciar cada uno de los rangos de cilindraje de las motocicletas en el sistema.</v>
      </c>
      <c r="T5" s="946" t="s">
        <v>408</v>
      </c>
    </row>
    <row r="6" spans="1:20" ht="39.75" customHeight="1">
      <c r="A6" s="11" t="str">
        <f>'Rango Cilindraje Muestreo'!B3</f>
        <v>nombre</v>
      </c>
      <c r="B6" s="5" t="s">
        <v>75</v>
      </c>
      <c r="C6" s="5">
        <v>1</v>
      </c>
      <c r="D6" s="5">
        <v>10</v>
      </c>
      <c r="E6" s="5"/>
      <c r="F6" s="5"/>
      <c r="G6" s="5"/>
      <c r="H6" s="5" t="s">
        <v>410</v>
      </c>
      <c r="I6" s="7" t="s">
        <v>1450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7" t="str">
        <f>'Rango Cilindraje Muestreo'!B2</f>
        <v>Corresponde al atributo que muestra el nombre del rango que clasifica las motocicletas según su cilindraje.</v>
      </c>
      <c r="T6" s="946" t="s">
        <v>1451</v>
      </c>
    </row>
    <row r="7" spans="1:20" ht="32.25" customHeight="1">
      <c r="A7" s="11" t="str">
        <f>'Rango Cilindraje Muestreo'!C3</f>
        <v>rangoDesde</v>
      </c>
      <c r="B7" s="5" t="s">
        <v>79</v>
      </c>
      <c r="C7" s="5"/>
      <c r="D7" s="5"/>
      <c r="E7" s="5"/>
      <c r="F7" s="5">
        <v>50</v>
      </c>
      <c r="G7" s="5">
        <v>400</v>
      </c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5" t="str">
        <f>'Rango Cilindraje Muestreo'!C2</f>
        <v>Corresponde al atributo que indica el valor mínimo de cilindraje en centímetros cúbicos (cc) para clasificar una motocicleta desde este rango.</v>
      </c>
      <c r="T7" s="946" t="s">
        <v>408</v>
      </c>
    </row>
    <row r="8" spans="1:20" ht="26.25" customHeight="1">
      <c r="A8" s="11" t="str">
        <f>'Rango Cilindraje Muestreo'!D3</f>
        <v>rangoHasta</v>
      </c>
      <c r="B8" s="5" t="s">
        <v>79</v>
      </c>
      <c r="C8" s="5"/>
      <c r="D8" s="5"/>
      <c r="E8" s="5"/>
      <c r="F8" s="5">
        <v>50</v>
      </c>
      <c r="G8" s="5">
        <v>3000</v>
      </c>
      <c r="H8" s="5"/>
      <c r="I8" s="5"/>
      <c r="J8" s="5"/>
      <c r="K8" s="13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81</v>
      </c>
      <c r="R8" s="13" t="s">
        <v>81</v>
      </c>
      <c r="S8" s="7" t="str">
        <f>'Rango Cilindraje Muestreo'!D2</f>
        <v>Corresponde al atributo que indica el valor máximo de cilindraje en centímetros cúbicos (cc) para clasificar una motocicleta dentro de este rango.</v>
      </c>
      <c r="T8" s="1134" t="s">
        <v>408</v>
      </c>
    </row>
    <row r="11" spans="1:20">
      <c r="A11" s="1188" t="s">
        <v>414</v>
      </c>
      <c r="B11" s="1189"/>
      <c r="C11" s="1190"/>
    </row>
    <row r="12" spans="1:20">
      <c r="A12" s="17" t="s">
        <v>415</v>
      </c>
      <c r="B12" s="16" t="s">
        <v>2</v>
      </c>
      <c r="C12" s="18" t="s">
        <v>416</v>
      </c>
      <c r="I12" s="89"/>
    </row>
    <row r="13" spans="1:20" ht="66.75" customHeight="1">
      <c r="A13" s="15" t="s">
        <v>1452</v>
      </c>
      <c r="B13" s="15" t="str">
        <f>'Rango Cilindraje Muestreo'!E2</f>
        <v xml:space="preserve"> El nombre del rango no debe de tener duplicidad en el registro de rangos de cilindraje.</v>
      </c>
      <c r="C13" s="38" t="str">
        <f>A6</f>
        <v>nombre</v>
      </c>
      <c r="G13" s="1" t="s">
        <v>418</v>
      </c>
    </row>
    <row r="15" spans="1:20">
      <c r="A15" s="316" t="s">
        <v>419</v>
      </c>
      <c r="B15" s="1244" t="s">
        <v>2</v>
      </c>
      <c r="C15" s="1206"/>
      <c r="D15" s="1178" t="s">
        <v>420</v>
      </c>
      <c r="E15" s="1202"/>
      <c r="F15" s="1202"/>
      <c r="G15" s="1202"/>
      <c r="H15" s="1202"/>
      <c r="I15" s="1179"/>
      <c r="J15" s="319"/>
      <c r="K15" s="1202" t="s">
        <v>421</v>
      </c>
      <c r="L15" s="1202"/>
      <c r="M15" s="1202"/>
      <c r="N15" s="1178" t="s">
        <v>422</v>
      </c>
      <c r="O15" s="1202"/>
      <c r="P15" s="1179"/>
      <c r="Q15" s="310"/>
      <c r="R15" s="319"/>
      <c r="S15" s="317" t="s">
        <v>474</v>
      </c>
      <c r="T15" s="290"/>
    </row>
    <row r="16" spans="1:20">
      <c r="A16" s="339"/>
      <c r="B16" s="1216"/>
      <c r="C16" s="1392"/>
      <c r="D16" s="1217" t="s">
        <v>423</v>
      </c>
      <c r="E16" s="1217"/>
      <c r="F16" s="1217"/>
      <c r="G16" s="1439"/>
      <c r="H16" s="341" t="s">
        <v>424</v>
      </c>
      <c r="I16" s="341" t="s">
        <v>2</v>
      </c>
      <c r="J16" s="341" t="s">
        <v>66</v>
      </c>
      <c r="K16" s="1373" t="s">
        <v>2</v>
      </c>
      <c r="L16" s="1217"/>
      <c r="M16" s="1439"/>
      <c r="N16" s="337" t="s">
        <v>425</v>
      </c>
      <c r="O16" s="1373" t="s">
        <v>2</v>
      </c>
      <c r="P16" s="1439"/>
      <c r="Q16" s="1373" t="s">
        <v>426</v>
      </c>
      <c r="R16" s="1217"/>
      <c r="S16" s="358" t="s">
        <v>427</v>
      </c>
      <c r="T16" s="290"/>
    </row>
    <row r="17" spans="1:20" ht="50.25" customHeight="1">
      <c r="A17" s="977" t="s">
        <v>1453</v>
      </c>
      <c r="B17" s="1422" t="s">
        <v>1454</v>
      </c>
      <c r="C17" s="1438"/>
      <c r="D17" s="1194" t="s">
        <v>430</v>
      </c>
      <c r="E17" s="1195"/>
      <c r="F17" s="1195"/>
      <c r="G17" s="1195"/>
      <c r="H17" s="1121" t="s">
        <v>153</v>
      </c>
      <c r="I17" s="1122" t="s">
        <v>1455</v>
      </c>
      <c r="J17" s="950" t="s">
        <v>1456</v>
      </c>
      <c r="K17" s="1194" t="s">
        <v>434</v>
      </c>
      <c r="L17" s="1195"/>
      <c r="M17" s="1195"/>
      <c r="N17" s="950"/>
      <c r="O17" s="1194"/>
      <c r="P17" s="1424"/>
      <c r="Q17" s="1195"/>
      <c r="R17" s="1195"/>
      <c r="S17" s="1124"/>
    </row>
    <row r="18" spans="1:20" ht="112.5" customHeight="1">
      <c r="A18" s="1132"/>
      <c r="B18" s="1436"/>
      <c r="C18" s="1437"/>
      <c r="D18" s="1192"/>
      <c r="E18" s="1193"/>
      <c r="F18" s="1193"/>
      <c r="G18" s="1193"/>
      <c r="H18" s="949"/>
      <c r="I18" s="949"/>
      <c r="J18" s="948"/>
      <c r="K18" s="1433"/>
      <c r="L18" s="1434"/>
      <c r="M18" s="1434"/>
      <c r="N18" s="1125" t="s">
        <v>1457</v>
      </c>
      <c r="O18" s="1428" t="s">
        <v>436</v>
      </c>
      <c r="P18" s="1430"/>
      <c r="Q18" s="1429" t="s">
        <v>437</v>
      </c>
      <c r="R18" s="1429"/>
      <c r="S18" s="1133" t="s">
        <v>438</v>
      </c>
      <c r="T18" s="291"/>
    </row>
    <row r="19" spans="1:20" ht="109.5" customHeight="1">
      <c r="A19" s="1132"/>
      <c r="B19" s="1436"/>
      <c r="C19" s="1437"/>
      <c r="D19" s="1192"/>
      <c r="E19" s="1193"/>
      <c r="F19" s="1193"/>
      <c r="G19" s="1193"/>
      <c r="H19" s="949"/>
      <c r="I19" s="949"/>
      <c r="J19" s="948"/>
      <c r="K19" s="1433"/>
      <c r="L19" s="1434"/>
      <c r="M19" s="1435"/>
      <c r="N19" s="1126" t="s">
        <v>1458</v>
      </c>
      <c r="O19" s="1429" t="s">
        <v>1459</v>
      </c>
      <c r="P19" s="1429"/>
      <c r="Q19" s="1428" t="s">
        <v>437</v>
      </c>
      <c r="R19" s="1429"/>
      <c r="S19" s="1125" t="s">
        <v>438</v>
      </c>
    </row>
  </sheetData>
  <mergeCells count="28">
    <mergeCell ref="A1:S1"/>
    <mergeCell ref="B2:S2"/>
    <mergeCell ref="B3:S3"/>
    <mergeCell ref="A11:C11"/>
    <mergeCell ref="B15:C15"/>
    <mergeCell ref="K15:M15"/>
    <mergeCell ref="D15:I15"/>
    <mergeCell ref="N15:P15"/>
    <mergeCell ref="B16:C16"/>
    <mergeCell ref="D16:G16"/>
    <mergeCell ref="K16:M16"/>
    <mergeCell ref="O16:P16"/>
    <mergeCell ref="Q16:R16"/>
    <mergeCell ref="B17:C17"/>
    <mergeCell ref="D17:G17"/>
    <mergeCell ref="K17:M17"/>
    <mergeCell ref="O17:P17"/>
    <mergeCell ref="Q17:R17"/>
    <mergeCell ref="B18:C18"/>
    <mergeCell ref="D18:G18"/>
    <mergeCell ref="K18:M18"/>
    <mergeCell ref="O18:P18"/>
    <mergeCell ref="Q18:R18"/>
    <mergeCell ref="O19:P19"/>
    <mergeCell ref="Q19:R19"/>
    <mergeCell ref="K19:M19"/>
    <mergeCell ref="D19:G19"/>
    <mergeCell ref="B19:C19"/>
  </mergeCells>
  <dataValidations count="1">
    <dataValidation allowBlank="1" showInputMessage="1" showErrorMessage="1" sqref="H5:I8" xr:uid="{EA575671-D00B-423F-9C60-41B24326D983}"/>
  </dataValidations>
  <hyperlinks>
    <hyperlink ref="A1" location="'Objetos de Dominio'!A1" display="Volver al inicio" xr:uid="{E5FE9698-4421-48CA-99FA-B67D86290A40}"/>
    <hyperlink ref="T4" location="'Objeto Dominio 2'!A16" display="'Objeto Dominio 2'!A16" xr:uid="{01D3DC09-08B2-4605-B54F-70142E6493EE}"/>
    <hyperlink ref="A1:S1" location="'Listado Objetos de Dominio'!A1" display="&lt;-Volver al inicio" xr:uid="{34AA494A-DD07-4281-A531-92DFEC9FC262}"/>
    <hyperlink ref="C13" location="'Rango Cilindaje Caracterización'!A6" display="=A6" xr:uid="{7831B437-778F-4AC1-8583-A82A9809BC90}"/>
    <hyperlink ref="A13" location="'Rango Cilindaje Caracterización'!A6" display="=A6" xr:uid="{16D71B6A-2DFE-448B-B654-5AAD366A1A31}"/>
    <hyperlink ref="B2:S2" location="'Listado Objetos de Dominio'!A23" display="='Listado Objetos de Dominio'!$A$23" xr:uid="{C1B3378A-4B68-4416-BEB8-396D2325F235}"/>
    <hyperlink ref="A17:B17" location="'Objeto Dominio 2'!R4" display="Reponsabilidad 2" xr:uid="{0C179171-D948-4BFE-96C5-8761C84A0685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custom" allowBlank="1" showInputMessage="1" showErrorMessage="1" xr:uid="{FA6A38CA-C727-498F-B266-75F0C455E61D}">
          <x14:formula1>
            <xm:f>Caracterizacion!$F$3</xm:f>
          </x14:formula1>
          <xm:sqref>J5</xm:sqref>
        </x14:dataValidation>
        <x14:dataValidation type="list" allowBlank="1" showInputMessage="1" showErrorMessage="1" xr:uid="{EE17A151-D8E8-45A9-970D-562377F1D1C6}">
          <x14:formula1>
            <xm:f>Caracterizacion!$H$3:$H$4</xm:f>
          </x14:formula1>
          <xm:sqref>L5:R8</xm:sqref>
        </x14:dataValidation>
        <x14:dataValidation type="list" allowBlank="1" showInputMessage="1" showErrorMessage="1" xr:uid="{E4CA2911-C7D0-4C38-9E1C-3BF049F31E90}">
          <x14:formula1>
            <xm:f>Caracterizacion!$D$3:$D$8</xm:f>
          </x14:formula1>
          <xm:sqref>F5:G8</xm:sqref>
        </x14:dataValidation>
        <x14:dataValidation type="list" allowBlank="1" showInputMessage="1" showErrorMessage="1" xr:uid="{41984CAC-EF6F-4125-8798-B4EA04DB40C0}">
          <x14:formula1>
            <xm:f>Caracterizacion!$C$3:$C$18</xm:f>
          </x14:formula1>
          <xm:sqref>E5:E8</xm:sqref>
        </x14:dataValidation>
        <x14:dataValidation type="list" allowBlank="1" showInputMessage="1" showErrorMessage="1" xr:uid="{E91DC920-A456-4A4C-8547-76A2C5454D30}">
          <x14:formula1>
            <xm:f>Caracterizacion!$A$3:$A$14</xm:f>
          </x14:formula1>
          <xm:sqref>B5</xm:sqref>
        </x14:dataValidation>
        <x14:dataValidation type="list" allowBlank="1" showInputMessage="1" showErrorMessage="1" xr:uid="{B75DB89F-F967-46EE-86EB-17B8E57506BF}">
          <x14:formula1>
            <xm:f>Caracterizacion!$A$3:$A$40</xm:f>
          </x14:formula1>
          <xm:sqref>B6:B8</xm:sqref>
        </x14:dataValidation>
        <x14:dataValidation type="list" allowBlank="1" showInputMessage="1" showErrorMessage="1" xr:uid="{171C3B21-CFD2-4A13-8FE3-7FF4ACE4899A}">
          <x14:formula1>
            <xm:f>Caracterizacion!$B$4:$B$19</xm:f>
          </x14:formula1>
          <xm:sqref>C5:D8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C345-3C74-4278-AB45-293BDA966586}">
  <dimension ref="A2:F15"/>
  <sheetViews>
    <sheetView workbookViewId="0">
      <selection activeCell="F27" sqref="F27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  <col min="6" max="6" width="21" bestFit="1" customWidth="1"/>
  </cols>
  <sheetData>
    <row r="2" spans="1:6" ht="46.5">
      <c r="A2" s="99" t="s">
        <v>1460</v>
      </c>
      <c r="B2" s="99" t="s">
        <v>1461</v>
      </c>
      <c r="C2" s="99" t="s">
        <v>1462</v>
      </c>
      <c r="D2" s="99" t="s">
        <v>1463</v>
      </c>
      <c r="E2" s="99" t="s">
        <v>1464</v>
      </c>
      <c r="F2" s="99" t="s">
        <v>1465</v>
      </c>
    </row>
    <row r="3" spans="1:6">
      <c r="A3" s="145" t="s">
        <v>369</v>
      </c>
      <c r="B3" s="145" t="s">
        <v>370</v>
      </c>
      <c r="C3" s="146" t="s">
        <v>1466</v>
      </c>
      <c r="D3" s="145" t="s">
        <v>1467</v>
      </c>
      <c r="E3" s="146" t="s">
        <v>153</v>
      </c>
      <c r="F3" s="110" t="s">
        <v>371</v>
      </c>
    </row>
    <row r="4" spans="1:6">
      <c r="A4" s="75" t="s">
        <v>1342</v>
      </c>
      <c r="B4" s="112" t="s">
        <v>1468</v>
      </c>
      <c r="C4" s="63" t="s">
        <v>1233</v>
      </c>
      <c r="D4" s="56">
        <v>100</v>
      </c>
      <c r="E4" s="63" t="s">
        <v>1445</v>
      </c>
      <c r="F4" s="110" t="s">
        <v>1343</v>
      </c>
    </row>
    <row r="5" spans="1:6">
      <c r="A5" s="75" t="s">
        <v>1345</v>
      </c>
      <c r="B5" s="112" t="s">
        <v>1469</v>
      </c>
      <c r="C5" s="63" t="s">
        <v>1233</v>
      </c>
      <c r="D5" s="56">
        <v>100</v>
      </c>
      <c r="E5" s="63" t="s">
        <v>1445</v>
      </c>
      <c r="F5" s="110" t="s">
        <v>1346</v>
      </c>
    </row>
    <row r="6" spans="1:6">
      <c r="A6" s="75" t="s">
        <v>1348</v>
      </c>
      <c r="B6" s="112" t="s">
        <v>1470</v>
      </c>
      <c r="C6" s="63" t="s">
        <v>1238</v>
      </c>
      <c r="D6" s="56">
        <v>150</v>
      </c>
      <c r="E6" s="111" t="s">
        <v>1445</v>
      </c>
      <c r="F6" s="110" t="s">
        <v>1350</v>
      </c>
    </row>
    <row r="7" spans="1:6">
      <c r="A7" s="75" t="s">
        <v>1352</v>
      </c>
      <c r="B7" s="112">
        <v>300</v>
      </c>
      <c r="C7" s="63" t="s">
        <v>1241</v>
      </c>
      <c r="D7" s="56">
        <v>300</v>
      </c>
      <c r="E7" s="111" t="s">
        <v>1445</v>
      </c>
      <c r="F7" s="110" t="s">
        <v>1354</v>
      </c>
    </row>
    <row r="8" spans="1:6">
      <c r="A8" s="75" t="s">
        <v>1356</v>
      </c>
      <c r="B8" s="112">
        <v>100</v>
      </c>
      <c r="C8" s="63" t="s">
        <v>1243</v>
      </c>
      <c r="D8" s="56">
        <v>100</v>
      </c>
      <c r="E8" s="111" t="s">
        <v>1445</v>
      </c>
      <c r="F8" s="110" t="s">
        <v>1358</v>
      </c>
    </row>
    <row r="9" spans="1:6">
      <c r="A9" s="75" t="s">
        <v>1360</v>
      </c>
      <c r="B9" s="112" t="s">
        <v>1471</v>
      </c>
      <c r="C9" s="63" t="s">
        <v>1245</v>
      </c>
      <c r="D9" s="56">
        <v>250</v>
      </c>
      <c r="E9" s="111" t="s">
        <v>1445</v>
      </c>
      <c r="F9" s="110" t="s">
        <v>1362</v>
      </c>
    </row>
    <row r="10" spans="1:6">
      <c r="A10" s="75" t="s">
        <v>1364</v>
      </c>
      <c r="B10" s="112">
        <v>125</v>
      </c>
      <c r="C10" s="63" t="s">
        <v>1248</v>
      </c>
      <c r="D10" s="56">
        <v>125</v>
      </c>
      <c r="E10" s="111" t="s">
        <v>1445</v>
      </c>
      <c r="F10" s="110" t="s">
        <v>1366</v>
      </c>
    </row>
    <row r="11" spans="1:6">
      <c r="A11" s="75" t="s">
        <v>1368</v>
      </c>
      <c r="B11" s="112" t="s">
        <v>1472</v>
      </c>
      <c r="C11" s="63" t="s">
        <v>1250</v>
      </c>
      <c r="D11" s="56">
        <v>300</v>
      </c>
      <c r="E11" s="111" t="s">
        <v>1445</v>
      </c>
      <c r="F11" s="110" t="s">
        <v>1369</v>
      </c>
    </row>
    <row r="12" spans="1:6">
      <c r="A12" s="75" t="s">
        <v>1371</v>
      </c>
      <c r="B12" s="112">
        <v>15</v>
      </c>
      <c r="C12" s="63" t="s">
        <v>1250</v>
      </c>
      <c r="D12" s="56">
        <v>150</v>
      </c>
      <c r="E12" s="111" t="s">
        <v>1445</v>
      </c>
      <c r="F12" s="110" t="s">
        <v>1373</v>
      </c>
    </row>
    <row r="14" spans="1:6">
      <c r="E14" s="147"/>
    </row>
    <row r="15" spans="1:6">
      <c r="E15" s="58"/>
    </row>
  </sheetData>
  <hyperlinks>
    <hyperlink ref="C3" location="Linea!A2" display="linea" xr:uid="{7BDB2996-138B-4AA1-9724-47FDDE65500B}"/>
    <hyperlink ref="E3" location="'Rango Cilindraje'!A2" display="rangoCilindraje" xr:uid="{34B4B0FA-F98F-4131-9AB8-386B4D742575}"/>
    <hyperlink ref="C4" location="Linea!D3" display="Boxer" xr:uid="{D285B1AF-0387-4FD9-8ECC-5579D5CCE51F}"/>
    <hyperlink ref="E4" location="'Rengo Cilindraje'!E3" display="Bajo" xr:uid="{F491D6A0-15A1-41DE-9829-EC308B38D452}"/>
    <hyperlink ref="C5" location="Linea!D3" display="Boxer" xr:uid="{3EEABD49-4969-4B24-BF5F-918B7A6ADBFF}"/>
    <hyperlink ref="E5" location="'Rengo Cilindraje'!E3" display="Bajo" xr:uid="{3A7A361A-961C-45AF-A64C-02198FEC0355}"/>
    <hyperlink ref="C6" location="Linea!D5" display="XR" xr:uid="{98E5596C-133C-4CCC-847C-DA383AE6E3BE}"/>
    <hyperlink ref="C7" location="Linea!D6" display="XRE" xr:uid="{6B27CD37-BB1B-4BF6-862A-6876066F4E76}"/>
    <hyperlink ref="C8" location="Linea!D7" display="CB" xr:uid="{F9215D71-50D5-4FF1-B5E9-26020B32A043}"/>
    <hyperlink ref="C9" location="Linea!D8" display="FZ" xr:uid="{5ABE6003-671F-4AC0-85E4-C498B935FE34}"/>
    <hyperlink ref="C10" location="Linea!D9" display="XTZ" xr:uid="{C4ACF44A-D426-4921-9999-2D5EBE7E407A}"/>
    <hyperlink ref="C11" location="Linea!D10" display="MT" xr:uid="{B1F875F8-A0A8-44AE-ADEA-884827F08D57}"/>
    <hyperlink ref="C12" location="Linea!D10" display="MT" xr:uid="{0B109C9E-AC87-4240-81AE-9C07440D79F5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5032-27D7-43A6-B7B2-D02B4F4294FE}">
  <dimension ref="A1:V31"/>
  <sheetViews>
    <sheetView zoomScale="85" zoomScaleNormal="85" workbookViewId="0">
      <pane xSplit="1" topLeftCell="B21" activePane="topRight" state="frozen"/>
      <selection pane="topRight" activeCell="A23" sqref="A23"/>
    </sheetView>
  </sheetViews>
  <sheetFormatPr defaultColWidth="11.42578125" defaultRowHeight="15"/>
  <cols>
    <col min="1" max="1" width="23.8554687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21.710937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63.28515625" style="1" customWidth="1"/>
    <col min="23" max="16384" width="11.42578125" style="1"/>
  </cols>
  <sheetData>
    <row r="1" spans="1:22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2">
      <c r="A2" s="4" t="s">
        <v>391</v>
      </c>
      <c r="B2" s="1209" t="str">
        <f>'Listado Objetos de Dominio'!$A$21</f>
        <v>Referencia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2">
      <c r="A3" s="4" t="s">
        <v>392</v>
      </c>
      <c r="B3" s="1187" t="str">
        <f>'Listado Objetos de Dominio'!$B$21</f>
        <v>Objeto de dominio que representa la versión específica de una motocicleta dentro de una línea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2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945" t="str">
        <f>A21</f>
        <v>Consultar Información de la Referencia Motocicleta</v>
      </c>
      <c r="V4" s="37" t="str">
        <f>A22</f>
        <v>Agregar Referencia de la Motocicleta</v>
      </c>
    </row>
    <row r="5" spans="1:22">
      <c r="A5" s="11" t="str">
        <f>'Referecia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'Referecia Muestreo'!A2</f>
        <v xml:space="preserve"> Corresponde al identificador único que va a permitir diferenciar cada uno de las referencias de motocicletas.</v>
      </c>
      <c r="U5" s="946" t="s">
        <v>468</v>
      </c>
      <c r="V5" s="296" t="s">
        <v>467</v>
      </c>
    </row>
    <row r="6" spans="1:22" ht="20.25" customHeight="1">
      <c r="A6" s="11" t="str">
        <f>'Referecia Muestreo'!B3</f>
        <v>nombre</v>
      </c>
      <c r="B6" s="5" t="s">
        <v>75</v>
      </c>
      <c r="C6" s="5">
        <v>1</v>
      </c>
      <c r="D6" s="5">
        <v>65</v>
      </c>
      <c r="E6" s="5"/>
      <c r="F6" s="5"/>
      <c r="G6" s="5"/>
      <c r="H6" s="5" t="s">
        <v>410</v>
      </c>
      <c r="I6" s="5" t="s">
        <v>1473</v>
      </c>
      <c r="J6" s="5"/>
      <c r="K6" s="13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81</v>
      </c>
      <c r="S6" s="13" t="s">
        <v>81</v>
      </c>
      <c r="T6" s="7" t="str">
        <f>'Referecia Muestreo'!B2</f>
        <v>Corresponde al atributo nombre de la referencia de una motocicleta.</v>
      </c>
      <c r="U6" s="946" t="s">
        <v>765</v>
      </c>
      <c r="V6" s="296" t="s">
        <v>467</v>
      </c>
    </row>
    <row r="7" spans="1:22">
      <c r="A7" s="11" t="str">
        <f>'Referecia Muestreo'!C3</f>
        <v>línea</v>
      </c>
      <c r="B7" s="144" t="s">
        <v>1466</v>
      </c>
      <c r="C7" s="5"/>
      <c r="D7" s="5"/>
      <c r="E7" s="5"/>
      <c r="F7" s="5"/>
      <c r="G7" s="5"/>
      <c r="H7" s="5"/>
      <c r="I7" s="5"/>
      <c r="J7" s="5"/>
      <c r="K7" s="13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81</v>
      </c>
      <c r="R7" s="13" t="s">
        <v>81</v>
      </c>
      <c r="S7" s="13" t="s">
        <v>81</v>
      </c>
      <c r="T7" s="5" t="str">
        <f>'Referecia Muestreo'!C2</f>
        <v>Corresponde a la línea que se asocia a la referencia de una motocicleta.</v>
      </c>
      <c r="U7" s="946" t="s">
        <v>1474</v>
      </c>
      <c r="V7" s="296" t="s">
        <v>467</v>
      </c>
    </row>
    <row r="8" spans="1:22">
      <c r="A8" s="11" t="str">
        <f>'Referecia Muestreo'!D3</f>
        <v>cilindraje</v>
      </c>
      <c r="B8" s="144" t="s">
        <v>1475</v>
      </c>
      <c r="C8" s="5"/>
      <c r="D8" s="5"/>
      <c r="E8" s="5"/>
      <c r="F8" s="5">
        <v>50</v>
      </c>
      <c r="G8" s="5">
        <v>3000</v>
      </c>
      <c r="H8" s="5"/>
      <c r="I8" s="5"/>
      <c r="J8" s="5"/>
      <c r="K8" s="13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81</v>
      </c>
      <c r="R8" s="13" t="s">
        <v>81</v>
      </c>
      <c r="S8" s="13" t="s">
        <v>81</v>
      </c>
      <c r="T8" s="7" t="str">
        <f>'Referecia Muestreo'!D2</f>
        <v>Corresponde al atributo cilindraje que indica la capacidad del motor de una motocicleta.</v>
      </c>
      <c r="U8" s="1134" t="s">
        <v>468</v>
      </c>
      <c r="V8" s="401" t="s">
        <v>467</v>
      </c>
    </row>
    <row r="9" spans="1:22">
      <c r="A9" s="11" t="str">
        <f>'Referecia Muestreo'!E3</f>
        <v>rangoCilindraje</v>
      </c>
      <c r="B9" s="144" t="s">
        <v>1475</v>
      </c>
      <c r="C9" s="5"/>
      <c r="D9" s="5"/>
      <c r="E9" s="5"/>
      <c r="F9" s="5"/>
      <c r="G9" s="5"/>
      <c r="H9" s="5"/>
      <c r="I9" s="5"/>
      <c r="J9" s="5"/>
      <c r="K9" s="13"/>
      <c r="L9" s="13" t="s">
        <v>81</v>
      </c>
      <c r="M9" s="13" t="s">
        <v>81</v>
      </c>
      <c r="N9" s="13" t="s">
        <v>81</v>
      </c>
      <c r="O9" s="13" t="s">
        <v>81</v>
      </c>
      <c r="P9" s="13" t="s">
        <v>78</v>
      </c>
      <c r="Q9" s="13" t="s">
        <v>81</v>
      </c>
      <c r="R9" s="13" t="s">
        <v>81</v>
      </c>
      <c r="S9" s="13" t="s">
        <v>81</v>
      </c>
      <c r="T9" s="7" t="str">
        <f>'Referecia Muestreo'!E2</f>
        <v>Corresponde al rango del cilindraje que clasifica la referencia de una motocicleta.</v>
      </c>
      <c r="U9" s="1134" t="s">
        <v>1476</v>
      </c>
      <c r="V9" s="401" t="s">
        <v>467</v>
      </c>
    </row>
    <row r="11" spans="1:22">
      <c r="A11" s="1254" t="s">
        <v>414</v>
      </c>
      <c r="B11" s="1254"/>
      <c r="C11" s="1254"/>
    </row>
    <row r="12" spans="1:22" ht="0.75" customHeight="1">
      <c r="A12" s="113" t="s">
        <v>415</v>
      </c>
      <c r="B12" s="113" t="s">
        <v>2</v>
      </c>
      <c r="C12" s="113" t="s">
        <v>416</v>
      </c>
      <c r="I12" s="89"/>
    </row>
    <row r="13" spans="1:22" ht="68.25" customHeight="1">
      <c r="A13" s="1214" t="s">
        <v>1477</v>
      </c>
      <c r="B13" s="1214" t="str">
        <f>'Referecia Muestreo'!F2</f>
        <v>La referencia de la motocicleta no debe tener duplicidad en la combinación con su línea respectiva.</v>
      </c>
      <c r="C13" s="232" t="str">
        <f>A6</f>
        <v>nombre</v>
      </c>
      <c r="G13" s="1" t="s">
        <v>418</v>
      </c>
    </row>
    <row r="14" spans="1:22">
      <c r="A14" s="1215"/>
      <c r="B14" s="1215"/>
      <c r="C14" s="232" t="str">
        <f>A7</f>
        <v>línea</v>
      </c>
    </row>
    <row r="19" spans="1:21">
      <c r="A19" s="316" t="s">
        <v>419</v>
      </c>
      <c r="B19" s="1244" t="s">
        <v>2</v>
      </c>
      <c r="C19" s="1206"/>
      <c r="D19" s="1178" t="s">
        <v>420</v>
      </c>
      <c r="E19" s="1202"/>
      <c r="F19" s="1202"/>
      <c r="G19" s="1202"/>
      <c r="H19" s="1202"/>
      <c r="I19" s="1179"/>
      <c r="J19" s="319"/>
      <c r="K19" s="1202" t="s">
        <v>421</v>
      </c>
      <c r="L19" s="1202"/>
      <c r="M19" s="1202"/>
      <c r="N19" s="1178" t="s">
        <v>422</v>
      </c>
      <c r="O19" s="1202"/>
      <c r="P19" s="1179"/>
      <c r="Q19" s="348"/>
      <c r="R19" s="317" t="s">
        <v>474</v>
      </c>
      <c r="S19" s="333"/>
      <c r="T19" s="290"/>
      <c r="U19" s="290"/>
    </row>
    <row r="20" spans="1:21">
      <c r="A20" s="339"/>
      <c r="B20" s="1216"/>
      <c r="C20" s="1392"/>
      <c r="D20" s="1217" t="s">
        <v>423</v>
      </c>
      <c r="E20" s="1217"/>
      <c r="F20" s="1217"/>
      <c r="G20" s="1439"/>
      <c r="H20" s="341" t="s">
        <v>424</v>
      </c>
      <c r="I20" s="341" t="s">
        <v>2</v>
      </c>
      <c r="J20" s="341" t="s">
        <v>66</v>
      </c>
      <c r="K20" s="1373" t="s">
        <v>2</v>
      </c>
      <c r="L20" s="1217"/>
      <c r="M20" s="1439"/>
      <c r="N20" s="337" t="s">
        <v>425</v>
      </c>
      <c r="O20" s="1373" t="s">
        <v>2</v>
      </c>
      <c r="P20" s="1217"/>
      <c r="Q20" s="1244" t="s">
        <v>426</v>
      </c>
      <c r="R20" s="1207"/>
      <c r="S20" s="333" t="s">
        <v>427</v>
      </c>
      <c r="T20" s="290"/>
      <c r="U20" s="290"/>
    </row>
    <row r="21" spans="1:21" ht="143.25" customHeight="1">
      <c r="A21" s="977" t="s">
        <v>1478</v>
      </c>
      <c r="B21" s="1422" t="s">
        <v>1479</v>
      </c>
      <c r="C21" s="1438"/>
      <c r="D21" s="1194" t="s">
        <v>430</v>
      </c>
      <c r="E21" s="1195"/>
      <c r="F21" s="1195"/>
      <c r="G21" s="1195"/>
      <c r="H21" s="1121" t="s">
        <v>147</v>
      </c>
      <c r="I21" s="1122" t="s">
        <v>1480</v>
      </c>
      <c r="J21" s="1123" t="s">
        <v>1481</v>
      </c>
      <c r="K21" s="1194" t="s">
        <v>1482</v>
      </c>
      <c r="L21" s="1195"/>
      <c r="M21" s="1195"/>
      <c r="N21" s="950" t="s">
        <v>1483</v>
      </c>
      <c r="O21" s="1194" t="s">
        <v>436</v>
      </c>
      <c r="P21" s="1195"/>
      <c r="Q21" s="1194" t="s">
        <v>437</v>
      </c>
      <c r="R21" s="1195"/>
      <c r="S21" s="1124" t="s">
        <v>438</v>
      </c>
    </row>
    <row r="22" spans="1:21" ht="105.75" customHeight="1">
      <c r="A22" s="660" t="s">
        <v>1484</v>
      </c>
      <c r="B22" s="1441" t="s">
        <v>1485</v>
      </c>
      <c r="C22" s="1442"/>
      <c r="D22" s="1347" t="s">
        <v>441</v>
      </c>
      <c r="E22" s="1347"/>
      <c r="F22" s="1347"/>
      <c r="G22" s="1347"/>
      <c r="H22" s="661" t="s">
        <v>147</v>
      </c>
      <c r="I22" s="662" t="s">
        <v>1486</v>
      </c>
      <c r="J22" s="663"/>
      <c r="K22" s="1443"/>
      <c r="L22" s="1443"/>
      <c r="M22" s="1443"/>
      <c r="N22" s="663" t="s">
        <v>1487</v>
      </c>
      <c r="O22" s="1347" t="s">
        <v>444</v>
      </c>
      <c r="P22" s="1347"/>
      <c r="Q22" s="1346" t="s">
        <v>437</v>
      </c>
      <c r="R22" s="1440"/>
      <c r="S22" s="664" t="s">
        <v>438</v>
      </c>
      <c r="T22" s="291"/>
      <c r="U22" s="291"/>
    </row>
    <row r="23" spans="1:21" ht="79.5" customHeight="1">
      <c r="A23" s="665"/>
      <c r="B23" s="665"/>
      <c r="C23" s="666"/>
      <c r="D23" s="588"/>
      <c r="E23" s="588"/>
      <c r="F23" s="588"/>
      <c r="G23" s="588"/>
      <c r="H23" s="667"/>
      <c r="I23" s="668"/>
      <c r="J23" s="565"/>
      <c r="K23" s="669"/>
      <c r="L23" s="669"/>
      <c r="M23" s="669"/>
      <c r="N23" s="563" t="s">
        <v>1488</v>
      </c>
      <c r="O23" s="1346" t="s">
        <v>1489</v>
      </c>
      <c r="P23" s="1440"/>
      <c r="Q23" s="1346" t="s">
        <v>1490</v>
      </c>
      <c r="R23" s="1347"/>
      <c r="S23" s="663" t="s">
        <v>438</v>
      </c>
      <c r="T23" s="291"/>
      <c r="U23" s="291"/>
    </row>
    <row r="24" spans="1:21" ht="79.5" customHeight="1">
      <c r="A24" s="670"/>
      <c r="B24" s="670"/>
      <c r="C24" s="671"/>
      <c r="D24" s="591"/>
      <c r="E24" s="591"/>
      <c r="F24" s="591"/>
      <c r="G24" s="591"/>
      <c r="H24" s="672"/>
      <c r="I24" s="673"/>
      <c r="J24" s="674"/>
      <c r="K24" s="675"/>
      <c r="L24" s="675"/>
      <c r="M24" s="675"/>
      <c r="N24" s="676" t="s">
        <v>1491</v>
      </c>
      <c r="O24" s="1304" t="s">
        <v>1492</v>
      </c>
      <c r="P24" s="1305"/>
      <c r="Q24" s="1371" t="s">
        <v>483</v>
      </c>
      <c r="R24" s="1374"/>
      <c r="S24" s="590" t="s">
        <v>1005</v>
      </c>
      <c r="T24" s="291"/>
      <c r="U24" s="291"/>
    </row>
    <row r="31" spans="1:21">
      <c r="B31" s="1" t="s">
        <v>418</v>
      </c>
    </row>
  </sheetData>
  <mergeCells count="29">
    <mergeCell ref="O23:P23"/>
    <mergeCell ref="Q23:R23"/>
    <mergeCell ref="O24:P24"/>
    <mergeCell ref="Q24:R24"/>
    <mergeCell ref="B22:C22"/>
    <mergeCell ref="D22:G22"/>
    <mergeCell ref="K22:M22"/>
    <mergeCell ref="O21:P21"/>
    <mergeCell ref="Q22:R22"/>
    <mergeCell ref="O22:P22"/>
    <mergeCell ref="Q20:R20"/>
    <mergeCell ref="B21:C21"/>
    <mergeCell ref="D21:G21"/>
    <mergeCell ref="K21:M21"/>
    <mergeCell ref="Q21:R21"/>
    <mergeCell ref="B19:C19"/>
    <mergeCell ref="D19:I19"/>
    <mergeCell ref="K19:M19"/>
    <mergeCell ref="N19:P19"/>
    <mergeCell ref="B20:C20"/>
    <mergeCell ref="D20:G20"/>
    <mergeCell ref="K20:M20"/>
    <mergeCell ref="O20:P20"/>
    <mergeCell ref="A1:T1"/>
    <mergeCell ref="B2:T2"/>
    <mergeCell ref="B3:T3"/>
    <mergeCell ref="A11:C11"/>
    <mergeCell ref="B13:B14"/>
    <mergeCell ref="A13:A14"/>
  </mergeCells>
  <conditionalFormatting sqref="N24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6 H8:I9 H7" xr:uid="{77A144AC-1F57-4ABF-99C1-97B1A8E4C539}"/>
  </dataValidations>
  <hyperlinks>
    <hyperlink ref="A1" location="'Objetos de Dominio'!A1" display="Volver al inicio" xr:uid="{632DF7DA-D3AD-404A-A4B1-AD63823DA64C}"/>
    <hyperlink ref="U4" location="'Objeto Dominio 2'!A16" display="'Objeto Dominio 2'!A16" xr:uid="{652A5A60-5ABD-4510-86E7-1BBCCB7F5DCF}"/>
    <hyperlink ref="A1:T1" location="'Listado Objetos de Dominio'!A1" display="&lt;-Volver al inicio" xr:uid="{2F19D48E-B73D-4D22-A699-6D9F11D48992}"/>
    <hyperlink ref="C13" location="'Modelo Caracterización'!A6" display="=A6" xr:uid="{2186588D-5CCC-462C-9889-CA83B9313F59}"/>
    <hyperlink ref="A13" location="'Rango Cilindaje Caracterización'!A6" display="=A6" xr:uid="{65F8DE45-0171-4D75-A221-8B39AA4B4F66}"/>
    <hyperlink ref="B7" location="'Linea Caracterización'!B2" display="Alfanumérico" xr:uid="{5AA84240-1C7A-4EE2-934C-746BD78C424A}"/>
    <hyperlink ref="B9" location="'Rango Cilindaje Caracterización'!B2" display="Alfanumérico" xr:uid="{0B57C381-341D-4E00-B519-2F0F49ADE434}"/>
    <hyperlink ref="C14" location="'Modelo Caracterización'!A7" display="=A7" xr:uid="{F183470C-87BC-476B-8F55-91BBB86C372C}"/>
    <hyperlink ref="B2:T2" location="'Listado Objetos de Dominio'!A20" display="='Listado Objetos de Dominio'!$A$20" xr:uid="{9509CB51-6948-49E4-892D-FA72B36BB0E3}"/>
    <hyperlink ref="V4" location="'Objeto Dominio 2'!A16" display="'Objeto Dominio 2'!A16" xr:uid="{1FFA6350-2EF6-45D7-A2AD-E25F4DC47B3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1DB6C85-5DAB-4051-9E1D-A9CD0C2F39A0}">
          <x14:formula1>
            <xm:f>Caracterizacion!$C$3:$C$18</xm:f>
          </x14:formula1>
          <xm:sqref>E5:E9</xm:sqref>
        </x14:dataValidation>
        <x14:dataValidation type="list" allowBlank="1" showInputMessage="1" showErrorMessage="1" xr:uid="{ECFD9CB7-1A31-4580-889D-C25351562FFA}">
          <x14:formula1>
            <xm:f>Caracterizacion!$D$3:$D$8</xm:f>
          </x14:formula1>
          <xm:sqref>F5:G9</xm:sqref>
        </x14:dataValidation>
        <x14:dataValidation type="list" allowBlank="1" showInputMessage="1" showErrorMessage="1" xr:uid="{094F1006-25E9-476E-8D10-8C9A3575EE90}">
          <x14:formula1>
            <xm:f>Caracterizacion!$H$3:$H$4</xm:f>
          </x14:formula1>
          <xm:sqref>L5:S9</xm:sqref>
        </x14:dataValidation>
        <x14:dataValidation type="custom" allowBlank="1" showInputMessage="1" showErrorMessage="1" xr:uid="{5BD02B23-B734-4E7B-86E7-F1E61FA92C72}">
          <x14:formula1>
            <xm:f>Caracterizacion!$F$3</xm:f>
          </x14:formula1>
          <xm:sqref>J5</xm:sqref>
        </x14:dataValidation>
        <x14:dataValidation type="list" allowBlank="1" showInputMessage="1" showErrorMessage="1" xr:uid="{9973FD0F-A1A1-4E26-B68C-86F928EF4545}">
          <x14:formula1>
            <xm:f>Caracterizacion!$A$3:$A$40</xm:f>
          </x14:formula1>
          <xm:sqref>B6:B9</xm:sqref>
        </x14:dataValidation>
        <x14:dataValidation type="list" allowBlank="1" showInputMessage="1" showErrorMessage="1" xr:uid="{E801E8E6-8416-4251-BC1F-475EF494EA2B}">
          <x14:formula1>
            <xm:f>Caracterizacion!$A$3:$A$14</xm:f>
          </x14:formula1>
          <xm:sqref>B5</xm:sqref>
        </x14:dataValidation>
        <x14:dataValidation type="list" allowBlank="1" showInputMessage="1" showErrorMessage="1" xr:uid="{E7975E75-DA32-482D-AAA6-4485A8688F1A}">
          <x14:formula1>
            <xm:f>Caracterizacion!$B$4:$B$19</xm:f>
          </x14:formula1>
          <xm:sqref>C5:D5</xm:sqref>
        </x14:dataValidation>
        <x14:dataValidation type="list" allowBlank="1" showInputMessage="1" showErrorMessage="1" xr:uid="{D6344C73-A103-4ED3-ADAD-9C132B24B36A}">
          <x14:formula1>
            <xm:f>Caracterizacion!$B$4:$B$505</xm:f>
          </x14:formula1>
          <xm:sqref>C6:D9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AF59-03F1-4175-93C5-83F75FDFB4D7}">
  <dimension ref="A2:M12"/>
  <sheetViews>
    <sheetView topLeftCell="G1" workbookViewId="0">
      <selection activeCell="F3" sqref="F3:F7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  <col min="6" max="6" width="21" bestFit="1" customWidth="1"/>
    <col min="7" max="7" width="18.5703125" customWidth="1"/>
    <col min="8" max="8" width="26.140625" bestFit="1" customWidth="1"/>
    <col min="9" max="9" width="24.85546875" bestFit="1" customWidth="1"/>
    <col min="10" max="10" width="69.85546875" bestFit="1" customWidth="1"/>
    <col min="11" max="11" width="18.42578125" bestFit="1" customWidth="1"/>
    <col min="12" max="13" width="18" bestFit="1" customWidth="1"/>
  </cols>
  <sheetData>
    <row r="2" spans="1:13" ht="57.75">
      <c r="A2" s="99" t="s">
        <v>1493</v>
      </c>
      <c r="B2" s="99" t="s">
        <v>1494</v>
      </c>
      <c r="C2" s="99" t="s">
        <v>1495</v>
      </c>
      <c r="D2" s="148" t="s">
        <v>1496</v>
      </c>
      <c r="E2" s="99" t="s">
        <v>1497</v>
      </c>
      <c r="F2" s="99" t="s">
        <v>1498</v>
      </c>
      <c r="G2" s="99" t="s">
        <v>1499</v>
      </c>
      <c r="H2" s="99" t="s">
        <v>1500</v>
      </c>
      <c r="I2" s="99" t="s">
        <v>1501</v>
      </c>
      <c r="J2" s="157" t="s">
        <v>1502</v>
      </c>
      <c r="K2" s="150" t="s">
        <v>1503</v>
      </c>
      <c r="L2" s="99" t="s">
        <v>1504</v>
      </c>
      <c r="M2" s="99" t="s">
        <v>1505</v>
      </c>
    </row>
    <row r="3" spans="1:13">
      <c r="A3" s="194" t="s">
        <v>369</v>
      </c>
      <c r="B3" s="56" t="s">
        <v>1506</v>
      </c>
      <c r="C3" s="56" t="s">
        <v>370</v>
      </c>
      <c r="D3" s="56" t="s">
        <v>1507</v>
      </c>
      <c r="E3" s="56" t="s">
        <v>1508</v>
      </c>
      <c r="F3" s="56" t="s">
        <v>1509</v>
      </c>
      <c r="G3" s="56" t="s">
        <v>1510</v>
      </c>
      <c r="H3" s="248" t="s">
        <v>1511</v>
      </c>
      <c r="I3" s="248" t="s">
        <v>1512</v>
      </c>
      <c r="J3" s="249" t="s">
        <v>1513</v>
      </c>
      <c r="K3" s="236" t="s">
        <v>509</v>
      </c>
      <c r="L3" s="57" t="s">
        <v>509</v>
      </c>
      <c r="M3" s="250" t="s">
        <v>371</v>
      </c>
    </row>
    <row r="4" spans="1:13">
      <c r="A4" s="251" t="s">
        <v>1514</v>
      </c>
      <c r="B4" s="56">
        <v>1568214</v>
      </c>
      <c r="C4" s="56" t="s">
        <v>1515</v>
      </c>
      <c r="D4" s="56" t="s">
        <v>1516</v>
      </c>
      <c r="E4" s="56" t="s">
        <v>1516</v>
      </c>
      <c r="F4" s="63" t="s">
        <v>1517</v>
      </c>
      <c r="G4" s="56">
        <v>3217858550</v>
      </c>
      <c r="H4" s="248" t="s">
        <v>81</v>
      </c>
      <c r="I4" s="248" t="s">
        <v>78</v>
      </c>
      <c r="J4" s="249" t="s">
        <v>1518</v>
      </c>
      <c r="K4" s="236" t="s">
        <v>1517</v>
      </c>
      <c r="L4" s="57">
        <v>3217858550</v>
      </c>
      <c r="M4" s="250">
        <v>1568214</v>
      </c>
    </row>
    <row r="5" spans="1:13">
      <c r="A5" s="251" t="s">
        <v>1519</v>
      </c>
      <c r="B5" s="56">
        <v>45654565</v>
      </c>
      <c r="C5" s="56" t="s">
        <v>1520</v>
      </c>
      <c r="D5" s="56" t="s">
        <v>1521</v>
      </c>
      <c r="E5" s="56" t="s">
        <v>1522</v>
      </c>
      <c r="F5" s="63" t="s">
        <v>1523</v>
      </c>
      <c r="G5" s="56">
        <v>3122123037</v>
      </c>
      <c r="H5" s="248" t="s">
        <v>81</v>
      </c>
      <c r="I5" s="248" t="s">
        <v>78</v>
      </c>
      <c r="J5" s="249" t="s">
        <v>1524</v>
      </c>
      <c r="K5" s="236" t="s">
        <v>1523</v>
      </c>
      <c r="L5" s="57">
        <v>3122123037</v>
      </c>
      <c r="M5" s="250">
        <v>45654565</v>
      </c>
    </row>
    <row r="6" spans="1:13">
      <c r="A6" s="251" t="s">
        <v>1525</v>
      </c>
      <c r="B6" s="56">
        <v>756632414</v>
      </c>
      <c r="C6" s="56" t="s">
        <v>1526</v>
      </c>
      <c r="D6" s="56" t="s">
        <v>1527</v>
      </c>
      <c r="E6" s="56" t="s">
        <v>1528</v>
      </c>
      <c r="F6" s="63" t="s">
        <v>1529</v>
      </c>
      <c r="G6" s="56">
        <v>3168254795</v>
      </c>
      <c r="H6" s="248" t="s">
        <v>81</v>
      </c>
      <c r="I6" s="248" t="s">
        <v>81</v>
      </c>
      <c r="J6" s="249" t="s">
        <v>1530</v>
      </c>
      <c r="K6" s="236" t="s">
        <v>1529</v>
      </c>
      <c r="L6" s="57">
        <v>3168254795</v>
      </c>
      <c r="M6" s="250">
        <v>756632414</v>
      </c>
    </row>
    <row r="7" spans="1:13" ht="28.5" customHeight="1">
      <c r="A7" s="251" t="s">
        <v>1531</v>
      </c>
      <c r="B7" s="56">
        <v>1036956622</v>
      </c>
      <c r="C7" s="56" t="s">
        <v>1532</v>
      </c>
      <c r="D7" s="56" t="s">
        <v>1533</v>
      </c>
      <c r="E7" s="56" t="s">
        <v>1534</v>
      </c>
      <c r="F7" s="63" t="s">
        <v>1535</v>
      </c>
      <c r="G7" s="56">
        <v>3016546782</v>
      </c>
      <c r="H7" s="248" t="s">
        <v>78</v>
      </c>
      <c r="I7" s="248" t="s">
        <v>78</v>
      </c>
      <c r="J7" s="249" t="s">
        <v>1536</v>
      </c>
      <c r="K7" s="236" t="s">
        <v>1535</v>
      </c>
      <c r="L7" s="57">
        <v>3016546782</v>
      </c>
      <c r="M7" s="250">
        <v>1036956622</v>
      </c>
    </row>
    <row r="8" spans="1:13">
      <c r="B8" s="116"/>
      <c r="C8" s="117"/>
      <c r="D8" s="59"/>
      <c r="E8" s="118"/>
      <c r="F8" s="59"/>
    </row>
    <row r="9" spans="1:13">
      <c r="B9" s="116"/>
      <c r="C9" s="117"/>
      <c r="D9" s="59"/>
      <c r="E9" s="118"/>
      <c r="F9" s="59"/>
    </row>
    <row r="10" spans="1:13">
      <c r="B10" s="116"/>
      <c r="C10" s="117"/>
      <c r="D10" s="59"/>
      <c r="E10" s="118"/>
      <c r="F10" s="59"/>
    </row>
    <row r="11" spans="1:13">
      <c r="B11" s="116"/>
      <c r="C11" s="117"/>
      <c r="D11" s="59"/>
      <c r="E11" s="118"/>
      <c r="F11" s="59"/>
    </row>
    <row r="12" spans="1:13">
      <c r="B12" s="116"/>
      <c r="C12" s="117"/>
      <c r="D12" s="59"/>
      <c r="E12" s="118"/>
      <c r="F12" s="59"/>
    </row>
  </sheetData>
  <hyperlinks>
    <hyperlink ref="F4" r:id="rId1" xr:uid="{E2A00129-E26E-4C7D-A609-DEE4A61EEBA2}"/>
    <hyperlink ref="F5" r:id="rId2" xr:uid="{9FE25CE0-92ED-49B4-80FB-C82F8C575F73}"/>
    <hyperlink ref="F6" r:id="rId3" xr:uid="{D11DA1B3-B858-411B-A317-E520C951AB01}"/>
    <hyperlink ref="F7" r:id="rId4" xr:uid="{060180D2-EDEC-4F9E-9593-EDE4C2A2444E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37A5-EF0F-4838-A971-1AE984B9057F}">
  <dimension ref="A1:AL50"/>
  <sheetViews>
    <sheetView zoomScale="85" zoomScaleNormal="85" workbookViewId="0">
      <pane xSplit="1" topLeftCell="B30" activePane="topRight" state="frozen"/>
      <selection pane="topRight" activeCell="F31" sqref="F31"/>
    </sheetView>
  </sheetViews>
  <sheetFormatPr defaultColWidth="11.42578125" defaultRowHeight="15"/>
  <cols>
    <col min="1" max="1" width="23.8554687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24.42578125" style="1" customWidth="1"/>
    <col min="6" max="6" width="25.85546875" style="1" customWidth="1"/>
    <col min="7" max="7" width="28.5703125" style="1" bestFit="1" customWidth="1"/>
    <col min="8" max="8" width="55.42578125" style="1" customWidth="1"/>
    <col min="9" max="9" width="103.140625" style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8.140625" style="1" customWidth="1"/>
    <col min="17" max="17" width="15.7109375" style="1" customWidth="1"/>
    <col min="18" max="18" width="26" style="1" customWidth="1"/>
    <col min="19" max="19" width="25" style="1" bestFit="1" customWidth="1"/>
    <col min="20" max="20" width="123.28515625" style="1" customWidth="1"/>
    <col min="21" max="21" width="54.4257812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66.85546875" style="1" customWidth="1"/>
    <col min="26" max="26" width="52.28515625" style="1" bestFit="1" customWidth="1"/>
    <col min="27" max="27" width="66.42578125" style="1" customWidth="1"/>
    <col min="28" max="28" width="51.28515625" style="1" customWidth="1"/>
    <col min="29" max="16384" width="11.42578125" style="1"/>
  </cols>
  <sheetData>
    <row r="1" spans="1:28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8">
      <c r="A2" s="4" t="s">
        <v>391</v>
      </c>
      <c r="B2" s="1186" t="str">
        <f>'Listado Objetos de Dominio'!$A$11</f>
        <v>Represéntate sede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8">
      <c r="A3" s="4" t="s">
        <v>392</v>
      </c>
      <c r="B3" s="1187" t="str">
        <f>'Listado Objetos de Dominio'!$B$29</f>
        <v>Objeto de dominio que representa la persona registrada que puede buscar o calificar servicios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8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A26</f>
        <v>Registrar Información del Representante Sede</v>
      </c>
      <c r="V4" s="35" t="str">
        <f>A31</f>
        <v>Modificar Información del Representante Sede</v>
      </c>
      <c r="W4" s="36" t="str">
        <f>A35</f>
        <v>Eliminar Información del Representante Sede</v>
      </c>
      <c r="X4" s="756" t="str">
        <f>A39</f>
        <v>Consultar Información detallada  del Representante Sede</v>
      </c>
      <c r="Y4" s="1109" t="str">
        <f>A41</f>
        <v>Consultar Información General del Representante Sede</v>
      </c>
      <c r="Z4" s="1107" t="str">
        <f>A43</f>
        <v>Restablecer la  Clave Representante Sede</v>
      </c>
      <c r="AA4" s="1108" t="str">
        <f>A46</f>
        <v>Modificar la Clave Representante Sede</v>
      </c>
      <c r="AB4" s="455" t="str">
        <f>A49</f>
        <v>Autenticar Información del Representante Sede</v>
      </c>
    </row>
    <row r="5" spans="1:28">
      <c r="A5" s="11" t="str">
        <f>'Representante Sede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78</v>
      </c>
      <c r="M5" s="13" t="s">
        <v>78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78</v>
      </c>
      <c r="S5" s="13" t="s">
        <v>78</v>
      </c>
      <c r="T5" s="5" t="str">
        <f>'Representante Sede Muestreo'!A2</f>
        <v>Corresponde al identificador único que identifica cada representante sede en el sistema</v>
      </c>
      <c r="U5" s="401" t="s">
        <v>467</v>
      </c>
      <c r="V5" s="39" t="s">
        <v>1537</v>
      </c>
      <c r="W5" s="43" t="s">
        <v>467</v>
      </c>
      <c r="X5" s="1113" t="s">
        <v>468</v>
      </c>
      <c r="Y5" s="1110" t="s">
        <v>468</v>
      </c>
      <c r="Z5" s="453" t="s">
        <v>467</v>
      </c>
      <c r="AA5" s="457" t="s">
        <v>409</v>
      </c>
      <c r="AB5" s="458" t="s">
        <v>467</v>
      </c>
    </row>
    <row r="6" spans="1:28" ht="32.25" customHeight="1">
      <c r="A6" s="11" t="str">
        <f>'Representante Sede Muestreo'!B3</f>
        <v>cedula</v>
      </c>
      <c r="B6" s="5" t="s">
        <v>75</v>
      </c>
      <c r="C6" s="5">
        <v>7</v>
      </c>
      <c r="D6" s="5">
        <v>10</v>
      </c>
      <c r="E6" s="5"/>
      <c r="F6" s="5"/>
      <c r="G6" s="5"/>
      <c r="H6" s="5" t="s">
        <v>410</v>
      </c>
      <c r="I6" s="5" t="s">
        <v>1538</v>
      </c>
      <c r="J6" s="5"/>
      <c r="K6" s="13"/>
      <c r="L6" s="13" t="s">
        <v>78</v>
      </c>
      <c r="M6" s="13" t="s">
        <v>78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78</v>
      </c>
      <c r="S6" s="13" t="s">
        <v>81</v>
      </c>
      <c r="T6" s="7" t="str">
        <f>'Representante Sede Muestreo'!B2</f>
        <v>Corresponde al atributo que indica el número de documento de identidad del representante sede</v>
      </c>
      <c r="U6" s="401" t="s">
        <v>467</v>
      </c>
      <c r="V6" s="39" t="s">
        <v>1539</v>
      </c>
      <c r="W6" s="43" t="s">
        <v>933</v>
      </c>
      <c r="X6" s="1113" t="s">
        <v>1105</v>
      </c>
      <c r="Y6" s="1111" t="s">
        <v>408</v>
      </c>
      <c r="Z6" s="453" t="s">
        <v>933</v>
      </c>
      <c r="AA6" s="457" t="s">
        <v>933</v>
      </c>
      <c r="AB6" s="458" t="s">
        <v>933</v>
      </c>
    </row>
    <row r="7" spans="1:28" ht="30.75">
      <c r="A7" s="11" t="str">
        <f>'Representante Sede Muestreo'!C3</f>
        <v>nombre</v>
      </c>
      <c r="B7" s="5" t="s">
        <v>75</v>
      </c>
      <c r="C7" s="5">
        <v>1</v>
      </c>
      <c r="D7" s="5">
        <v>120</v>
      </c>
      <c r="E7" s="5"/>
      <c r="F7" s="5"/>
      <c r="G7" s="5"/>
      <c r="H7" s="5" t="s">
        <v>410</v>
      </c>
      <c r="I7" s="5" t="s">
        <v>1202</v>
      </c>
      <c r="J7" s="5"/>
      <c r="K7" s="13"/>
      <c r="L7" s="13" t="s">
        <v>78</v>
      </c>
      <c r="M7" s="13" t="s">
        <v>78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5" t="str">
        <f>'Representante Sede Muestreo'!C2</f>
        <v>Corresponde al atributo que indica el nombre del representante sede</v>
      </c>
      <c r="U7" s="401" t="s">
        <v>467</v>
      </c>
      <c r="V7" s="39" t="s">
        <v>1540</v>
      </c>
      <c r="W7" s="43" t="s">
        <v>933</v>
      </c>
      <c r="X7" s="1113" t="s">
        <v>1105</v>
      </c>
      <c r="Y7" s="1111" t="s">
        <v>408</v>
      </c>
      <c r="Z7" s="453" t="s">
        <v>933</v>
      </c>
      <c r="AA7" s="457" t="s">
        <v>933</v>
      </c>
      <c r="AB7" s="458" t="s">
        <v>933</v>
      </c>
    </row>
    <row r="8" spans="1:28" ht="54.75" customHeight="1">
      <c r="A8" s="11" t="str">
        <f>'Representante Sede Muestreo'!D3</f>
        <v>primerApellido</v>
      </c>
      <c r="B8" s="5" t="s">
        <v>75</v>
      </c>
      <c r="C8" s="5">
        <v>1</v>
      </c>
      <c r="D8" s="5">
        <v>120</v>
      </c>
      <c r="E8" s="5"/>
      <c r="F8" s="5"/>
      <c r="G8" s="5"/>
      <c r="H8" s="5" t="s">
        <v>410</v>
      </c>
      <c r="I8" s="5" t="s">
        <v>1202</v>
      </c>
      <c r="J8" s="5"/>
      <c r="K8" s="13"/>
      <c r="L8" s="13" t="s">
        <v>78</v>
      </c>
      <c r="M8" s="13" t="s">
        <v>78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'Representante Sede Muestreo'!D2</f>
        <v>Corresponde al atributo que indica el primer apellido del representante sede</v>
      </c>
      <c r="U8" s="401" t="s">
        <v>467</v>
      </c>
      <c r="V8" s="39" t="s">
        <v>1540</v>
      </c>
      <c r="W8" s="43" t="s">
        <v>933</v>
      </c>
      <c r="X8" s="1113" t="s">
        <v>1105</v>
      </c>
      <c r="Y8" s="1111" t="s">
        <v>408</v>
      </c>
      <c r="Z8" s="453" t="s">
        <v>933</v>
      </c>
      <c r="AA8" s="457" t="s">
        <v>933</v>
      </c>
      <c r="AB8" s="458" t="s">
        <v>933</v>
      </c>
    </row>
    <row r="9" spans="1:28" ht="50.25" customHeight="1">
      <c r="A9" s="11" t="str">
        <f>'Representante Sede Muestreo'!E3</f>
        <v>segundoApellido</v>
      </c>
      <c r="B9" s="5" t="s">
        <v>75</v>
      </c>
      <c r="C9" s="5">
        <v>1</v>
      </c>
      <c r="D9" s="5">
        <v>120</v>
      </c>
      <c r="E9" s="5"/>
      <c r="F9" s="5"/>
      <c r="G9" s="5"/>
      <c r="H9" s="5" t="s">
        <v>410</v>
      </c>
      <c r="I9" s="5" t="s">
        <v>1202</v>
      </c>
      <c r="J9" s="5"/>
      <c r="K9" s="13"/>
      <c r="L9" s="13" t="s">
        <v>78</v>
      </c>
      <c r="M9" s="13" t="s">
        <v>78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'Representante Sede Muestreo'!E2</f>
        <v>Corresponde al atributo que indica el segundo apellido del representante sede</v>
      </c>
      <c r="U9" s="401" t="s">
        <v>467</v>
      </c>
      <c r="V9" s="39" t="s">
        <v>1540</v>
      </c>
      <c r="W9" s="43" t="s">
        <v>933</v>
      </c>
      <c r="X9" s="1113" t="s">
        <v>1105</v>
      </c>
      <c r="Y9" s="1111" t="s">
        <v>408</v>
      </c>
      <c r="Z9" s="453" t="s">
        <v>933</v>
      </c>
      <c r="AA9" s="457" t="s">
        <v>933</v>
      </c>
      <c r="AB9" s="458" t="s">
        <v>933</v>
      </c>
    </row>
    <row r="10" spans="1:28" ht="30.75">
      <c r="A10" s="11" t="str">
        <f>'Representante Sede Muestreo'!F3</f>
        <v>email</v>
      </c>
      <c r="B10" s="5" t="s">
        <v>75</v>
      </c>
      <c r="C10" s="5">
        <v>1</v>
      </c>
      <c r="D10" s="5">
        <v>250</v>
      </c>
      <c r="E10" s="5"/>
      <c r="F10" s="5"/>
      <c r="G10" s="5"/>
      <c r="H10" s="144" t="s">
        <v>1541</v>
      </c>
      <c r="I10" s="7"/>
      <c r="J10" s="5"/>
      <c r="K10" s="13"/>
      <c r="L10" s="13" t="s">
        <v>78</v>
      </c>
      <c r="M10" s="13" t="s">
        <v>78</v>
      </c>
      <c r="N10" s="13" t="s">
        <v>81</v>
      </c>
      <c r="O10" s="13" t="s">
        <v>81</v>
      </c>
      <c r="P10" s="13" t="s">
        <v>78</v>
      </c>
      <c r="Q10" s="13" t="s">
        <v>78</v>
      </c>
      <c r="R10" s="13" t="s">
        <v>78</v>
      </c>
      <c r="S10" s="13" t="s">
        <v>81</v>
      </c>
      <c r="T10" s="7" t="str">
        <f>'Representante Sede Muestreo'!F2</f>
        <v>Corresponde al atributo que indica el correo electrónico del representante sede</v>
      </c>
      <c r="U10" s="401" t="s">
        <v>467</v>
      </c>
      <c r="V10" s="39" t="s">
        <v>1540</v>
      </c>
      <c r="W10" s="43" t="s">
        <v>933</v>
      </c>
      <c r="X10" s="1113" t="s">
        <v>1105</v>
      </c>
      <c r="Y10" s="1111" t="s">
        <v>1542</v>
      </c>
      <c r="Z10" s="453" t="s">
        <v>467</v>
      </c>
      <c r="AA10" s="457" t="s">
        <v>409</v>
      </c>
      <c r="AB10" s="458" t="s">
        <v>467</v>
      </c>
    </row>
    <row r="11" spans="1:28" ht="30.75">
      <c r="A11" s="11" t="str">
        <f>'Representante Sede Muestreo'!G3</f>
        <v>celular</v>
      </c>
      <c r="B11" s="5" t="s">
        <v>75</v>
      </c>
      <c r="C11" s="5">
        <v>10</v>
      </c>
      <c r="D11" s="5">
        <v>10</v>
      </c>
      <c r="E11" s="5"/>
      <c r="F11" s="5"/>
      <c r="G11" s="5"/>
      <c r="H11" s="5" t="s">
        <v>1543</v>
      </c>
      <c r="I11" s="5" t="s">
        <v>1544</v>
      </c>
      <c r="J11" s="5"/>
      <c r="K11" s="13"/>
      <c r="L11" s="13" t="s">
        <v>78</v>
      </c>
      <c r="M11" s="13" t="s">
        <v>78</v>
      </c>
      <c r="N11" s="13" t="s">
        <v>81</v>
      </c>
      <c r="O11" s="13" t="s">
        <v>81</v>
      </c>
      <c r="P11" s="13" t="s">
        <v>78</v>
      </c>
      <c r="Q11" s="13" t="s">
        <v>78</v>
      </c>
      <c r="R11" s="13" t="s">
        <v>78</v>
      </c>
      <c r="S11" s="13" t="s">
        <v>81</v>
      </c>
      <c r="T11" s="7" t="str">
        <f>'Representante Sede Muestreo'!G2</f>
        <v>Corresponde al atributo que indica el número de celular del representante sede</v>
      </c>
      <c r="U11" s="401" t="s">
        <v>467</v>
      </c>
      <c r="V11" s="39" t="s">
        <v>1540</v>
      </c>
      <c r="W11" s="43" t="s">
        <v>933</v>
      </c>
      <c r="X11" s="1113" t="s">
        <v>934</v>
      </c>
      <c r="Y11" s="1111" t="s">
        <v>934</v>
      </c>
      <c r="Z11" s="453" t="s">
        <v>467</v>
      </c>
      <c r="AA11" s="457" t="s">
        <v>409</v>
      </c>
      <c r="AB11" s="458" t="s">
        <v>933</v>
      </c>
    </row>
    <row r="12" spans="1:28">
      <c r="A12" s="11" t="str">
        <f>'Representante Sede Muestreo'!H3</f>
        <v>emailConfirmado</v>
      </c>
      <c r="B12" s="5" t="s">
        <v>89</v>
      </c>
      <c r="C12" s="5"/>
      <c r="D12" s="5"/>
      <c r="E12" s="5"/>
      <c r="F12" s="5"/>
      <c r="G12" s="5"/>
      <c r="H12" s="5"/>
      <c r="I12" s="5"/>
      <c r="J12" s="5"/>
      <c r="K12" s="13"/>
      <c r="L12" s="13" t="s">
        <v>81</v>
      </c>
      <c r="M12" s="13" t="s">
        <v>81</v>
      </c>
      <c r="N12" s="13" t="s">
        <v>81</v>
      </c>
      <c r="O12" s="13" t="s">
        <v>81</v>
      </c>
      <c r="P12" s="13" t="s">
        <v>78</v>
      </c>
      <c r="Q12" s="13" t="s">
        <v>78</v>
      </c>
      <c r="R12" s="13" t="s">
        <v>78</v>
      </c>
      <c r="S12" s="13" t="s">
        <v>81</v>
      </c>
      <c r="T12" s="7" t="str">
        <f>'Representante Sede Muestreo'!F2</f>
        <v>Corresponde al atributo que indica el correo electrónico del representante sede</v>
      </c>
      <c r="U12" s="401" t="s">
        <v>467</v>
      </c>
      <c r="V12" s="39" t="s">
        <v>1540</v>
      </c>
      <c r="W12" s="43" t="s">
        <v>933</v>
      </c>
      <c r="X12" s="1113" t="s">
        <v>468</v>
      </c>
      <c r="Y12" s="1111" t="s">
        <v>468</v>
      </c>
      <c r="Z12" s="453" t="s">
        <v>467</v>
      </c>
      <c r="AA12" s="457" t="s">
        <v>413</v>
      </c>
      <c r="AB12" s="458" t="s">
        <v>933</v>
      </c>
    </row>
    <row r="13" spans="1:28">
      <c r="A13" s="11" t="str">
        <f>'Representante Sede Muestreo'!I3</f>
        <v>numeroCelularConfirmado</v>
      </c>
      <c r="B13" s="5" t="s">
        <v>89</v>
      </c>
      <c r="C13" s="5"/>
      <c r="D13" s="5"/>
      <c r="E13" s="5"/>
      <c r="F13" s="5"/>
      <c r="G13" s="5"/>
      <c r="H13" s="5"/>
      <c r="I13" s="5"/>
      <c r="J13" s="5"/>
      <c r="K13" s="13"/>
      <c r="L13" s="13" t="s">
        <v>81</v>
      </c>
      <c r="M13" s="13" t="s">
        <v>81</v>
      </c>
      <c r="N13" s="13" t="s">
        <v>81</v>
      </c>
      <c r="O13" s="13" t="s">
        <v>81</v>
      </c>
      <c r="P13" s="13" t="s">
        <v>78</v>
      </c>
      <c r="Q13" s="13" t="s">
        <v>78</v>
      </c>
      <c r="R13" s="13" t="s">
        <v>78</v>
      </c>
      <c r="S13" s="13" t="s">
        <v>81</v>
      </c>
      <c r="T13" s="5" t="str">
        <f>'Representante Sede Muestreo'!I2</f>
        <v>Corresponde al atributo que indica si el número de celular del representante sede ha sido confirmado
numeroCelularConfirmado</v>
      </c>
      <c r="U13" s="401" t="s">
        <v>467</v>
      </c>
      <c r="V13" s="39" t="s">
        <v>1540</v>
      </c>
      <c r="W13" s="43" t="s">
        <v>933</v>
      </c>
      <c r="X13" s="1113" t="s">
        <v>468</v>
      </c>
      <c r="Y13" s="1111" t="s">
        <v>468</v>
      </c>
      <c r="Z13" s="453" t="s">
        <v>467</v>
      </c>
      <c r="AA13" s="457" t="s">
        <v>413</v>
      </c>
      <c r="AB13" s="458" t="s">
        <v>933</v>
      </c>
    </row>
    <row r="14" spans="1:28">
      <c r="A14" s="11" t="s">
        <v>1513</v>
      </c>
      <c r="B14" s="5" t="s">
        <v>75</v>
      </c>
      <c r="C14" s="5">
        <v>8</v>
      </c>
      <c r="D14" s="5">
        <v>50</v>
      </c>
      <c r="E14" s="5"/>
      <c r="F14" s="5"/>
      <c r="G14" s="5"/>
      <c r="H14" s="5" t="s">
        <v>410</v>
      </c>
      <c r="I14" s="5" t="s">
        <v>1202</v>
      </c>
      <c r="J14" s="5"/>
      <c r="K14" s="13"/>
      <c r="L14" s="13" t="s">
        <v>81</v>
      </c>
      <c r="M14" s="13" t="s">
        <v>81</v>
      </c>
      <c r="N14" s="13" t="s">
        <v>81</v>
      </c>
      <c r="O14" s="13" t="s">
        <v>81</v>
      </c>
      <c r="P14" s="13" t="s">
        <v>78</v>
      </c>
      <c r="Q14" s="13" t="s">
        <v>78</v>
      </c>
      <c r="R14" s="13" t="s">
        <v>78</v>
      </c>
      <c r="S14" s="13" t="s">
        <v>81</v>
      </c>
      <c r="T14" s="7" t="str">
        <f>'Representante Sede Muestreo'!J2</f>
        <v>Corresponde al atributo que indica la contraseña del representante sede</v>
      </c>
      <c r="U14" s="401" t="s">
        <v>467</v>
      </c>
      <c r="V14" s="39" t="s">
        <v>1540</v>
      </c>
      <c r="W14" s="43" t="s">
        <v>467</v>
      </c>
      <c r="X14" s="1113" t="s">
        <v>468</v>
      </c>
      <c r="Y14" s="1112" t="s">
        <v>468</v>
      </c>
      <c r="Z14" s="453" t="s">
        <v>413</v>
      </c>
      <c r="AA14" s="457" t="s">
        <v>413</v>
      </c>
      <c r="AB14" s="458" t="s">
        <v>467</v>
      </c>
    </row>
    <row r="16" spans="1:28">
      <c r="A16" s="1254" t="s">
        <v>414</v>
      </c>
      <c r="B16" s="1254"/>
      <c r="C16" s="1254"/>
      <c r="G16" s="1" t="s">
        <v>418</v>
      </c>
    </row>
    <row r="17" spans="1:38">
      <c r="A17" s="113" t="s">
        <v>415</v>
      </c>
      <c r="B17" s="113" t="s">
        <v>2</v>
      </c>
      <c r="C17" s="113" t="s">
        <v>416</v>
      </c>
    </row>
    <row r="18" spans="1:38" ht="63.75" customHeight="1">
      <c r="A18" s="108" t="s">
        <v>1545</v>
      </c>
      <c r="B18" s="108" t="str">
        <f>'Representante Sede Muestreo'!K2</f>
        <v>El representante sede no debe tener duplicidad en su correo electrónico</v>
      </c>
      <c r="C18" s="232" t="str">
        <f>A10</f>
        <v>email</v>
      </c>
    </row>
    <row r="19" spans="1:38" ht="72" customHeight="1">
      <c r="A19" s="108" t="s">
        <v>1546</v>
      </c>
      <c r="B19" s="108" t="str">
        <f>'Representante Sede Muestreo'!L2</f>
        <v>El representante sede no debe tener duplicidad en su número de celular</v>
      </c>
      <c r="C19" s="232" t="str">
        <f>A11</f>
        <v>celular</v>
      </c>
    </row>
    <row r="20" spans="1:38" ht="81.75" customHeight="1">
      <c r="A20" s="108" t="s">
        <v>1547</v>
      </c>
      <c r="B20" s="108" t="str">
        <f>'Representante Sede Muestreo'!M2</f>
        <v>El representante sede no debe tener duplicidad en su número de cédula</v>
      </c>
      <c r="C20" s="232" t="str">
        <f>A6</f>
        <v>cedula</v>
      </c>
    </row>
    <row r="23" spans="1:38">
      <c r="A23" s="536"/>
      <c r="B23" s="536"/>
      <c r="C23" s="536"/>
      <c r="D23" s="536"/>
      <c r="E23" s="536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6"/>
      <c r="Q23" s="536"/>
      <c r="R23" s="536"/>
      <c r="S23" s="536"/>
    </row>
    <row r="24" spans="1:38">
      <c r="A24" s="358" t="s">
        <v>419</v>
      </c>
      <c r="B24" s="317"/>
      <c r="C24" s="317" t="s">
        <v>2</v>
      </c>
      <c r="D24" s="317"/>
      <c r="E24" s="318"/>
      <c r="F24" s="319"/>
      <c r="G24" s="317" t="s">
        <v>420</v>
      </c>
      <c r="H24" s="333"/>
      <c r="I24" s="319"/>
      <c r="J24" s="319" t="s">
        <v>421</v>
      </c>
      <c r="K24" s="319"/>
      <c r="L24" s="319"/>
      <c r="M24" s="318"/>
      <c r="N24" s="319" t="s">
        <v>422</v>
      </c>
      <c r="O24" s="319"/>
      <c r="P24" s="319"/>
      <c r="Q24" s="318"/>
      <c r="R24" s="319" t="s">
        <v>474</v>
      </c>
      <c r="S24" s="333"/>
    </row>
    <row r="25" spans="1:38">
      <c r="A25" s="312"/>
      <c r="B25" s="346"/>
      <c r="C25" s="346"/>
      <c r="D25" s="340"/>
      <c r="E25" s="341" t="s">
        <v>423</v>
      </c>
      <c r="F25" s="337" t="s">
        <v>424</v>
      </c>
      <c r="G25" s="316"/>
      <c r="H25" s="333" t="s">
        <v>2</v>
      </c>
      <c r="I25" s="346" t="s">
        <v>66</v>
      </c>
      <c r="J25" s="339"/>
      <c r="K25" s="346" t="s">
        <v>2</v>
      </c>
      <c r="L25" s="340"/>
      <c r="M25" s="337" t="s">
        <v>425</v>
      </c>
      <c r="N25" s="334"/>
      <c r="O25" s="335" t="s">
        <v>2</v>
      </c>
      <c r="P25" s="335"/>
      <c r="Q25" s="1178" t="s">
        <v>426</v>
      </c>
      <c r="R25" s="1179"/>
      <c r="S25" s="333" t="s">
        <v>427</v>
      </c>
    </row>
    <row r="26" spans="1:38" ht="87" customHeight="1">
      <c r="A26" s="592" t="s">
        <v>1548</v>
      </c>
      <c r="B26" s="593"/>
      <c r="C26" s="594" t="s">
        <v>1549</v>
      </c>
      <c r="D26" s="594"/>
      <c r="E26" s="344" t="s">
        <v>441</v>
      </c>
      <c r="F26" s="680" t="s">
        <v>167</v>
      </c>
      <c r="G26" s="683" t="s">
        <v>1550</v>
      </c>
      <c r="H26" s="428"/>
      <c r="I26" s="595"/>
      <c r="J26" s="594"/>
      <c r="K26" s="594"/>
      <c r="L26" s="595"/>
      <c r="M26" s="365" t="s">
        <v>1551</v>
      </c>
      <c r="N26" s="1264" t="s">
        <v>1552</v>
      </c>
      <c r="O26" s="1258"/>
      <c r="P26" s="1259"/>
      <c r="Q26" s="1260" t="s">
        <v>1553</v>
      </c>
      <c r="R26" s="1257"/>
      <c r="S26" s="552" t="s">
        <v>438</v>
      </c>
    </row>
    <row r="27" spans="1:38" ht="97.5" customHeight="1">
      <c r="A27" s="581"/>
      <c r="B27" s="596"/>
      <c r="C27" s="597"/>
      <c r="D27" s="597"/>
      <c r="E27" s="396"/>
      <c r="F27" s="681"/>
      <c r="G27" s="679"/>
      <c r="H27" s="430"/>
      <c r="I27" s="599"/>
      <c r="J27" s="597"/>
      <c r="K27" s="597"/>
      <c r="L27" s="599"/>
      <c r="M27" s="365" t="s">
        <v>1554</v>
      </c>
      <c r="N27" s="1257" t="s">
        <v>1555</v>
      </c>
      <c r="O27" s="1258"/>
      <c r="P27" s="1259"/>
      <c r="Q27" s="1336" t="s">
        <v>1556</v>
      </c>
      <c r="R27" s="1218"/>
      <c r="S27" s="552" t="s">
        <v>438</v>
      </c>
    </row>
    <row r="28" spans="1:38" ht="85.5" customHeight="1">
      <c r="A28" s="581"/>
      <c r="B28" s="596"/>
      <c r="C28" s="597"/>
      <c r="D28" s="597"/>
      <c r="E28" s="396"/>
      <c r="F28" s="681"/>
      <c r="G28" s="679"/>
      <c r="H28" s="430"/>
      <c r="I28" s="599"/>
      <c r="J28" s="597"/>
      <c r="K28" s="597"/>
      <c r="L28" s="599"/>
      <c r="M28" s="365" t="s">
        <v>1557</v>
      </c>
      <c r="N28" s="1257" t="s">
        <v>1558</v>
      </c>
      <c r="O28" s="1258"/>
      <c r="P28" s="1258"/>
      <c r="Q28" s="1260" t="s">
        <v>1559</v>
      </c>
      <c r="R28" s="1260"/>
      <c r="S28" s="528" t="s">
        <v>438</v>
      </c>
    </row>
    <row r="29" spans="1:38" ht="89.25" customHeight="1">
      <c r="A29" s="581"/>
      <c r="B29" s="596"/>
      <c r="C29" s="597"/>
      <c r="D29" s="597"/>
      <c r="E29" s="396"/>
      <c r="F29" s="681"/>
      <c r="G29" s="679"/>
      <c r="H29" s="430"/>
      <c r="I29" s="599"/>
      <c r="J29" s="597"/>
      <c r="K29" s="597"/>
      <c r="L29" s="599"/>
      <c r="M29" s="365" t="s">
        <v>1560</v>
      </c>
      <c r="N29" s="1458" t="s">
        <v>1561</v>
      </c>
      <c r="O29" s="1459"/>
      <c r="P29" s="1460"/>
      <c r="Q29" s="1225" t="s">
        <v>483</v>
      </c>
      <c r="R29" s="1227"/>
      <c r="S29" s="553" t="s">
        <v>1005</v>
      </c>
    </row>
    <row r="30" spans="1:38" ht="89.25" customHeight="1">
      <c r="A30" s="581"/>
      <c r="B30" s="596"/>
      <c r="C30" s="597"/>
      <c r="D30" s="597"/>
      <c r="E30" s="396"/>
      <c r="F30" s="681"/>
      <c r="G30" s="679"/>
      <c r="H30" s="430"/>
      <c r="I30" s="599"/>
      <c r="J30" s="597"/>
      <c r="K30" s="597"/>
      <c r="L30" s="599"/>
      <c r="M30" s="365" t="s">
        <v>1562</v>
      </c>
      <c r="N30" s="1261" t="s">
        <v>495</v>
      </c>
      <c r="O30" s="1262"/>
      <c r="P30" s="1263"/>
      <c r="Q30" s="1257" t="s">
        <v>870</v>
      </c>
      <c r="R30" s="1259"/>
      <c r="S30" s="553" t="s">
        <v>438</v>
      </c>
    </row>
    <row r="31" spans="1:38" s="322" customFormat="1" ht="96" customHeight="1">
      <c r="A31" s="342" t="s">
        <v>1563</v>
      </c>
      <c r="B31" s="600"/>
      <c r="C31" s="580" t="s">
        <v>1564</v>
      </c>
      <c r="D31" s="580"/>
      <c r="E31" s="517" t="s">
        <v>441</v>
      </c>
      <c r="F31" s="696" t="s">
        <v>167</v>
      </c>
      <c r="G31" s="550" t="s">
        <v>1565</v>
      </c>
      <c r="H31" s="551"/>
      <c r="I31" s="361"/>
      <c r="J31" s="580"/>
      <c r="K31" s="580"/>
      <c r="L31" s="361"/>
      <c r="M31" s="345" t="s">
        <v>1566</v>
      </c>
      <c r="N31" s="1232" t="s">
        <v>1552</v>
      </c>
      <c r="O31" s="1239"/>
      <c r="P31" s="1239"/>
      <c r="Q31" s="1231" t="s">
        <v>1553</v>
      </c>
      <c r="R31" s="1232"/>
      <c r="S31" s="373" t="s">
        <v>438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52.5" customHeight="1">
      <c r="A32" s="601"/>
      <c r="B32" s="601"/>
      <c r="C32" s="601"/>
      <c r="D32" s="601"/>
      <c r="E32" s="487" t="s">
        <v>369</v>
      </c>
      <c r="F32" s="369" t="s">
        <v>75</v>
      </c>
      <c r="G32" s="623" t="s">
        <v>1567</v>
      </c>
      <c r="H32" s="624"/>
      <c r="I32" s="602"/>
      <c r="J32" s="601"/>
      <c r="K32" s="601"/>
      <c r="L32" s="602"/>
      <c r="M32" s="371" t="s">
        <v>1554</v>
      </c>
      <c r="N32" s="1232" t="s">
        <v>1555</v>
      </c>
      <c r="O32" s="1239"/>
      <c r="P32" s="1239"/>
      <c r="Q32" s="1231" t="s">
        <v>1556</v>
      </c>
      <c r="R32" s="1231"/>
      <c r="S32" s="374" t="s">
        <v>438</v>
      </c>
    </row>
    <row r="33" spans="1:38" ht="62.25" customHeight="1">
      <c r="A33" s="601"/>
      <c r="B33" s="601"/>
      <c r="C33" s="601"/>
      <c r="D33" s="601"/>
      <c r="E33" s="372"/>
      <c r="F33" s="369"/>
      <c r="G33" s="431"/>
      <c r="H33" s="432"/>
      <c r="I33" s="602"/>
      <c r="J33" s="601"/>
      <c r="K33" s="601"/>
      <c r="L33" s="602"/>
      <c r="M33" s="371" t="s">
        <v>1568</v>
      </c>
      <c r="N33" s="1232" t="s">
        <v>1558</v>
      </c>
      <c r="O33" s="1239"/>
      <c r="P33" s="1239"/>
      <c r="Q33" s="1311" t="s">
        <v>1559</v>
      </c>
      <c r="R33" s="1312"/>
      <c r="S33" s="373" t="s">
        <v>438</v>
      </c>
    </row>
    <row r="34" spans="1:38" ht="76.5" customHeight="1">
      <c r="A34" s="601"/>
      <c r="B34" s="603"/>
      <c r="C34" s="603"/>
      <c r="D34" s="603"/>
      <c r="E34" s="489"/>
      <c r="F34" s="370"/>
      <c r="G34" s="625"/>
      <c r="H34" s="626"/>
      <c r="I34" s="604"/>
      <c r="J34" s="603"/>
      <c r="K34" s="603"/>
      <c r="L34" s="604"/>
      <c r="M34" s="345" t="s">
        <v>1569</v>
      </c>
      <c r="N34" s="1272" t="s">
        <v>495</v>
      </c>
      <c r="O34" s="1273"/>
      <c r="P34" s="1273"/>
      <c r="Q34" s="1463" t="s">
        <v>881</v>
      </c>
      <c r="R34" s="1463"/>
      <c r="S34" s="374" t="s">
        <v>438</v>
      </c>
    </row>
    <row r="35" spans="1:38" ht="51" customHeight="1">
      <c r="A35" s="605" t="s">
        <v>1570</v>
      </c>
      <c r="B35" s="606"/>
      <c r="C35" s="382" t="s">
        <v>1571</v>
      </c>
      <c r="D35" s="382"/>
      <c r="E35" s="470" t="s">
        <v>885</v>
      </c>
      <c r="F35" s="398" t="s">
        <v>75</v>
      </c>
      <c r="G35" s="486" t="s">
        <v>1572</v>
      </c>
      <c r="H35" s="386"/>
      <c r="I35" s="354"/>
      <c r="J35" s="470"/>
      <c r="K35" s="382"/>
      <c r="L35" s="354"/>
      <c r="M35" s="500"/>
      <c r="N35" s="1281"/>
      <c r="O35" s="1283"/>
      <c r="P35" s="1282"/>
      <c r="Q35" s="584"/>
      <c r="R35" s="607"/>
      <c r="S35" s="402"/>
    </row>
    <row r="36" spans="1:38" ht="93.75" customHeight="1">
      <c r="A36" s="608"/>
      <c r="B36" s="606"/>
      <c r="C36" s="382"/>
      <c r="D36" s="382"/>
      <c r="E36" s="470"/>
      <c r="F36" s="398"/>
      <c r="G36" s="486"/>
      <c r="H36" s="386"/>
      <c r="I36" s="354"/>
      <c r="J36" s="470"/>
      <c r="K36" s="382"/>
      <c r="L36" s="354"/>
      <c r="M36" s="470" t="s">
        <v>1573</v>
      </c>
      <c r="N36" s="1269" t="s">
        <v>1574</v>
      </c>
      <c r="O36" s="1270"/>
      <c r="P36" s="1271" t="s">
        <v>480</v>
      </c>
      <c r="Q36" s="1270" t="s">
        <v>1125</v>
      </c>
      <c r="R36" s="1270"/>
      <c r="S36" s="403" t="s">
        <v>438</v>
      </c>
    </row>
    <row r="37" spans="1:38" ht="51" customHeight="1">
      <c r="A37" s="608"/>
      <c r="B37" s="606"/>
      <c r="C37" s="382"/>
      <c r="D37" s="382"/>
      <c r="E37" s="470"/>
      <c r="F37" s="398"/>
      <c r="G37" s="486"/>
      <c r="H37" s="386"/>
      <c r="I37" s="354"/>
      <c r="J37" s="470"/>
      <c r="K37" s="382"/>
      <c r="L37" s="354"/>
      <c r="M37" s="470"/>
      <c r="N37" s="1269"/>
      <c r="O37" s="1270"/>
      <c r="P37" s="1271"/>
      <c r="Q37" s="382"/>
      <c r="R37" s="354"/>
      <c r="S37" s="403"/>
    </row>
    <row r="38" spans="1:38" ht="51" customHeight="1">
      <c r="A38" s="608"/>
      <c r="B38" s="606"/>
      <c r="C38" s="382"/>
      <c r="D38" s="382"/>
      <c r="E38" s="470"/>
      <c r="F38" s="398"/>
      <c r="G38" s="486"/>
      <c r="H38" s="386"/>
      <c r="I38" s="354"/>
      <c r="J38" s="470"/>
      <c r="K38" s="382"/>
      <c r="L38" s="354"/>
      <c r="M38" s="470"/>
      <c r="N38" s="1269"/>
      <c r="O38" s="1270"/>
      <c r="P38" s="1271"/>
      <c r="Q38" s="382"/>
      <c r="R38" s="354"/>
      <c r="S38" s="403"/>
    </row>
    <row r="39" spans="1:38" s="322" customFormat="1" ht="123" customHeight="1">
      <c r="A39" s="609" t="s">
        <v>1575</v>
      </c>
      <c r="B39" s="609"/>
      <c r="C39" s="583" t="s">
        <v>1576</v>
      </c>
      <c r="D39" s="583"/>
      <c r="E39" s="518" t="s">
        <v>499</v>
      </c>
      <c r="F39" s="518" t="s">
        <v>1577</v>
      </c>
      <c r="G39" s="389" t="s">
        <v>501</v>
      </c>
      <c r="H39" s="395"/>
      <c r="I39" s="391" t="s">
        <v>1577</v>
      </c>
      <c r="J39" s="392" t="s">
        <v>1129</v>
      </c>
      <c r="K39" s="390"/>
      <c r="L39" s="392"/>
      <c r="M39" s="420" t="s">
        <v>1578</v>
      </c>
      <c r="N39" s="1325" t="s">
        <v>436</v>
      </c>
      <c r="O39" s="1325"/>
      <c r="P39" s="1325"/>
      <c r="Q39" s="1338" t="s">
        <v>1131</v>
      </c>
      <c r="R39" s="1325"/>
      <c r="S39" s="420" t="s">
        <v>438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93" customHeight="1">
      <c r="A40" s="775"/>
      <c r="B40" s="775"/>
      <c r="C40" s="770"/>
      <c r="D40" s="770"/>
      <c r="E40" s="388"/>
      <c r="F40" s="415"/>
      <c r="G40" s="364"/>
      <c r="H40" s="353"/>
      <c r="I40" s="393"/>
      <c r="J40" s="1444"/>
      <c r="K40" s="1444"/>
      <c r="L40" s="1444"/>
      <c r="M40" s="778"/>
      <c r="N40" s="1279"/>
      <c r="O40" s="1279"/>
      <c r="P40" s="1279"/>
      <c r="Q40" s="1280"/>
      <c r="R40" s="1279"/>
      <c r="S40" s="778"/>
    </row>
    <row r="41" spans="1:38" ht="93" customHeight="1">
      <c r="A41" s="609" t="s">
        <v>1579</v>
      </c>
      <c r="B41" s="609"/>
      <c r="C41" s="583" t="s">
        <v>1580</v>
      </c>
      <c r="D41" s="583"/>
      <c r="E41" s="518" t="s">
        <v>499</v>
      </c>
      <c r="F41" s="518" t="s">
        <v>1577</v>
      </c>
      <c r="G41" s="389" t="s">
        <v>501</v>
      </c>
      <c r="H41" s="395"/>
      <c r="I41" s="391" t="s">
        <v>1577</v>
      </c>
      <c r="J41" s="392" t="s">
        <v>1129</v>
      </c>
      <c r="K41" s="390"/>
      <c r="L41" s="392"/>
      <c r="M41" s="420" t="s">
        <v>1578</v>
      </c>
      <c r="N41" s="1325" t="s">
        <v>436</v>
      </c>
      <c r="O41" s="1325"/>
      <c r="P41" s="1325"/>
      <c r="Q41" s="1338" t="s">
        <v>1131</v>
      </c>
      <c r="R41" s="1325"/>
      <c r="S41" s="420" t="s">
        <v>438</v>
      </c>
    </row>
    <row r="42" spans="1:38" ht="93" customHeight="1">
      <c r="A42" s="610"/>
      <c r="B42" s="1103"/>
      <c r="C42" s="582"/>
      <c r="D42" s="582"/>
      <c r="E42" s="415"/>
      <c r="F42" s="838"/>
      <c r="G42" s="1104"/>
      <c r="H42" s="418"/>
      <c r="I42" s="1105"/>
      <c r="J42" s="388"/>
      <c r="K42" s="770"/>
      <c r="L42" s="770"/>
      <c r="M42" s="542"/>
      <c r="N42" s="388"/>
      <c r="O42" s="770"/>
      <c r="P42" s="770"/>
      <c r="Q42" s="388"/>
      <c r="R42" s="770"/>
      <c r="S42" s="540"/>
    </row>
    <row r="43" spans="1:38" ht="84" customHeight="1">
      <c r="A43" s="611" t="s">
        <v>1581</v>
      </c>
      <c r="B43" s="612"/>
      <c r="C43" s="613" t="s">
        <v>1582</v>
      </c>
      <c r="D43" s="412"/>
      <c r="E43" s="411"/>
      <c r="F43" s="760"/>
      <c r="G43" s="423"/>
      <c r="H43" s="416"/>
      <c r="I43" s="478"/>
      <c r="J43" s="437"/>
      <c r="K43" s="438"/>
      <c r="L43" s="438"/>
      <c r="M43" s="684"/>
      <c r="N43" s="1333"/>
      <c r="O43" s="1333"/>
      <c r="P43" s="1333"/>
      <c r="Q43" s="1332"/>
      <c r="R43" s="1334"/>
      <c r="S43" s="685"/>
    </row>
    <row r="44" spans="1:38" ht="123" customHeight="1">
      <c r="A44" s="614"/>
      <c r="B44" s="615"/>
      <c r="C44" s="438"/>
      <c r="D44" s="438"/>
      <c r="E44" s="494" t="s">
        <v>1583</v>
      </c>
      <c r="F44" s="490" t="s">
        <v>75</v>
      </c>
      <c r="G44" s="548" t="s">
        <v>1584</v>
      </c>
      <c r="H44" s="547"/>
      <c r="I44" s="409"/>
      <c r="J44" s="437"/>
      <c r="K44" s="438"/>
      <c r="L44" s="438"/>
      <c r="M44" s="490" t="s">
        <v>1585</v>
      </c>
      <c r="N44" s="1450" t="s">
        <v>1586</v>
      </c>
      <c r="O44" s="1450"/>
      <c r="P44" s="1450"/>
      <c r="Q44" s="1449" t="s">
        <v>1587</v>
      </c>
      <c r="R44" s="1451"/>
      <c r="S44" s="495" t="s">
        <v>438</v>
      </c>
    </row>
    <row r="45" spans="1:38" ht="86.25" customHeight="1">
      <c r="A45" s="616"/>
      <c r="B45" s="456"/>
      <c r="C45" s="492"/>
      <c r="D45" s="493"/>
      <c r="E45" s="544" t="s">
        <v>1509</v>
      </c>
      <c r="F45" s="545" t="s">
        <v>75</v>
      </c>
      <c r="G45" s="546" t="s">
        <v>1588</v>
      </c>
      <c r="H45" s="547"/>
      <c r="I45" s="409"/>
      <c r="J45" s="437"/>
      <c r="K45" s="438"/>
      <c r="L45" s="438"/>
      <c r="M45" s="494" t="s">
        <v>1589</v>
      </c>
      <c r="N45" s="1449" t="s">
        <v>495</v>
      </c>
      <c r="O45" s="1450"/>
      <c r="P45" s="1451"/>
      <c r="Q45" s="1449" t="s">
        <v>1131</v>
      </c>
      <c r="R45" s="1451"/>
      <c r="S45" s="490" t="s">
        <v>438</v>
      </c>
    </row>
    <row r="46" spans="1:38" ht="98.25" customHeight="1">
      <c r="A46" s="617" t="s">
        <v>1590</v>
      </c>
      <c r="B46" s="617"/>
      <c r="C46" s="480" t="s">
        <v>1591</v>
      </c>
      <c r="D46" s="480"/>
      <c r="E46" s="479" t="s">
        <v>1583</v>
      </c>
      <c r="F46" s="426" t="s">
        <v>75</v>
      </c>
      <c r="G46" s="1445" t="s">
        <v>1592</v>
      </c>
      <c r="H46" s="1446"/>
      <c r="I46" s="436"/>
      <c r="J46" s="434"/>
      <c r="K46" s="435"/>
      <c r="L46" s="481"/>
      <c r="M46" s="443" t="s">
        <v>1589</v>
      </c>
      <c r="N46" s="1335" t="s">
        <v>495</v>
      </c>
      <c r="O46" s="1335"/>
      <c r="P46" s="1335"/>
      <c r="Q46" s="1447" t="s">
        <v>1131</v>
      </c>
      <c r="R46" s="1448"/>
      <c r="S46" s="443" t="s">
        <v>438</v>
      </c>
    </row>
    <row r="47" spans="1:38" ht="63.75" customHeight="1">
      <c r="A47" s="617"/>
      <c r="B47" s="617"/>
      <c r="C47" s="480"/>
      <c r="D47" s="480"/>
      <c r="E47" s="433" t="s">
        <v>1593</v>
      </c>
      <c r="F47" s="436" t="s">
        <v>75</v>
      </c>
      <c r="G47" s="1452" t="s">
        <v>1594</v>
      </c>
      <c r="H47" s="1453"/>
      <c r="I47" s="441"/>
      <c r="J47" s="442"/>
      <c r="K47" s="480"/>
      <c r="L47" s="461"/>
      <c r="M47" s="469" t="s">
        <v>1585</v>
      </c>
      <c r="N47" s="1328" t="s">
        <v>1586</v>
      </c>
      <c r="O47" s="1327"/>
      <c r="P47" s="1327"/>
      <c r="Q47" s="1328" t="s">
        <v>1587</v>
      </c>
      <c r="R47" s="1327"/>
      <c r="S47" s="433" t="s">
        <v>438</v>
      </c>
    </row>
    <row r="48" spans="1:38" ht="63.75" customHeight="1">
      <c r="A48" s="617"/>
      <c r="B48" s="617"/>
      <c r="C48" s="480"/>
      <c r="D48" s="480"/>
      <c r="E48" s="498" t="s">
        <v>1509</v>
      </c>
      <c r="F48" s="499" t="s">
        <v>75</v>
      </c>
      <c r="G48" s="497" t="s">
        <v>1595</v>
      </c>
      <c r="H48" s="466"/>
      <c r="I48" s="441"/>
      <c r="J48" s="482"/>
      <c r="K48" s="467"/>
      <c r="L48" s="468"/>
      <c r="M48" s="503"/>
      <c r="N48" s="482"/>
      <c r="O48" s="467"/>
      <c r="P48" s="467"/>
      <c r="Q48" s="482"/>
      <c r="R48" s="467"/>
      <c r="S48" s="479"/>
    </row>
    <row r="49" spans="1:19" ht="129" customHeight="1">
      <c r="A49" s="618" t="s">
        <v>1596</v>
      </c>
      <c r="B49" s="619"/>
      <c r="C49" s="620" t="s">
        <v>1597</v>
      </c>
      <c r="D49" s="621"/>
      <c r="E49" s="452" t="s">
        <v>1509</v>
      </c>
      <c r="F49" s="439" t="s">
        <v>75</v>
      </c>
      <c r="G49" s="627" t="s">
        <v>1598</v>
      </c>
      <c r="H49" s="628"/>
      <c r="I49" s="450"/>
      <c r="J49" s="445"/>
      <c r="K49" s="445"/>
      <c r="L49" s="445"/>
      <c r="M49" s="451" t="s">
        <v>1562</v>
      </c>
      <c r="N49" s="1454" t="s">
        <v>495</v>
      </c>
      <c r="O49" s="1454"/>
      <c r="P49" s="1455"/>
      <c r="Q49" s="1456" t="s">
        <v>1131</v>
      </c>
      <c r="R49" s="1457"/>
      <c r="S49" s="1114" t="s">
        <v>438</v>
      </c>
    </row>
    <row r="50" spans="1:19" ht="117" customHeight="1">
      <c r="A50" s="455"/>
      <c r="B50" s="622"/>
      <c r="C50" s="585"/>
      <c r="D50" s="586"/>
      <c r="E50" s="440" t="s">
        <v>1593</v>
      </c>
      <c r="F50" s="439" t="s">
        <v>75</v>
      </c>
      <c r="G50" s="629" t="s">
        <v>1599</v>
      </c>
      <c r="H50" s="630"/>
      <c r="I50" s="451"/>
      <c r="J50" s="445"/>
      <c r="K50" s="445"/>
      <c r="L50" s="445"/>
      <c r="M50" s="444" t="s">
        <v>1585</v>
      </c>
      <c r="N50" s="1461" t="s">
        <v>1586</v>
      </c>
      <c r="O50" s="1461"/>
      <c r="P50" s="1461"/>
      <c r="Q50" s="1462" t="s">
        <v>1587</v>
      </c>
      <c r="R50" s="1461"/>
      <c r="S50" s="444" t="s">
        <v>438</v>
      </c>
    </row>
  </sheetData>
  <mergeCells count="51">
    <mergeCell ref="N41:P41"/>
    <mergeCell ref="Q41:R41"/>
    <mergeCell ref="Q29:R29"/>
    <mergeCell ref="N29:P29"/>
    <mergeCell ref="N50:P50"/>
    <mergeCell ref="Q50:R50"/>
    <mergeCell ref="N43:P43"/>
    <mergeCell ref="Q43:R43"/>
    <mergeCell ref="N44:P44"/>
    <mergeCell ref="Q44:R44"/>
    <mergeCell ref="Q32:R32"/>
    <mergeCell ref="Q31:R31"/>
    <mergeCell ref="Q33:R33"/>
    <mergeCell ref="Q34:R34"/>
    <mergeCell ref="N31:P31"/>
    <mergeCell ref="N32:P32"/>
    <mergeCell ref="G47:H47"/>
    <mergeCell ref="N47:P47"/>
    <mergeCell ref="Q47:R47"/>
    <mergeCell ref="N49:P49"/>
    <mergeCell ref="Q49:R49"/>
    <mergeCell ref="G46:H46"/>
    <mergeCell ref="N46:P46"/>
    <mergeCell ref="Q46:R46"/>
    <mergeCell ref="N45:P45"/>
    <mergeCell ref="Q45:R45"/>
    <mergeCell ref="N27:P27"/>
    <mergeCell ref="N28:P28"/>
    <mergeCell ref="Q26:R26"/>
    <mergeCell ref="Q27:R27"/>
    <mergeCell ref="Q28:R28"/>
    <mergeCell ref="A1:T1"/>
    <mergeCell ref="B2:T2"/>
    <mergeCell ref="B3:T3"/>
    <mergeCell ref="A16:C16"/>
    <mergeCell ref="N26:P26"/>
    <mergeCell ref="Q25:R25"/>
    <mergeCell ref="N40:P40"/>
    <mergeCell ref="Q39:R39"/>
    <mergeCell ref="Q40:R40"/>
    <mergeCell ref="J40:L40"/>
    <mergeCell ref="N30:P30"/>
    <mergeCell ref="Q30:R30"/>
    <mergeCell ref="N36:P36"/>
    <mergeCell ref="N37:P37"/>
    <mergeCell ref="N38:P38"/>
    <mergeCell ref="Q36:R36"/>
    <mergeCell ref="N39:P39"/>
    <mergeCell ref="N34:P34"/>
    <mergeCell ref="N33:P33"/>
    <mergeCell ref="N35:P35"/>
  </mergeCells>
  <conditionalFormatting sqref="N26:N28">
    <cfRule type="colorScale" priority="3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6 H7:H13 I11:I13" xr:uid="{BDDEF919-528B-4766-835C-B0DC086F8969}"/>
  </dataValidations>
  <hyperlinks>
    <hyperlink ref="A1" location="'Objetos de Dominio'!A1" display="Volver al inicio" xr:uid="{6E5762A9-EDF0-4D53-8528-94A4B897457D}"/>
    <hyperlink ref="H39" location="'Tipo Relación Institución'!A6" display="'Tipo Relación Institución'!A6" xr:uid="{CC840453-9904-48EE-82A5-7B546D196459}"/>
    <hyperlink ref="V4" location="'Objeto Dominio 2'!A17" display="'Objeto Dominio 2'!A17" xr:uid="{B4497AB9-3781-494B-B061-77414C8ED5AB}"/>
    <hyperlink ref="W4" location="'Objeto Dominio 2'!A18" display="'Objeto Dominio 2'!A18" xr:uid="{D343335D-2B1B-4A09-B137-8E5CBE4A39FF}"/>
    <hyperlink ref="X4" location="'Objeto Dominio 2'!A19" display="'Objeto Dominio 2'!A19" xr:uid="{6FA86259-3D26-4712-8E48-0BF69004935D}"/>
    <hyperlink ref="A31:B31" location="'Objeto Dominio 2'!R4" display="Reponsabilidad 2" xr:uid="{0B4F9BE4-F733-47C4-95A3-948FE33EC234}"/>
    <hyperlink ref="A26:B26" location="'Objeto Dominio 2'!Q4" display="Reponsabilidad 1" xr:uid="{BC1AF791-B8E4-4888-ABFB-FC9ADA63BD7B}"/>
    <hyperlink ref="A39:B39" location="'Objeto Dominio 2'!T4" display="Reponsabilidad 4" xr:uid="{E9300307-4654-4D1D-8194-51921D6D0C7F}"/>
    <hyperlink ref="U4" location="'Objeto Dominio 2'!A16" display="'Objeto Dominio 2'!A16" xr:uid="{DCA595FD-0882-4DB3-9AF4-3A227695CDBE}"/>
    <hyperlink ref="A1:T1" location="'Listado Objetos de Dominio'!A1" display="&lt;-Volver al inicio" xr:uid="{0E7B5146-67F4-459D-8244-D9F79D722F60}"/>
    <hyperlink ref="A35:B35" location="'Objeto Dominio 2'!S4" display="Reponsabilidad 3" xr:uid="{053BBB45-7C73-42CE-95AC-EE6FD573A98B}"/>
    <hyperlink ref="C18" location="'Representante Est Caracterizaci'!A10" display="=A10" xr:uid="{E7A6F9AC-EA51-45B9-B50B-DD757E7ECFC0}"/>
    <hyperlink ref="A18" location="'Rango Cilindaje Caracterización'!A6" display="=A6" xr:uid="{FE6EB918-2BD5-42A0-9F41-B6E08CAC75B1}"/>
    <hyperlink ref="B7" location="'Linea Caracterización'!B2" display="Alfanumérico" xr:uid="{92D3EAA8-233E-4484-88DD-44B9204B7BDC}"/>
    <hyperlink ref="B9" location="'Rango Cilindaje Caracterización'!B2" display="Alfanumérico" xr:uid="{C3D03877-1F9D-45BE-B004-9C69BE9327D8}"/>
    <hyperlink ref="C19" location="'Representante Est Caracterizaci'!A11" display="=A11" xr:uid="{A2E80946-DA05-4629-A551-94FC0FACB46E}"/>
    <hyperlink ref="B10:B11" location="'Rango Cilindaje Caracterización'!B2" display="Alfanumérico" xr:uid="{8CD04CCF-DF5D-400E-9D73-6B67697CAD4A}"/>
    <hyperlink ref="C20" location="'Representante Est Caracterizaci'!A6" display="=A6" xr:uid="{B0DA41CD-E36C-474D-AA8C-FA03E40A533D}"/>
    <hyperlink ref="H10" r:id="rId1" xr:uid="{00AF7644-FAED-458D-84C7-17BDC2EECA46}"/>
    <hyperlink ref="B12" location="'Rango Cilindaje Caracterización'!B2" display="Alfanumérico" xr:uid="{27E0F57A-09BC-48BF-B16E-37AFBE59F1B4}"/>
    <hyperlink ref="B13" location="'Rango Cilindaje Caracterización'!B2" display="Alfanumérico" xr:uid="{6F423862-9037-48DD-8F8D-4F769B0D9AE7}"/>
    <hyperlink ref="B14" location="'Rango Cilindaje Caracterización'!B2" display="Alfanumérico" xr:uid="{3CF5416D-CA22-45BB-AFAE-AAC196B60FD0}"/>
    <hyperlink ref="Z4" location="'Representante Sede Caracterizac'!A40" display="=A40" xr:uid="{FECE2D6A-57C6-482C-A61A-C12726AD5012}"/>
    <hyperlink ref="H41" location="'Tipo Relación Institución'!A6" display="'Tipo Relación Institución'!A6" xr:uid="{26FC82AB-CB8D-409E-8CAC-075A963936D7}"/>
    <hyperlink ref="A41:B41" location="'Objeto Dominio 2'!T4" display="Reponsabilidad 4" xr:uid="{BF625A5C-2EB7-4721-B066-770CBCD4E6F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A4618A1-DEA3-46F2-A57A-0310BD73996A}">
          <x14:formula1>
            <xm:f>Caracterizacion!$B$4:$B$505</xm:f>
          </x14:formula1>
          <xm:sqref>C5:D14</xm:sqref>
        </x14:dataValidation>
        <x14:dataValidation type="list" allowBlank="1" showInputMessage="1" showErrorMessage="1" xr:uid="{DC5B9DA0-857D-4BD4-B881-D5BBDE51D2DA}">
          <x14:formula1>
            <xm:f>Caracterizacion!$A$3:$A$40</xm:f>
          </x14:formula1>
          <xm:sqref>B6:B14</xm:sqref>
        </x14:dataValidation>
        <x14:dataValidation type="list" allowBlank="1" showInputMessage="1" showErrorMessage="1" xr:uid="{84FD688F-CD9C-4886-9475-825BC6115152}">
          <x14:formula1>
            <xm:f>Caracterizacion!$A$3:$A$14</xm:f>
          </x14:formula1>
          <xm:sqref>B5</xm:sqref>
        </x14:dataValidation>
        <x14:dataValidation type="list" allowBlank="1" showInputMessage="1" showErrorMessage="1" xr:uid="{A327F3F3-4D55-438E-8E74-108E9E81EC21}">
          <x14:formula1>
            <xm:f>Caracterizacion!$C$3:$C$18</xm:f>
          </x14:formula1>
          <xm:sqref>E5:E14</xm:sqref>
        </x14:dataValidation>
        <x14:dataValidation type="list" allowBlank="1" showInputMessage="1" showErrorMessage="1" xr:uid="{78F72A66-6B44-4861-9A60-20F4513CFECF}">
          <x14:formula1>
            <xm:f>Caracterizacion!$D$3:$D$8</xm:f>
          </x14:formula1>
          <xm:sqref>F5:G14</xm:sqref>
        </x14:dataValidation>
        <x14:dataValidation type="list" allowBlank="1" showInputMessage="1" showErrorMessage="1" xr:uid="{86E8295C-D0C6-4E61-8D3B-CB0250FC421B}">
          <x14:formula1>
            <xm:f>Caracterizacion!$H$3:$H$4</xm:f>
          </x14:formula1>
          <xm:sqref>L5:S14</xm:sqref>
        </x14:dataValidation>
        <x14:dataValidation type="custom" allowBlank="1" showInputMessage="1" showErrorMessage="1" xr:uid="{60130D29-3448-44DD-B4F6-D54E7DF7886F}">
          <x14:formula1>
            <xm:f>Caracterizacion!$F$3</xm:f>
          </x14:formula1>
          <xm:sqref>J5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9FD2-51AB-4ACF-B49E-CAE59D81A9E0}">
  <dimension ref="A2:J76"/>
  <sheetViews>
    <sheetView workbookViewId="0">
      <selection activeCell="F19" sqref="F19"/>
    </sheetView>
  </sheetViews>
  <sheetFormatPr defaultRowHeight="15"/>
  <cols>
    <col min="1" max="1" width="40.140625" bestFit="1" customWidth="1"/>
    <col min="2" max="2" width="51.85546875" hidden="1" customWidth="1"/>
    <col min="3" max="3" width="36" customWidth="1"/>
    <col min="4" max="4" width="29" bestFit="1" customWidth="1"/>
    <col min="5" max="5" width="29" customWidth="1"/>
    <col min="6" max="6" width="42.85546875" bestFit="1" customWidth="1"/>
    <col min="7" max="7" width="28.140625" customWidth="1"/>
    <col min="8" max="8" width="93.28515625" bestFit="1" customWidth="1"/>
    <col min="9" max="9" width="93.7109375" bestFit="1" customWidth="1"/>
    <col min="10" max="10" width="124.7109375" bestFit="1" customWidth="1"/>
  </cols>
  <sheetData>
    <row r="2" spans="1:10" ht="34.5">
      <c r="A2" s="99" t="s">
        <v>1600</v>
      </c>
      <c r="B2" s="99" t="s">
        <v>1601</v>
      </c>
      <c r="C2" s="99" t="s">
        <v>1602</v>
      </c>
      <c r="D2" s="99" t="s">
        <v>1603</v>
      </c>
      <c r="E2" s="99" t="s">
        <v>1604</v>
      </c>
      <c r="F2" s="99" t="s">
        <v>1605</v>
      </c>
      <c r="G2" s="99" t="s">
        <v>1606</v>
      </c>
      <c r="H2" s="122"/>
      <c r="I2" s="122"/>
      <c r="J2" s="122"/>
    </row>
    <row r="3" spans="1:10">
      <c r="A3" s="56" t="s">
        <v>369</v>
      </c>
      <c r="B3" s="56" t="s">
        <v>369</v>
      </c>
      <c r="C3" s="56" t="s">
        <v>370</v>
      </c>
      <c r="D3" t="s">
        <v>127</v>
      </c>
      <c r="E3" t="s">
        <v>165</v>
      </c>
      <c r="F3" t="s">
        <v>167</v>
      </c>
      <c r="G3" s="253" t="s">
        <v>509</v>
      </c>
      <c r="H3" s="117"/>
      <c r="I3" s="209"/>
      <c r="J3" s="209"/>
    </row>
    <row r="4" spans="1:10">
      <c r="A4" s="241" t="s">
        <v>1097</v>
      </c>
      <c r="B4" s="56">
        <v>23663</v>
      </c>
      <c r="C4" s="56" t="s">
        <v>1607</v>
      </c>
      <c r="D4" s="270" t="s">
        <v>1098</v>
      </c>
      <c r="E4" s="270" t="str">
        <f>'TipoSede Muestreo'!C4</f>
        <v>Taller mecánico</v>
      </c>
      <c r="F4" s="252">
        <v>1568214</v>
      </c>
      <c r="G4" s="253" t="s">
        <v>928</v>
      </c>
      <c r="H4" s="117"/>
      <c r="I4" s="59"/>
      <c r="J4" s="59"/>
    </row>
    <row r="5" spans="1:10">
      <c r="A5" s="241" t="s">
        <v>1099</v>
      </c>
      <c r="B5" s="56">
        <v>24682</v>
      </c>
      <c r="C5" s="56" t="s">
        <v>1608</v>
      </c>
      <c r="D5" s="270" t="s">
        <v>1098</v>
      </c>
      <c r="E5" s="270" t="str">
        <f>'TipoSede Muestreo'!C5</f>
        <v>Almacén de repuestos</v>
      </c>
      <c r="F5" s="252">
        <v>1568214</v>
      </c>
      <c r="G5" s="253" t="s">
        <v>1609</v>
      </c>
      <c r="H5" s="117"/>
      <c r="I5" s="59"/>
      <c r="J5" s="59"/>
    </row>
    <row r="6" spans="1:10">
      <c r="A6" s="241" t="s">
        <v>1100</v>
      </c>
      <c r="B6" s="56">
        <v>25701</v>
      </c>
      <c r="C6" s="56" t="s">
        <v>1607</v>
      </c>
      <c r="D6" s="270" t="s">
        <v>1101</v>
      </c>
      <c r="E6" s="270" t="str">
        <f>'TipoSede Muestreo'!C6</f>
        <v>Taller mecánico - Almacén de repuestos</v>
      </c>
      <c r="F6" s="252">
        <v>45654565</v>
      </c>
      <c r="G6" s="253" t="s">
        <v>932</v>
      </c>
      <c r="H6" s="59"/>
    </row>
    <row r="7" spans="1:10">
      <c r="A7" s="241" t="s">
        <v>1102</v>
      </c>
      <c r="B7" s="56">
        <v>26720</v>
      </c>
      <c r="C7" s="56" t="s">
        <v>1607</v>
      </c>
      <c r="D7" s="270" t="s">
        <v>1103</v>
      </c>
      <c r="E7" s="270" t="str">
        <f>'TipoSede Muestreo'!C4</f>
        <v>Taller mecánico</v>
      </c>
      <c r="F7" s="252">
        <v>756632414</v>
      </c>
      <c r="G7" s="253" t="s">
        <v>1610</v>
      </c>
      <c r="H7" s="59"/>
    </row>
    <row r="8" spans="1:10">
      <c r="A8" s="241" t="s">
        <v>1100</v>
      </c>
      <c r="B8" s="59"/>
      <c r="C8" s="56" t="s">
        <v>1607</v>
      </c>
      <c r="D8" s="270" t="s">
        <v>1104</v>
      </c>
      <c r="E8" s="270" t="str">
        <f>'TipoSede Muestreo'!C4</f>
        <v>Taller mecánico</v>
      </c>
      <c r="F8" s="252">
        <v>1036956622</v>
      </c>
      <c r="G8" s="253" t="s">
        <v>1611</v>
      </c>
      <c r="H8" s="59"/>
    </row>
    <row r="9" spans="1:10">
      <c r="B9" s="59"/>
      <c r="C9" s="117"/>
      <c r="D9" s="59"/>
      <c r="E9" s="59"/>
    </row>
    <row r="10" spans="1:10">
      <c r="C10" s="117"/>
      <c r="D10" s="59"/>
      <c r="E10" s="59"/>
    </row>
    <row r="11" spans="1:10">
      <c r="C11" s="117"/>
      <c r="D11" s="59"/>
      <c r="E11" s="59"/>
    </row>
    <row r="12" spans="1:10">
      <c r="C12" s="117"/>
      <c r="D12" s="59"/>
      <c r="E12" s="59"/>
    </row>
    <row r="13" spans="1:10">
      <c r="C13" s="117"/>
      <c r="D13" s="59"/>
      <c r="E13" s="59"/>
    </row>
    <row r="14" spans="1:10">
      <c r="B14" s="240"/>
      <c r="C14" s="117"/>
      <c r="D14" s="59"/>
      <c r="E14" s="59"/>
    </row>
    <row r="15" spans="1:10">
      <c r="B15" s="59"/>
      <c r="C15" s="117"/>
      <c r="D15" s="59"/>
      <c r="E15" s="59"/>
    </row>
    <row r="16" spans="1:10">
      <c r="B16" s="59"/>
      <c r="C16" s="117"/>
      <c r="D16" s="59"/>
      <c r="E16" s="59"/>
    </row>
    <row r="17" spans="2:5">
      <c r="B17" s="59"/>
      <c r="C17" s="117"/>
      <c r="D17" s="59"/>
      <c r="E17" s="59"/>
    </row>
    <row r="18" spans="2:5">
      <c r="B18" s="59"/>
      <c r="C18" s="117"/>
      <c r="D18" s="59"/>
      <c r="E18" s="59"/>
    </row>
    <row r="19" spans="2:5">
      <c r="B19" s="59"/>
      <c r="C19" s="117"/>
      <c r="D19" s="59"/>
      <c r="E19" s="59"/>
    </row>
    <row r="20" spans="2:5">
      <c r="B20" s="59"/>
      <c r="C20" s="117"/>
      <c r="D20" s="59"/>
      <c r="E20" s="59"/>
    </row>
    <row r="21" spans="2:5">
      <c r="B21" s="59"/>
      <c r="C21" s="117"/>
      <c r="D21" s="59"/>
      <c r="E21" s="59"/>
    </row>
    <row r="22" spans="2:5">
      <c r="B22" s="59"/>
      <c r="C22" s="117"/>
      <c r="D22" s="59"/>
      <c r="E22" s="59"/>
    </row>
    <row r="23" spans="2:5">
      <c r="B23" s="59"/>
      <c r="C23" s="117"/>
      <c r="D23" s="59"/>
      <c r="E23" s="59"/>
    </row>
    <row r="24" spans="2:5">
      <c r="B24" s="59"/>
      <c r="C24" s="117"/>
      <c r="D24" s="59"/>
      <c r="E24" s="59"/>
    </row>
    <row r="25" spans="2:5">
      <c r="B25" s="59"/>
      <c r="C25" s="117"/>
      <c r="D25" s="59"/>
      <c r="E25" s="59"/>
    </row>
    <row r="26" spans="2:5">
      <c r="B26" s="59"/>
      <c r="C26" s="117"/>
      <c r="D26" s="59"/>
      <c r="E26" s="59"/>
    </row>
    <row r="27" spans="2:5">
      <c r="B27" s="59"/>
      <c r="C27" s="117"/>
      <c r="D27" s="59"/>
      <c r="E27" s="59"/>
    </row>
    <row r="28" spans="2:5">
      <c r="B28" s="59"/>
      <c r="C28" s="117"/>
      <c r="D28" s="59"/>
      <c r="E28" s="59"/>
    </row>
    <row r="29" spans="2:5">
      <c r="B29" s="59"/>
      <c r="C29" s="117"/>
      <c r="D29" s="59"/>
      <c r="E29" s="59"/>
    </row>
    <row r="30" spans="2:5">
      <c r="B30" s="59"/>
      <c r="C30" s="117"/>
      <c r="D30" s="59"/>
      <c r="E30" s="59"/>
    </row>
    <row r="31" spans="2:5">
      <c r="B31" s="59"/>
      <c r="C31" s="117"/>
      <c r="D31" s="59"/>
      <c r="E31" s="59"/>
    </row>
    <row r="32" spans="2:5">
      <c r="B32" s="59"/>
      <c r="C32" s="117"/>
      <c r="D32" s="59"/>
      <c r="E32" s="59"/>
    </row>
    <row r="33" spans="1:5">
      <c r="B33" s="59"/>
      <c r="C33" s="117"/>
      <c r="D33" s="59"/>
      <c r="E33" s="59"/>
    </row>
    <row r="34" spans="1:5">
      <c r="B34" s="59"/>
      <c r="C34" s="118"/>
      <c r="D34" s="59"/>
      <c r="E34" s="59"/>
    </row>
    <row r="35" spans="1:5">
      <c r="A35" s="73"/>
      <c r="B35" s="59"/>
      <c r="C35" s="118"/>
      <c r="D35" s="59"/>
      <c r="E35" s="59"/>
    </row>
    <row r="36" spans="1:5">
      <c r="B36" s="59"/>
      <c r="C36" s="117"/>
      <c r="D36" s="59"/>
      <c r="E36" s="59"/>
    </row>
    <row r="37" spans="1:5">
      <c r="B37" s="59"/>
      <c r="C37" s="117"/>
      <c r="D37" s="59"/>
      <c r="E37" s="59"/>
    </row>
    <row r="38" spans="1:5">
      <c r="B38" s="59"/>
      <c r="C38" s="117"/>
      <c r="D38" s="59"/>
      <c r="E38" s="59"/>
    </row>
    <row r="39" spans="1:5">
      <c r="B39" s="59"/>
      <c r="C39" s="117"/>
      <c r="D39" s="59"/>
      <c r="E39" s="59"/>
    </row>
    <row r="40" spans="1:5">
      <c r="B40" s="59"/>
      <c r="C40" s="117"/>
      <c r="D40" s="59"/>
      <c r="E40" s="59"/>
    </row>
    <row r="41" spans="1:5">
      <c r="B41" s="59"/>
      <c r="C41" s="117"/>
      <c r="D41" s="59"/>
      <c r="E41" s="59"/>
    </row>
    <row r="42" spans="1:5">
      <c r="B42" s="59"/>
      <c r="C42" s="117"/>
      <c r="D42" s="59"/>
      <c r="E42" s="59"/>
    </row>
    <row r="43" spans="1:5">
      <c r="B43" s="59"/>
      <c r="C43" s="117"/>
      <c r="D43" s="59"/>
      <c r="E43" s="59"/>
    </row>
    <row r="44" spans="1:5">
      <c r="B44" s="59"/>
      <c r="C44" s="117"/>
      <c r="D44" s="59"/>
      <c r="E44" s="59"/>
    </row>
    <row r="45" spans="1:5">
      <c r="B45" s="59"/>
      <c r="C45" s="117"/>
      <c r="D45" s="59"/>
      <c r="E45" s="59"/>
    </row>
    <row r="46" spans="1:5">
      <c r="B46" s="59"/>
      <c r="C46" s="117"/>
      <c r="D46" s="59"/>
      <c r="E46" s="59"/>
    </row>
    <row r="47" spans="1:5">
      <c r="B47" s="59"/>
      <c r="C47" s="117"/>
      <c r="D47" s="59"/>
      <c r="E47" s="59"/>
    </row>
    <row r="48" spans="1:5">
      <c r="B48" s="59"/>
      <c r="C48" s="117"/>
      <c r="D48" s="59"/>
      <c r="E48" s="59"/>
    </row>
    <row r="49" spans="2:5">
      <c r="B49" s="59"/>
      <c r="C49" s="117"/>
      <c r="D49" s="59"/>
      <c r="E49" s="59"/>
    </row>
    <row r="50" spans="2:5">
      <c r="B50" s="59"/>
      <c r="C50" s="118"/>
      <c r="D50" s="59"/>
      <c r="E50" s="59"/>
    </row>
    <row r="51" spans="2:5">
      <c r="B51" s="59"/>
      <c r="C51" s="118"/>
      <c r="D51" s="59"/>
      <c r="E51" s="59"/>
    </row>
    <row r="52" spans="2:5">
      <c r="B52" s="59"/>
      <c r="C52" s="117"/>
      <c r="D52" s="59"/>
      <c r="E52" s="59"/>
    </row>
    <row r="53" spans="2:5">
      <c r="B53" s="59"/>
      <c r="C53" s="117"/>
      <c r="D53" s="59"/>
      <c r="E53" s="59"/>
    </row>
    <row r="54" spans="2:5">
      <c r="B54" s="59"/>
      <c r="C54" s="117"/>
      <c r="D54" s="59"/>
      <c r="E54" s="59"/>
    </row>
    <row r="55" spans="2:5">
      <c r="B55" s="59"/>
      <c r="C55" s="117"/>
      <c r="D55" s="59"/>
      <c r="E55" s="59"/>
    </row>
    <row r="56" spans="2:5">
      <c r="B56" s="59"/>
      <c r="C56" s="117"/>
      <c r="D56" s="59"/>
      <c r="E56" s="59"/>
    </row>
    <row r="57" spans="2:5">
      <c r="B57" s="59"/>
      <c r="C57" s="117"/>
      <c r="D57" s="59"/>
      <c r="E57" s="59"/>
    </row>
    <row r="58" spans="2:5">
      <c r="B58" s="59"/>
      <c r="C58" s="117"/>
      <c r="D58" s="59"/>
      <c r="E58" s="59"/>
    </row>
    <row r="59" spans="2:5">
      <c r="B59" s="59"/>
      <c r="C59" s="118"/>
      <c r="D59" s="59"/>
      <c r="E59" s="59"/>
    </row>
    <row r="60" spans="2:5">
      <c r="B60" s="59"/>
      <c r="C60" s="118"/>
      <c r="D60" s="59"/>
      <c r="E60" s="59"/>
    </row>
    <row r="61" spans="2:5">
      <c r="B61" s="59"/>
      <c r="C61" s="118"/>
      <c r="D61" s="59"/>
      <c r="E61" s="59"/>
    </row>
    <row r="62" spans="2:5">
      <c r="B62" s="59"/>
      <c r="C62" s="118"/>
      <c r="D62" s="59"/>
      <c r="E62" s="59"/>
    </row>
    <row r="63" spans="2:5">
      <c r="B63" s="59"/>
      <c r="C63" s="118"/>
      <c r="D63" s="59"/>
      <c r="E63" s="59"/>
    </row>
    <row r="64" spans="2:5">
      <c r="B64" s="59"/>
      <c r="C64" s="118"/>
      <c r="D64" s="59"/>
      <c r="E64" s="59"/>
    </row>
    <row r="65" spans="2:5">
      <c r="B65" s="59"/>
      <c r="C65" s="118"/>
      <c r="D65" s="59"/>
      <c r="E65" s="59"/>
    </row>
    <row r="66" spans="2:5">
      <c r="B66" s="59"/>
      <c r="C66" s="118"/>
      <c r="D66" s="59"/>
      <c r="E66" s="59"/>
    </row>
    <row r="67" spans="2:5">
      <c r="B67" s="59"/>
      <c r="C67" s="118"/>
      <c r="D67" s="59"/>
      <c r="E67" s="59"/>
    </row>
    <row r="68" spans="2:5">
      <c r="B68" s="59"/>
      <c r="C68" s="117"/>
      <c r="D68" s="59"/>
      <c r="E68" s="59"/>
    </row>
    <row r="69" spans="2:5">
      <c r="B69" s="59"/>
      <c r="C69" s="117"/>
      <c r="D69" s="59"/>
      <c r="E69" s="59"/>
    </row>
    <row r="70" spans="2:5">
      <c r="B70" s="59"/>
      <c r="C70" s="117"/>
      <c r="D70" s="59"/>
      <c r="E70" s="59"/>
    </row>
    <row r="71" spans="2:5">
      <c r="B71" s="59"/>
      <c r="C71" s="117"/>
      <c r="D71" s="59"/>
      <c r="E71" s="59"/>
    </row>
    <row r="72" spans="2:5">
      <c r="B72" s="59"/>
      <c r="C72" s="117"/>
      <c r="D72" s="59"/>
      <c r="E72" s="59"/>
    </row>
    <row r="73" spans="2:5">
      <c r="B73" s="59"/>
      <c r="C73" s="117"/>
      <c r="D73" s="59"/>
      <c r="E73" s="59"/>
    </row>
    <row r="74" spans="2:5">
      <c r="B74" s="59"/>
      <c r="C74" s="117"/>
      <c r="D74" s="59"/>
      <c r="E74" s="59"/>
    </row>
    <row r="75" spans="2:5">
      <c r="B75" s="59"/>
      <c r="C75" s="117"/>
      <c r="D75" s="59"/>
      <c r="E75" s="59"/>
    </row>
    <row r="76" spans="2:5">
      <c r="B76" s="59"/>
      <c r="C76" s="117"/>
      <c r="D76" s="59"/>
      <c r="E76" s="59"/>
    </row>
  </sheetData>
  <hyperlinks>
    <hyperlink ref="D4" r:id="rId1" location="Establecimeinto!D3" xr:uid="{1A780AF7-30D2-4B28-9817-8EE58C3E7831}"/>
    <hyperlink ref="D5" r:id="rId2" location="Establecimeinto!D3" xr:uid="{9F5021C9-F2A5-402A-9573-46B4DACDE7B2}"/>
    <hyperlink ref="D6" r:id="rId3" location="Establecimeinto!D4" xr:uid="{4C40E188-5E03-4392-8190-94BF225153EC}"/>
    <hyperlink ref="D7" r:id="rId4" location="Establecimeinto!D5" xr:uid="{AB5FBD2D-8D21-4FE3-BAD0-2B67AC4A5D53}"/>
    <hyperlink ref="D8" r:id="rId5" location="Establecimeinto!D6" xr:uid="{2FA12FC3-F092-4DB6-89AB-C82BA1260577}"/>
    <hyperlink ref="E5" location="'tipoSede Muestreo'!C4" display="='tipoSede Muestreo'!C5" xr:uid="{261D2ABF-0C7F-4FFC-A24F-2ACCA6837A13}"/>
    <hyperlink ref="E6" location="'tipoSede Muestreo'!C6" display="='tipoSede Muestreo'!C6" xr:uid="{15912830-5B49-4C54-A6A2-3AAFEF226B4A}"/>
    <hyperlink ref="E7" location="'tipoSede Muestreo'!C4" display="='tipoSede Muestreo'!C4" xr:uid="{C0B4D8B8-F319-4303-A2A8-BB9E1222C0F9}"/>
    <hyperlink ref="E8" location="'tipoSede Muestreo'!C4" display="='tipoSede Muestreo'!C4" xr:uid="{478AEF60-8BE9-4954-9D14-FC95667B7A3C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F38E-F561-4B56-916A-340FCFA1FFAE}">
  <dimension ref="A1:X36"/>
  <sheetViews>
    <sheetView zoomScale="85" zoomScaleNormal="85" workbookViewId="0">
      <pane xSplit="1" topLeftCell="V5" activePane="topRight" state="frozen"/>
      <selection pane="topRight" activeCell="A36" sqref="A36"/>
    </sheetView>
  </sheetViews>
  <sheetFormatPr defaultColWidth="11.42578125" defaultRowHeight="15"/>
  <cols>
    <col min="1" max="1" width="26.85546875" style="1" bestFit="1" customWidth="1"/>
    <col min="2" max="2" width="25.42578125" style="1" bestFit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9.425781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75.85546875" style="1" bestFit="1" customWidth="1"/>
    <col min="21" max="21" width="54.570312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16384" width="11.42578125" style="1"/>
  </cols>
  <sheetData>
    <row r="1" spans="1:24">
      <c r="A1" s="1185"/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209" t="str">
        <f>'Listado Objetos de Dominio'!$A$31</f>
        <v>Sede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4">
      <c r="A3" s="189" t="s">
        <v>392</v>
      </c>
      <c r="B3" s="1210" t="str">
        <f>'Listado Objetos de Dominio'!$B$10</f>
        <v>Objeto de dominio que representa el nombre comercial de la franquicia que ofrece servicios para motocicletas.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4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A24</f>
        <v>Registrar Información de una nueva Sede</v>
      </c>
      <c r="V4" s="35" t="str">
        <f>A29</f>
        <v>Modificar la  Información de la  Sede</v>
      </c>
      <c r="W4" s="36" t="str">
        <f>A32</f>
        <v>Eliminar Información de la  Sede</v>
      </c>
      <c r="X4" s="2" t="str">
        <f>A35</f>
        <v>Consultar Información de la  Sede</v>
      </c>
    </row>
    <row r="5" spans="1:24">
      <c r="A5" s="184" t="str">
        <f>'Sede Muestreo'!A3</f>
        <v>id</v>
      </c>
      <c r="B5" s="216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'Sede Muestreo'!A2</f>
        <v>Corresponde al identificador único que identifica cada sede de una sede.</v>
      </c>
      <c r="U5" s="188" t="s">
        <v>467</v>
      </c>
      <c r="V5" s="23" t="s">
        <v>409</v>
      </c>
      <c r="W5" s="28" t="s">
        <v>467</v>
      </c>
      <c r="X5" s="32" t="s">
        <v>468</v>
      </c>
    </row>
    <row r="6" spans="1:24" ht="45.75" customHeight="1">
      <c r="A6" s="216" t="str">
        <f>'Sede Muestreo'!C3</f>
        <v>nombre</v>
      </c>
      <c r="B6" s="216" t="s">
        <v>75</v>
      </c>
      <c r="C6" s="216">
        <v>1</v>
      </c>
      <c r="D6" s="216">
        <v>200</v>
      </c>
      <c r="E6" s="216"/>
      <c r="F6" s="216"/>
      <c r="G6" s="216"/>
      <c r="H6" s="216" t="s">
        <v>410</v>
      </c>
      <c r="I6" s="244" t="s">
        <v>411</v>
      </c>
      <c r="J6" s="216"/>
      <c r="K6" s="217"/>
      <c r="L6" s="218" t="s">
        <v>78</v>
      </c>
      <c r="M6" s="218" t="s">
        <v>78</v>
      </c>
      <c r="N6" s="218" t="s">
        <v>81</v>
      </c>
      <c r="O6" s="218" t="s">
        <v>81</v>
      </c>
      <c r="P6" s="218" t="s">
        <v>78</v>
      </c>
      <c r="Q6" s="218" t="s">
        <v>78</v>
      </c>
      <c r="R6" s="218" t="s">
        <v>81</v>
      </c>
      <c r="S6" s="218" t="s">
        <v>81</v>
      </c>
      <c r="T6" s="217" t="str">
        <f>'Sede Muestreo'!C2</f>
        <v xml:space="preserve"> Corresponde al nombre que identifica la sede de la sede.</v>
      </c>
      <c r="U6" s="188" t="s">
        <v>467</v>
      </c>
      <c r="V6" s="23" t="s">
        <v>413</v>
      </c>
      <c r="W6" s="219" t="s">
        <v>933</v>
      </c>
      <c r="X6" s="32" t="s">
        <v>1105</v>
      </c>
    </row>
    <row r="7" spans="1:24" ht="69" customHeight="1">
      <c r="A7" s="184" t="str">
        <f>'Sede Muestreo'!D3</f>
        <v>franquicia</v>
      </c>
      <c r="B7" s="184" t="s">
        <v>127</v>
      </c>
      <c r="C7" s="184"/>
      <c r="D7" s="184"/>
      <c r="E7" s="184"/>
      <c r="F7" s="184"/>
      <c r="G7" s="184"/>
      <c r="H7" s="184"/>
      <c r="I7" s="184"/>
      <c r="J7" s="216"/>
      <c r="K7" s="217"/>
      <c r="L7" s="218" t="s">
        <v>81</v>
      </c>
      <c r="M7" s="218" t="s">
        <v>81</v>
      </c>
      <c r="N7" s="218" t="s">
        <v>81</v>
      </c>
      <c r="O7" s="218" t="s">
        <v>81</v>
      </c>
      <c r="P7" s="218" t="s">
        <v>78</v>
      </c>
      <c r="Q7" s="218" t="s">
        <v>81</v>
      </c>
      <c r="R7" s="218" t="s">
        <v>81</v>
      </c>
      <c r="S7" s="218" t="s">
        <v>81</v>
      </c>
      <c r="T7" s="217" t="str">
        <f>'Sede Muestreo'!D2</f>
        <v>Corresponde a la sede al cual pertenece la sede</v>
      </c>
      <c r="U7" s="188" t="s">
        <v>467</v>
      </c>
      <c r="V7" s="23" t="s">
        <v>413</v>
      </c>
      <c r="W7" s="219" t="s">
        <v>933</v>
      </c>
      <c r="X7" s="32" t="s">
        <v>1612</v>
      </c>
    </row>
    <row r="8" spans="1:24" ht="63" customHeight="1">
      <c r="A8" s="184" t="str">
        <f>'Sede Muestreo'!E3</f>
        <v>tipoSede</v>
      </c>
      <c r="B8" s="184" t="s">
        <v>165</v>
      </c>
      <c r="C8" s="184"/>
      <c r="D8" s="184"/>
      <c r="E8" s="184"/>
      <c r="F8" s="184"/>
      <c r="G8" s="184"/>
      <c r="H8" s="184"/>
      <c r="I8" s="184"/>
      <c r="J8" s="216"/>
      <c r="K8" s="217"/>
      <c r="L8" s="218"/>
      <c r="M8" s="218"/>
      <c r="N8" s="218"/>
      <c r="O8" s="218"/>
      <c r="P8" s="218"/>
      <c r="Q8" s="218"/>
      <c r="R8" s="218"/>
      <c r="S8" s="218"/>
      <c r="T8" s="217" t="str">
        <f>'Sede Muestreo'!E2</f>
        <v xml:space="preserve">Corresponde al tipo de sede de acuerdo con los servicios que ofrece la sede </v>
      </c>
      <c r="U8" s="188" t="s">
        <v>467</v>
      </c>
      <c r="V8" s="23" t="s">
        <v>413</v>
      </c>
      <c r="W8" s="219" t="s">
        <v>933</v>
      </c>
      <c r="X8" s="828" t="s">
        <v>1613</v>
      </c>
    </row>
    <row r="9" spans="1:24" ht="60" customHeight="1">
      <c r="A9" s="184" t="str">
        <f>'Sede Muestreo'!F3</f>
        <v>representanteSede</v>
      </c>
      <c r="B9" s="184" t="s">
        <v>1614</v>
      </c>
      <c r="C9" s="184"/>
      <c r="D9" s="184"/>
      <c r="E9" s="184"/>
      <c r="F9" s="184"/>
      <c r="G9" s="184"/>
      <c r="H9" s="184"/>
      <c r="I9" s="184"/>
      <c r="J9" s="1136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81</v>
      </c>
      <c r="R9" s="186" t="s">
        <v>81</v>
      </c>
      <c r="S9" s="186" t="s">
        <v>81</v>
      </c>
      <c r="T9" s="185" t="str">
        <f>'Sede Muestreo'!F2</f>
        <v>Corresponde al número de identificación del representante legal de la sede</v>
      </c>
      <c r="U9" s="188" t="s">
        <v>467</v>
      </c>
      <c r="V9" s="1138" t="s">
        <v>413</v>
      </c>
      <c r="W9" s="1137" t="s">
        <v>933</v>
      </c>
      <c r="X9" s="1139" t="s">
        <v>1615</v>
      </c>
    </row>
    <row r="10" spans="1:24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80"/>
      <c r="M10" s="180"/>
      <c r="N10" s="180"/>
      <c r="O10" s="180"/>
      <c r="P10" s="180"/>
      <c r="Q10" s="180"/>
      <c r="R10" s="180"/>
      <c r="S10" s="180"/>
      <c r="T10" s="179"/>
    </row>
    <row r="11" spans="1:24">
      <c r="A11" s="178"/>
      <c r="B11" s="178"/>
      <c r="C11" s="178"/>
      <c r="D11" s="178"/>
      <c r="E11" s="178"/>
      <c r="F11" s="178"/>
      <c r="G11" s="178"/>
      <c r="H11" s="178"/>
      <c r="I11" s="178"/>
      <c r="J11" s="178"/>
      <c r="K11" s="179"/>
      <c r="L11" s="180"/>
      <c r="M11" s="180"/>
      <c r="N11" s="180"/>
      <c r="O11" s="180"/>
      <c r="P11" s="180"/>
      <c r="Q11" s="180"/>
      <c r="R11" s="180"/>
      <c r="S11" s="180"/>
      <c r="T11" s="179"/>
      <c r="U11" s="178"/>
    </row>
    <row r="12" spans="1:24" ht="15" customHeight="1"/>
    <row r="13" spans="1:24" ht="35.25" customHeight="1">
      <c r="A13" s="1211" t="s">
        <v>414</v>
      </c>
      <c r="B13" s="1212"/>
      <c r="C13" s="1213"/>
      <c r="G13" s="245" t="s">
        <v>418</v>
      </c>
    </row>
    <row r="14" spans="1:24">
      <c r="A14" s="193" t="s">
        <v>415</v>
      </c>
      <c r="B14" s="193" t="s">
        <v>2</v>
      </c>
      <c r="C14" s="193" t="s">
        <v>416</v>
      </c>
    </row>
    <row r="15" spans="1:24" ht="40.5" customHeight="1">
      <c r="A15" s="242" t="s">
        <v>1616</v>
      </c>
      <c r="B15" s="1250" t="str">
        <f>'Sede Muestreo'!G2</f>
        <v>La sede no debe tener duplicidad en la combinación del nombre de la sede y la franquicia a la que pertenece</v>
      </c>
      <c r="C15" s="243" t="str">
        <f>A6</f>
        <v>nombre</v>
      </c>
    </row>
    <row r="16" spans="1:24" ht="27.75" customHeight="1">
      <c r="A16" s="242" t="s">
        <v>1617</v>
      </c>
      <c r="B16" s="1251"/>
      <c r="C16" s="243" t="str">
        <f>A7</f>
        <v>franquicia</v>
      </c>
    </row>
    <row r="17" spans="1:22" ht="15" customHeight="1">
      <c r="A17" s="1464"/>
      <c r="B17" s="179"/>
      <c r="C17" s="117"/>
    </row>
    <row r="18" spans="1:22" ht="61.5" customHeight="1">
      <c r="A18" s="1464"/>
      <c r="B18" s="179"/>
      <c r="C18" s="117"/>
    </row>
    <row r="22" spans="1:22">
      <c r="A22" s="358" t="s">
        <v>419</v>
      </c>
      <c r="B22" s="317"/>
      <c r="C22" s="317" t="s">
        <v>2</v>
      </c>
      <c r="D22" s="317"/>
      <c r="E22" s="318"/>
      <c r="F22" s="319"/>
      <c r="G22" s="317" t="s">
        <v>420</v>
      </c>
      <c r="H22" s="333"/>
      <c r="I22" s="319"/>
      <c r="J22" s="319" t="s">
        <v>421</v>
      </c>
      <c r="K22" s="319"/>
      <c r="L22" s="319"/>
      <c r="M22" s="318"/>
      <c r="N22" s="319" t="s">
        <v>422</v>
      </c>
      <c r="O22" s="319"/>
      <c r="P22" s="319"/>
      <c r="Q22" s="318"/>
      <c r="R22" s="319" t="s">
        <v>474</v>
      </c>
      <c r="S22" s="358"/>
      <c r="T22" s="290"/>
      <c r="U22" s="290"/>
      <c r="V22" s="290"/>
    </row>
    <row r="23" spans="1:22">
      <c r="A23" s="312"/>
      <c r="B23" s="346"/>
      <c r="C23" s="346"/>
      <c r="D23" s="340"/>
      <c r="E23" s="341" t="s">
        <v>423</v>
      </c>
      <c r="F23" s="337" t="s">
        <v>424</v>
      </c>
      <c r="G23" s="316"/>
      <c r="H23" s="333" t="s">
        <v>2</v>
      </c>
      <c r="I23" s="346" t="s">
        <v>66</v>
      </c>
      <c r="J23" s="339"/>
      <c r="K23" s="346" t="s">
        <v>2</v>
      </c>
      <c r="L23" s="340"/>
      <c r="M23" s="337" t="s">
        <v>425</v>
      </c>
      <c r="N23" s="334"/>
      <c r="O23" s="335" t="s">
        <v>2</v>
      </c>
      <c r="P23" s="335"/>
      <c r="Q23" s="1178" t="s">
        <v>426</v>
      </c>
      <c r="R23" s="1202"/>
      <c r="S23" s="358" t="s">
        <v>427</v>
      </c>
      <c r="T23" s="290"/>
      <c r="U23" s="290"/>
      <c r="V23" s="290"/>
    </row>
    <row r="24" spans="1:22" ht="100.5" customHeight="1">
      <c r="A24" s="665" t="s">
        <v>1618</v>
      </c>
      <c r="B24" s="593"/>
      <c r="C24" s="594" t="s">
        <v>1619</v>
      </c>
      <c r="D24" s="594"/>
      <c r="E24" s="344" t="s">
        <v>441</v>
      </c>
      <c r="F24" s="680" t="s">
        <v>50</v>
      </c>
      <c r="G24" s="683" t="s">
        <v>1620</v>
      </c>
      <c r="H24" s="595"/>
      <c r="I24" s="595"/>
      <c r="J24" s="594"/>
      <c r="K24" s="594"/>
      <c r="L24" s="595"/>
      <c r="M24" s="365" t="s">
        <v>1621</v>
      </c>
      <c r="N24" s="1304" t="s">
        <v>1622</v>
      </c>
      <c r="O24" s="1305"/>
      <c r="P24" s="1306"/>
      <c r="Q24" s="1260" t="s">
        <v>483</v>
      </c>
      <c r="R24" s="1257"/>
      <c r="S24" s="552" t="s">
        <v>1005</v>
      </c>
    </row>
    <row r="25" spans="1:22" ht="72" customHeight="1">
      <c r="A25" s="665"/>
      <c r="B25" s="596"/>
      <c r="C25" s="597"/>
      <c r="D25" s="597"/>
      <c r="E25" s="396"/>
      <c r="F25" s="681"/>
      <c r="G25" s="679"/>
      <c r="H25" s="599"/>
      <c r="I25" s="599"/>
      <c r="J25" s="597"/>
      <c r="K25" s="597"/>
      <c r="L25" s="599"/>
      <c r="M25" s="365" t="s">
        <v>1623</v>
      </c>
      <c r="N25" s="1304" t="s">
        <v>1624</v>
      </c>
      <c r="O25" s="1305"/>
      <c r="P25" s="1306"/>
      <c r="Q25" s="1260" t="s">
        <v>1625</v>
      </c>
      <c r="R25" s="1257"/>
      <c r="S25" s="552" t="s">
        <v>438</v>
      </c>
      <c r="T25" s="291"/>
      <c r="U25" s="291"/>
    </row>
    <row r="26" spans="1:22" ht="86.25" customHeight="1">
      <c r="A26" s="665"/>
      <c r="B26" s="596"/>
      <c r="C26" s="597"/>
      <c r="D26" s="597"/>
      <c r="E26" s="396"/>
      <c r="F26" s="681"/>
      <c r="G26" s="679"/>
      <c r="H26" s="599"/>
      <c r="I26" s="599"/>
      <c r="J26" s="597"/>
      <c r="K26" s="597"/>
      <c r="L26" s="599"/>
      <c r="M26" s="365" t="s">
        <v>1626</v>
      </c>
      <c r="N26" s="1304" t="s">
        <v>495</v>
      </c>
      <c r="O26" s="1305"/>
      <c r="P26" s="1306"/>
      <c r="Q26" s="1260" t="s">
        <v>1388</v>
      </c>
      <c r="R26" s="1257"/>
      <c r="S26" s="552" t="s">
        <v>438</v>
      </c>
      <c r="T26" s="291"/>
      <c r="U26" s="291"/>
    </row>
    <row r="27" spans="1:22" ht="108.75" customHeight="1">
      <c r="A27" s="665"/>
      <c r="B27" s="596"/>
      <c r="C27" s="597"/>
      <c r="D27" s="597"/>
      <c r="E27" s="396"/>
      <c r="F27" s="681"/>
      <c r="G27" s="679"/>
      <c r="H27" s="599"/>
      <c r="I27" s="599"/>
      <c r="J27" s="597"/>
      <c r="K27" s="597"/>
      <c r="L27" s="599"/>
      <c r="M27" s="365" t="s">
        <v>1627</v>
      </c>
      <c r="N27" s="1304" t="s">
        <v>1628</v>
      </c>
      <c r="O27" s="1305"/>
      <c r="P27" s="1306"/>
      <c r="Q27" s="1336" t="s">
        <v>1388</v>
      </c>
      <c r="R27" s="1218"/>
      <c r="S27" s="553" t="s">
        <v>438</v>
      </c>
      <c r="T27" s="291"/>
      <c r="U27" s="291"/>
    </row>
    <row r="28" spans="1:22" ht="108.75" customHeight="1">
      <c r="A28" s="665"/>
      <c r="B28" s="596"/>
      <c r="C28" s="597"/>
      <c r="D28" s="597"/>
      <c r="E28" s="396"/>
      <c r="F28" s="682"/>
      <c r="G28" s="679"/>
      <c r="H28" s="599"/>
      <c r="I28" s="599"/>
      <c r="J28" s="597"/>
      <c r="K28" s="597"/>
      <c r="L28" s="631"/>
      <c r="M28" s="790" t="s">
        <v>1629</v>
      </c>
      <c r="N28" s="1307" t="s">
        <v>1630</v>
      </c>
      <c r="O28" s="1301"/>
      <c r="P28" s="1302"/>
      <c r="Q28" s="1336" t="s">
        <v>1388</v>
      </c>
      <c r="R28" s="1218"/>
      <c r="S28" s="553" t="s">
        <v>438</v>
      </c>
      <c r="T28" s="291"/>
      <c r="U28" s="291"/>
    </row>
    <row r="29" spans="1:22" ht="92.25" customHeight="1">
      <c r="A29" s="342" t="s">
        <v>1631</v>
      </c>
      <c r="B29" s="600"/>
      <c r="C29" s="580" t="s">
        <v>1632</v>
      </c>
      <c r="D29" s="580"/>
      <c r="E29" s="517" t="s">
        <v>441</v>
      </c>
      <c r="F29" s="769" t="s">
        <v>50</v>
      </c>
      <c r="G29" s="903" t="s">
        <v>1633</v>
      </c>
      <c r="H29" s="904"/>
      <c r="I29" s="361"/>
      <c r="J29" s="580"/>
      <c r="K29" s="580"/>
      <c r="L29" s="773"/>
      <c r="M29" s="517" t="s">
        <v>1626</v>
      </c>
      <c r="N29" s="1272" t="s">
        <v>495</v>
      </c>
      <c r="O29" s="1273"/>
      <c r="P29" s="1274"/>
      <c r="Q29" s="1275" t="s">
        <v>1634</v>
      </c>
      <c r="R29" s="1275"/>
      <c r="S29" s="519" t="s">
        <v>438</v>
      </c>
    </row>
    <row r="30" spans="1:22" ht="56.25" customHeight="1">
      <c r="A30" s="372"/>
      <c r="B30" s="601"/>
      <c r="C30" s="601"/>
      <c r="D30" s="601"/>
      <c r="E30" s="487" t="s">
        <v>369</v>
      </c>
      <c r="F30" s="369" t="s">
        <v>75</v>
      </c>
      <c r="G30" s="431" t="s">
        <v>1635</v>
      </c>
      <c r="H30" s="602"/>
      <c r="I30" s="602"/>
      <c r="J30" s="601"/>
      <c r="K30" s="601"/>
      <c r="L30" s="601"/>
      <c r="M30" s="768"/>
      <c r="N30" s="1228"/>
      <c r="O30" s="1229"/>
      <c r="P30" s="1337"/>
      <c r="Q30" s="1229"/>
      <c r="R30" s="1229"/>
      <c r="S30" s="774"/>
    </row>
    <row r="31" spans="1:22" ht="60.75" customHeight="1">
      <c r="A31" s="372"/>
      <c r="B31" s="601"/>
      <c r="C31" s="601"/>
      <c r="D31" s="601"/>
      <c r="E31" s="372"/>
      <c r="F31" s="369"/>
      <c r="G31" s="431"/>
      <c r="H31" s="602"/>
      <c r="I31" s="602"/>
      <c r="J31" s="601"/>
      <c r="K31" s="601"/>
      <c r="L31" s="601"/>
      <c r="M31" s="769"/>
      <c r="N31" s="1265"/>
      <c r="O31" s="1266"/>
      <c r="P31" s="1339"/>
      <c r="Q31" s="1277"/>
      <c r="R31" s="1277"/>
      <c r="S31" s="529"/>
    </row>
    <row r="32" spans="1:22" ht="118.5" customHeight="1">
      <c r="A32" s="898" t="s">
        <v>1636</v>
      </c>
      <c r="B32" s="820"/>
      <c r="C32" s="584" t="s">
        <v>1637</v>
      </c>
      <c r="D32" s="584"/>
      <c r="E32" s="500" t="s">
        <v>369</v>
      </c>
      <c r="F32" s="500" t="s">
        <v>75</v>
      </c>
      <c r="G32" s="383" t="s">
        <v>1638</v>
      </c>
      <c r="H32" s="899"/>
      <c r="I32" s="880"/>
      <c r="J32" s="584"/>
      <c r="K32" s="584"/>
      <c r="L32" s="607"/>
      <c r="M32" s="470" t="s">
        <v>1626</v>
      </c>
      <c r="N32" s="1269" t="s">
        <v>495</v>
      </c>
      <c r="O32" s="1270"/>
      <c r="P32" s="1271"/>
      <c r="Q32" s="1270" t="s">
        <v>1388</v>
      </c>
      <c r="R32" s="1270"/>
      <c r="S32" s="398" t="s">
        <v>438</v>
      </c>
    </row>
    <row r="33" spans="1:19" ht="95.25" customHeight="1">
      <c r="A33" s="900"/>
      <c r="B33" s="354"/>
      <c r="C33" s="354"/>
      <c r="D33" s="354"/>
      <c r="E33" s="900"/>
      <c r="F33" s="900"/>
      <c r="G33" s="385"/>
      <c r="H33" s="881"/>
      <c r="I33" s="881"/>
      <c r="J33" s="354"/>
      <c r="K33" s="354"/>
      <c r="L33" s="354"/>
      <c r="M33" s="397" t="s">
        <v>1639</v>
      </c>
      <c r="N33" s="1283" t="s">
        <v>1640</v>
      </c>
      <c r="O33" s="1283"/>
      <c r="P33" s="1283"/>
      <c r="Q33" s="1281" t="s">
        <v>1641</v>
      </c>
      <c r="R33" s="1283"/>
      <c r="S33" s="397" t="s">
        <v>438</v>
      </c>
    </row>
    <row r="34" spans="1:19" ht="98.25" customHeight="1">
      <c r="A34" s="900"/>
      <c r="B34" s="776"/>
      <c r="C34" s="776"/>
      <c r="D34" s="776"/>
      <c r="E34" s="901"/>
      <c r="F34" s="901"/>
      <c r="G34" s="902"/>
      <c r="H34" s="882"/>
      <c r="I34" s="882"/>
      <c r="J34" s="776"/>
      <c r="K34" s="776"/>
      <c r="L34" s="776"/>
      <c r="M34" s="400"/>
      <c r="N34" s="1285"/>
      <c r="O34" s="1285"/>
      <c r="P34" s="1285"/>
      <c r="Q34" s="1284"/>
      <c r="R34" s="1285"/>
      <c r="S34" s="400"/>
    </row>
    <row r="35" spans="1:19" ht="78.75" customHeight="1">
      <c r="A35" s="609" t="s">
        <v>1642</v>
      </c>
      <c r="B35" s="609"/>
      <c r="C35" s="583" t="s">
        <v>1643</v>
      </c>
      <c r="D35" s="583"/>
      <c r="E35" s="415" t="s">
        <v>430</v>
      </c>
      <c r="F35" s="415" t="s">
        <v>1644</v>
      </c>
      <c r="G35" s="417" t="s">
        <v>501</v>
      </c>
      <c r="H35" s="895"/>
      <c r="I35" s="391" t="s">
        <v>1644</v>
      </c>
      <c r="J35" s="392" t="s">
        <v>978</v>
      </c>
      <c r="K35" s="583"/>
      <c r="L35" s="539"/>
      <c r="M35" s="778" t="s">
        <v>1645</v>
      </c>
      <c r="N35" s="1279" t="s">
        <v>436</v>
      </c>
      <c r="O35" s="1279"/>
      <c r="P35" s="1279"/>
      <c r="Q35" s="1280" t="s">
        <v>1634</v>
      </c>
      <c r="R35" s="1279"/>
      <c r="S35" s="778" t="s">
        <v>438</v>
      </c>
    </row>
    <row r="36" spans="1:19" ht="81" customHeight="1">
      <c r="A36" s="775"/>
      <c r="B36" s="775"/>
      <c r="C36" s="770"/>
      <c r="D36" s="770"/>
      <c r="E36" s="388"/>
      <c r="F36" s="388"/>
      <c r="G36" s="364"/>
      <c r="H36" s="806"/>
      <c r="I36" s="393"/>
      <c r="J36" s="1278"/>
      <c r="K36" s="1278"/>
      <c r="L36" s="1278"/>
      <c r="M36" s="540"/>
      <c r="N36" s="1278"/>
      <c r="O36" s="1278"/>
      <c r="P36" s="1278"/>
      <c r="Q36" s="1292"/>
      <c r="R36" s="1278"/>
      <c r="S36" s="540"/>
    </row>
  </sheetData>
  <mergeCells count="34">
    <mergeCell ref="A1:T1"/>
    <mergeCell ref="B2:T2"/>
    <mergeCell ref="B3:T3"/>
    <mergeCell ref="A13:C13"/>
    <mergeCell ref="A17:A18"/>
    <mergeCell ref="B15:B16"/>
    <mergeCell ref="Q23:R23"/>
    <mergeCell ref="N24:P24"/>
    <mergeCell ref="Q24:R24"/>
    <mergeCell ref="N25:P25"/>
    <mergeCell ref="Q25:R25"/>
    <mergeCell ref="N26:P26"/>
    <mergeCell ref="Q26:R26"/>
    <mergeCell ref="N27:P27"/>
    <mergeCell ref="Q27:R27"/>
    <mergeCell ref="N29:P29"/>
    <mergeCell ref="Q29:R29"/>
    <mergeCell ref="N28:P28"/>
    <mergeCell ref="Q28:R28"/>
    <mergeCell ref="N30:P30"/>
    <mergeCell ref="Q30:R30"/>
    <mergeCell ref="N31:P31"/>
    <mergeCell ref="Q31:R31"/>
    <mergeCell ref="N32:P32"/>
    <mergeCell ref="Q32:R32"/>
    <mergeCell ref="J36:L36"/>
    <mergeCell ref="N36:P36"/>
    <mergeCell ref="Q36:R36"/>
    <mergeCell ref="N33:P33"/>
    <mergeCell ref="Q33:R33"/>
    <mergeCell ref="N34:P34"/>
    <mergeCell ref="Q34:R34"/>
    <mergeCell ref="N35:P35"/>
    <mergeCell ref="Q35:R35"/>
  </mergeCells>
  <conditionalFormatting sqref="N24:N28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9" xr:uid="{2CF74987-70C5-406C-8C30-379FE8017F53}"/>
  </dataValidations>
  <hyperlinks>
    <hyperlink ref="V4" location="'Objeto Dominio 2'!A17" display="'Objeto Dominio 2'!A17" xr:uid="{C74D5BDE-EEC2-4EDD-8F12-1D11BC423544}"/>
    <hyperlink ref="W4" location="'Objeto Dominio 2'!A18" display="'Objeto Dominio 2'!A18" xr:uid="{B61C7C60-3CE8-4E4C-B0C1-B6C9796AD521}"/>
    <hyperlink ref="X4" location="'Objeto Dominio 2'!A19" display="'Objeto Dominio 2'!A19" xr:uid="{586A4E4E-23BB-4D66-8571-88C7BEEBA61D}"/>
    <hyperlink ref="U4" location="'Objeto Dominio 2'!A16" display="'Objeto Dominio 2'!A16" xr:uid="{465FF8CD-4831-4840-B887-0840ED0DF724}"/>
    <hyperlink ref="C15" location="'Estableciemiento Caracterizació'!A6" display="=A6" xr:uid="{F2A57B66-0091-4655-8EA6-08893296086B}"/>
    <hyperlink ref="B2:T2" location="'Listado Objetos de Dominio'!B10" display="='Listado Objetos de Dominio'!$A$32" xr:uid="{600B8611-302B-4BB2-9FC6-4BE976D50778}"/>
    <hyperlink ref="C16" location="'Sede Caracterización'!A7" display="=A7" xr:uid="{261BAE04-16DD-4652-95CD-D7A121FFEB6B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4DB2EF7-A846-45FA-96C6-0645F3BAD6C7}">
          <x14:formula1>
            <xm:f>Caracterizacion!$A$3:$A$45</xm:f>
          </x14:formula1>
          <xm:sqref>B5:B10</xm:sqref>
        </x14:dataValidation>
        <x14:dataValidation type="list" allowBlank="1" showInputMessage="1" showErrorMessage="1" xr:uid="{2BBEE2DD-0600-4279-8B8E-9C8AD0968C2F}">
          <x14:formula1>
            <xm:f>Caracterizacion!$H$3:$H$4</xm:f>
          </x14:formula1>
          <xm:sqref>L5:S11</xm:sqref>
        </x14:dataValidation>
        <x14:dataValidation type="list" allowBlank="1" showInputMessage="1" showErrorMessage="1" xr:uid="{056A6918-7C52-40EC-AB84-79858D4B04E6}">
          <x14:formula1>
            <xm:f>Caracterizacion!$C$3:$C$18</xm:f>
          </x14:formula1>
          <xm:sqref>E5:E11</xm:sqref>
        </x14:dataValidation>
        <x14:dataValidation type="list" allowBlank="1" showInputMessage="1" showErrorMessage="1" xr:uid="{93198997-CDE0-4178-9748-20C4E5CA1D61}">
          <x14:formula1>
            <xm:f>Caracterizacion!$B$4:$B$506</xm:f>
          </x14:formula1>
          <xm:sqref>C5:D11 H10:K10</xm:sqref>
        </x14:dataValidation>
        <x14:dataValidation type="list" allowBlank="1" showInputMessage="1" showErrorMessage="1" xr:uid="{61D24F7E-CEF9-43DA-8200-B2E12B84F1E4}">
          <x14:formula1>
            <xm:f>Caracterizacion!$B$3:$B$515</xm:f>
          </x14:formula1>
          <xm:sqref>F5:G11</xm:sqref>
        </x14:dataValidation>
        <x14:dataValidation type="custom" allowBlank="1" showInputMessage="1" showErrorMessage="1" xr:uid="{D70411B7-30B7-41A3-953D-C80A3F78A6ED}">
          <x14:formula1>
            <xm:f>Caracterizacion!$F$3</xm:f>
          </x14:formula1>
          <xm:sqref>J5</xm:sqref>
        </x14:dataValidation>
        <x14:dataValidation type="list" allowBlank="1" showInputMessage="1" showErrorMessage="1" xr:uid="{05F288E5-518E-4463-B426-7E09C5F0D5ED}">
          <x14:formula1>
            <xm:f>Caracterizacion!$A$3:$A$40</xm:f>
          </x14:formula1>
          <xm:sqref>B11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B73B-E250-450E-94E2-5F03B421D9B6}">
  <dimension ref="A2:G80"/>
  <sheetViews>
    <sheetView workbookViewId="0">
      <selection activeCell="C3" sqref="C3"/>
    </sheetView>
  </sheetViews>
  <sheetFormatPr defaultRowHeight="15"/>
  <cols>
    <col min="1" max="1" width="40.140625" bestFit="1" customWidth="1"/>
    <col min="2" max="2" width="36.85546875" bestFit="1" customWidth="1"/>
    <col min="3" max="3" width="32.5703125" customWidth="1"/>
    <col min="4" max="4" width="30.7109375" bestFit="1" customWidth="1"/>
    <col min="5" max="5" width="59.5703125" bestFit="1" customWidth="1"/>
    <col min="6" max="6" width="20.5703125" bestFit="1" customWidth="1"/>
    <col min="7" max="7" width="26.28515625" bestFit="1" customWidth="1"/>
  </cols>
  <sheetData>
    <row r="2" spans="1:7" ht="34.5">
      <c r="A2" s="99" t="s">
        <v>1646</v>
      </c>
      <c r="B2" s="99" t="s">
        <v>1647</v>
      </c>
      <c r="C2" s="99" t="s">
        <v>1648</v>
      </c>
      <c r="D2" s="99" t="s">
        <v>1649</v>
      </c>
      <c r="E2" s="122"/>
      <c r="F2" s="122"/>
      <c r="G2" s="122"/>
    </row>
    <row r="3" spans="1:7">
      <c r="A3" s="56" t="s">
        <v>369</v>
      </c>
      <c r="B3" s="56" t="s">
        <v>370</v>
      </c>
      <c r="C3" t="s">
        <v>159</v>
      </c>
      <c r="D3" s="204" t="s">
        <v>509</v>
      </c>
      <c r="E3" s="59"/>
      <c r="F3" s="59"/>
      <c r="G3" s="59"/>
    </row>
    <row r="4" spans="1:7">
      <c r="A4" s="205" t="s">
        <v>1650</v>
      </c>
      <c r="B4" s="56" t="s">
        <v>1651</v>
      </c>
      <c r="C4" s="63" t="s">
        <v>1652</v>
      </c>
      <c r="D4" s="204" t="s">
        <v>1651</v>
      </c>
      <c r="E4" s="59"/>
      <c r="F4" s="59"/>
      <c r="G4" s="175"/>
    </row>
    <row r="5" spans="1:7">
      <c r="A5" s="205" t="s">
        <v>1653</v>
      </c>
      <c r="B5" s="56" t="s">
        <v>1654</v>
      </c>
      <c r="C5" s="63" t="s">
        <v>1655</v>
      </c>
      <c r="D5" s="204" t="s">
        <v>1654</v>
      </c>
      <c r="E5" s="59"/>
      <c r="F5" s="59"/>
      <c r="G5" s="175"/>
    </row>
    <row r="6" spans="1:7">
      <c r="A6" s="205" t="s">
        <v>1656</v>
      </c>
      <c r="B6" s="56" t="s">
        <v>1657</v>
      </c>
      <c r="C6" s="63" t="s">
        <v>1658</v>
      </c>
      <c r="D6" s="204" t="s">
        <v>1657</v>
      </c>
      <c r="E6" s="59"/>
      <c r="F6" s="59"/>
      <c r="G6" s="175"/>
    </row>
    <row r="7" spans="1:7">
      <c r="A7" s="205" t="s">
        <v>1659</v>
      </c>
      <c r="B7" s="56" t="s">
        <v>1660</v>
      </c>
      <c r="C7" s="63" t="s">
        <v>1661</v>
      </c>
      <c r="D7" s="204" t="s">
        <v>1660</v>
      </c>
      <c r="E7" s="59"/>
      <c r="F7" s="59"/>
      <c r="G7" s="175"/>
    </row>
    <row r="8" spans="1:7">
      <c r="A8" s="205" t="s">
        <v>1662</v>
      </c>
      <c r="B8" s="56" t="s">
        <v>1663</v>
      </c>
      <c r="C8" s="63" t="s">
        <v>1664</v>
      </c>
      <c r="D8" s="204" t="s">
        <v>1663</v>
      </c>
      <c r="E8" s="59"/>
    </row>
    <row r="9" spans="1:7">
      <c r="A9" s="205" t="s">
        <v>1653</v>
      </c>
      <c r="B9" s="56" t="s">
        <v>1665</v>
      </c>
      <c r="C9" s="63" t="s">
        <v>1655</v>
      </c>
      <c r="D9" s="204" t="s">
        <v>1665</v>
      </c>
      <c r="E9" s="59"/>
    </row>
    <row r="10" spans="1:7">
      <c r="A10" s="205" t="s">
        <v>1666</v>
      </c>
      <c r="B10" s="56" t="s">
        <v>1667</v>
      </c>
      <c r="C10" s="63" t="s">
        <v>1655</v>
      </c>
      <c r="D10" s="204" t="s">
        <v>1667</v>
      </c>
      <c r="E10" s="59"/>
    </row>
    <row r="11" spans="1:7">
      <c r="A11" s="205" t="s">
        <v>1668</v>
      </c>
      <c r="B11" s="56" t="s">
        <v>1669</v>
      </c>
      <c r="C11" s="63" t="s">
        <v>1655</v>
      </c>
      <c r="D11" s="204" t="s">
        <v>1669</v>
      </c>
      <c r="E11" s="59"/>
    </row>
    <row r="12" spans="1:7">
      <c r="A12" s="205" t="s">
        <v>1670</v>
      </c>
      <c r="B12" s="56" t="s">
        <v>1671</v>
      </c>
      <c r="C12" s="63" t="s">
        <v>1655</v>
      </c>
      <c r="D12" s="204" t="s">
        <v>1671</v>
      </c>
      <c r="E12" s="59"/>
    </row>
    <row r="13" spans="1:7">
      <c r="A13" s="205" t="s">
        <v>1653</v>
      </c>
      <c r="B13" s="56" t="s">
        <v>1672</v>
      </c>
      <c r="C13" s="63" t="s">
        <v>1655</v>
      </c>
      <c r="D13" s="204" t="s">
        <v>1672</v>
      </c>
      <c r="E13" s="59"/>
    </row>
    <row r="14" spans="1:7">
      <c r="A14" s="205" t="s">
        <v>1673</v>
      </c>
      <c r="B14" s="56" t="s">
        <v>1674</v>
      </c>
      <c r="C14" s="63" t="s">
        <v>1658</v>
      </c>
      <c r="D14" s="204" t="s">
        <v>1674</v>
      </c>
      <c r="E14" s="59"/>
    </row>
    <row r="15" spans="1:7">
      <c r="A15" s="205" t="s">
        <v>1675</v>
      </c>
      <c r="B15" s="56" t="s">
        <v>1676</v>
      </c>
      <c r="C15" s="63" t="s">
        <v>1658</v>
      </c>
      <c r="D15" s="204" t="s">
        <v>1676</v>
      </c>
      <c r="E15" s="59"/>
    </row>
    <row r="16" spans="1:7">
      <c r="A16" s="205" t="s">
        <v>1677</v>
      </c>
      <c r="B16" s="56" t="s">
        <v>1678</v>
      </c>
      <c r="C16" s="63" t="s">
        <v>1658</v>
      </c>
      <c r="D16" s="204" t="s">
        <v>1678</v>
      </c>
      <c r="E16" s="59"/>
    </row>
    <row r="17" spans="1:5">
      <c r="A17" s="205" t="s">
        <v>1653</v>
      </c>
      <c r="B17" s="56" t="s">
        <v>1679</v>
      </c>
      <c r="C17" s="63" t="s">
        <v>1658</v>
      </c>
      <c r="D17" s="204" t="s">
        <v>1679</v>
      </c>
      <c r="E17" s="59"/>
    </row>
    <row r="18" spans="1:5">
      <c r="A18" s="205" t="s">
        <v>1680</v>
      </c>
      <c r="B18" s="56" t="s">
        <v>1681</v>
      </c>
      <c r="C18" s="63" t="s">
        <v>1661</v>
      </c>
      <c r="D18" s="204" t="s">
        <v>1681</v>
      </c>
      <c r="E18" s="59"/>
    </row>
    <row r="19" spans="1:5">
      <c r="A19" s="205" t="s">
        <v>1682</v>
      </c>
      <c r="B19" s="56" t="s">
        <v>1683</v>
      </c>
      <c r="C19" s="63" t="s">
        <v>1661</v>
      </c>
      <c r="D19" s="204" t="s">
        <v>1683</v>
      </c>
      <c r="E19" s="59"/>
    </row>
    <row r="20" spans="1:5">
      <c r="A20" s="205" t="s">
        <v>1684</v>
      </c>
      <c r="B20" s="56" t="s">
        <v>1685</v>
      </c>
      <c r="C20" s="63" t="s">
        <v>1661</v>
      </c>
      <c r="D20" s="204" t="s">
        <v>1685</v>
      </c>
      <c r="E20" s="59"/>
    </row>
    <row r="21" spans="1:5">
      <c r="A21" s="205" t="s">
        <v>1686</v>
      </c>
      <c r="B21" s="56" t="s">
        <v>1687</v>
      </c>
      <c r="C21" s="63" t="s">
        <v>1661</v>
      </c>
      <c r="D21" s="204" t="s">
        <v>1687</v>
      </c>
      <c r="E21" s="59"/>
    </row>
    <row r="22" spans="1:5">
      <c r="A22" s="205" t="s">
        <v>1688</v>
      </c>
      <c r="B22" s="56" t="s">
        <v>1689</v>
      </c>
      <c r="C22" s="63" t="s">
        <v>1664</v>
      </c>
      <c r="D22" s="204" t="s">
        <v>1689</v>
      </c>
      <c r="E22" s="59"/>
    </row>
    <row r="23" spans="1:5">
      <c r="A23" s="205" t="s">
        <v>1690</v>
      </c>
      <c r="B23" s="56" t="s">
        <v>1691</v>
      </c>
      <c r="C23" s="63" t="s">
        <v>1664</v>
      </c>
      <c r="D23" s="204" t="s">
        <v>1691</v>
      </c>
      <c r="E23" s="59"/>
    </row>
    <row r="24" spans="1:5">
      <c r="A24" s="205" t="s">
        <v>1692</v>
      </c>
      <c r="B24" s="56" t="s">
        <v>1693</v>
      </c>
      <c r="C24" s="63" t="s">
        <v>1664</v>
      </c>
      <c r="D24" s="204" t="s">
        <v>1693</v>
      </c>
      <c r="E24" s="59"/>
    </row>
    <row r="25" spans="1:5">
      <c r="A25" s="205" t="s">
        <v>1694</v>
      </c>
      <c r="B25" s="56" t="s">
        <v>1695</v>
      </c>
      <c r="C25" s="63" t="s">
        <v>1664</v>
      </c>
      <c r="D25" s="204" t="s">
        <v>1695</v>
      </c>
    </row>
    <row r="26" spans="1:5">
      <c r="A26" s="205" t="s">
        <v>1696</v>
      </c>
      <c r="B26" s="56" t="s">
        <v>1697</v>
      </c>
      <c r="C26" s="63" t="s">
        <v>1698</v>
      </c>
      <c r="D26" s="204" t="s">
        <v>1697</v>
      </c>
    </row>
    <row r="27" spans="1:5">
      <c r="A27" s="205" t="s">
        <v>1699</v>
      </c>
      <c r="B27" s="56" t="s">
        <v>1700</v>
      </c>
      <c r="C27" s="63" t="s">
        <v>1698</v>
      </c>
      <c r="D27" s="204" t="s">
        <v>1700</v>
      </c>
    </row>
    <row r="28" spans="1:5">
      <c r="A28" s="205" t="s">
        <v>1701</v>
      </c>
      <c r="B28" s="56" t="s">
        <v>1702</v>
      </c>
      <c r="C28" s="63" t="s">
        <v>1698</v>
      </c>
      <c r="D28" s="204" t="s">
        <v>1702</v>
      </c>
    </row>
    <row r="29" spans="1:5">
      <c r="A29" s="205" t="s">
        <v>1703</v>
      </c>
      <c r="B29" s="56" t="s">
        <v>1704</v>
      </c>
      <c r="C29" s="63" t="s">
        <v>1698</v>
      </c>
      <c r="D29" s="204" t="s">
        <v>1704</v>
      </c>
    </row>
    <row r="30" spans="1:5">
      <c r="A30" s="205" t="s">
        <v>1705</v>
      </c>
      <c r="B30" s="56" t="s">
        <v>1706</v>
      </c>
      <c r="C30" s="63" t="s">
        <v>1707</v>
      </c>
      <c r="D30" s="204" t="s">
        <v>1706</v>
      </c>
    </row>
    <row r="31" spans="1:5">
      <c r="A31" s="205" t="s">
        <v>1708</v>
      </c>
      <c r="B31" s="56" t="s">
        <v>1709</v>
      </c>
      <c r="C31" s="63" t="s">
        <v>1707</v>
      </c>
      <c r="D31" s="204" t="s">
        <v>1709</v>
      </c>
    </row>
    <row r="32" spans="1:5">
      <c r="A32" s="205" t="s">
        <v>1710</v>
      </c>
      <c r="B32" s="56" t="s">
        <v>1711</v>
      </c>
      <c r="C32" s="63" t="s">
        <v>1707</v>
      </c>
      <c r="D32" s="204" t="s">
        <v>1711</v>
      </c>
    </row>
    <row r="33" spans="1:4">
      <c r="A33" s="205" t="s">
        <v>1712</v>
      </c>
      <c r="B33" s="56" t="s">
        <v>1713</v>
      </c>
      <c r="C33" s="63" t="s">
        <v>1707</v>
      </c>
      <c r="D33" s="204" t="s">
        <v>1713</v>
      </c>
    </row>
    <row r="34" spans="1:4">
      <c r="B34" s="59"/>
      <c r="C34" s="117"/>
      <c r="D34" s="59"/>
    </row>
    <row r="35" spans="1:4">
      <c r="B35" s="59"/>
      <c r="C35" s="117"/>
      <c r="D35" s="59"/>
    </row>
    <row r="36" spans="1:4">
      <c r="B36" s="59"/>
      <c r="C36" s="117"/>
      <c r="D36" s="59"/>
    </row>
    <row r="37" spans="1:4">
      <c r="B37" s="59"/>
      <c r="C37" s="117"/>
      <c r="D37" s="59"/>
    </row>
    <row r="38" spans="1:4">
      <c r="B38" s="59"/>
      <c r="C38" s="118"/>
      <c r="D38" s="59"/>
    </row>
    <row r="39" spans="1:4">
      <c r="A39" s="73"/>
      <c r="B39" s="59"/>
      <c r="C39" s="118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7"/>
      <c r="D51" s="59"/>
    </row>
    <row r="52" spans="2:4">
      <c r="B52" s="59"/>
      <c r="C52" s="117"/>
      <c r="D52" s="59"/>
    </row>
    <row r="53" spans="2:4">
      <c r="B53" s="59"/>
      <c r="C53" s="117"/>
      <c r="D53" s="59"/>
    </row>
    <row r="54" spans="2:4">
      <c r="B54" s="59"/>
      <c r="C54" s="118"/>
      <c r="D54" s="59"/>
    </row>
    <row r="55" spans="2:4">
      <c r="B55" s="59"/>
      <c r="C55" s="118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7"/>
      <c r="D60" s="59"/>
    </row>
    <row r="61" spans="2:4">
      <c r="B61" s="59"/>
      <c r="C61" s="117"/>
      <c r="D61" s="59"/>
    </row>
    <row r="62" spans="2:4">
      <c r="B62" s="59"/>
      <c r="C62" s="117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8"/>
      <c r="D69" s="59"/>
    </row>
    <row r="70" spans="2:4">
      <c r="B70" s="59"/>
      <c r="C70" s="118"/>
      <c r="D70" s="59"/>
    </row>
    <row r="71" spans="2:4">
      <c r="B71" s="59"/>
      <c r="C71" s="118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  <row r="78" spans="2:4">
      <c r="B78" s="59"/>
      <c r="C78" s="117"/>
      <c r="D78" s="59"/>
    </row>
    <row r="79" spans="2:4">
      <c r="B79" s="59"/>
      <c r="C79" s="117"/>
      <c r="D79" s="59"/>
    </row>
    <row r="80" spans="2:4">
      <c r="B80" s="59"/>
      <c r="C80" s="117"/>
      <c r="D80" s="59"/>
    </row>
  </sheetData>
  <hyperlinks>
    <hyperlink ref="C4" location="Tipo Servicio!C3" display="Mantenimiento Preventivo" xr:uid="{D24FA6CF-F62D-49DB-8B9B-71CE39F84F7B}"/>
    <hyperlink ref="C5" location="Tipo Servicio!C3" display="Sistema de Motor" xr:uid="{F31441D9-6A46-449E-A3BD-0F7D1BB7F991}"/>
    <hyperlink ref="C6" location="Tipo Servicio!C3" display="Sistema Eléctrico" xr:uid="{D8CECCCB-C86D-4DE5-9F33-703BA47D78D4}"/>
    <hyperlink ref="C7" location="Tipo Servicio!C3" display="Transmisión" xr:uid="{23AD6466-B7F8-45C4-895F-889B1EAB66D7}"/>
    <hyperlink ref="C8" location="Tipo Servicio!C3" display="Suspensión y Dirección" xr:uid="{94FF1F76-6A7B-461F-8BA3-9845D96317FE}"/>
    <hyperlink ref="C9" location="Tipo Servicio!C4" display="Sistema de Motor" xr:uid="{0D9D6BC3-231E-41A7-81EF-56AD405AE331}"/>
    <hyperlink ref="C10" location="Tipo Servicio!C4" display="Sistema de Motor" xr:uid="{6BFDEF5F-7A0A-4129-BAFB-51F89D20973D}"/>
    <hyperlink ref="C11" location="Tipo Servicio!C4" display="Sistema de Motor" xr:uid="{23FF14DA-84A7-492E-8EC0-8D5F8BFCE524}"/>
    <hyperlink ref="C12" location="Tipo Servicio!C4" display="Sistema de Motor" xr:uid="{0FB3A719-8B11-46AB-9594-FE5F426C4681}"/>
    <hyperlink ref="C13" location="Tipo Servicio!C4" display="Sistema de Motor" xr:uid="{0244600C-B931-40D9-B224-7C46D0AA7A91}"/>
    <hyperlink ref="C14" location="Tipo Servicio!C5" display="Sistema Eléctrico" xr:uid="{AE372553-DBF5-467D-BF02-F78C2FB5B71D}"/>
    <hyperlink ref="C15" location="Tipo Servicio!C5" display="Sistema Eléctrico" xr:uid="{400351A0-4980-40E2-885C-15A40867B44D}"/>
    <hyperlink ref="C16" location="Tipo Servicio!C5" display="Sistema Eléctrico" xr:uid="{29EA6197-0F4E-452C-8E94-E785CCED214C}"/>
    <hyperlink ref="C17" location="Tipo Servicio!C5" display="Sistema Eléctrico" xr:uid="{947F551C-FF61-4575-81FE-F0D189B7A7DF}"/>
    <hyperlink ref="C18" location="Tipo Servicio!C6" display="Transmisión" xr:uid="{47322901-E97D-4D0C-84D4-2B3A105E189C}"/>
    <hyperlink ref="C19" location="Tipo Servicio!C6" display="Transmisión" xr:uid="{5A3A98C0-9BE3-452C-9289-FF0DD8B1EE1E}"/>
    <hyperlink ref="C20" location="Tipo Servicio!C6" display="Transmisión" xr:uid="{5B1088F4-0F0E-4E2E-AEB9-5123DC5B4018}"/>
    <hyperlink ref="C21" location="Tipo Servicio!C6" display="Transmisión" xr:uid="{BB0B5899-D909-4D92-A86A-7F0F6E90EE8B}"/>
    <hyperlink ref="C22" location="Tipo Servicio!C7" display="Suspensión y Dirección" xr:uid="{84AA8F6C-890A-48F4-8611-62C50981DCB6}"/>
    <hyperlink ref="C23" location="Tipo Servicio!C7" display="Suspensión y Dirección" xr:uid="{4B00CDBF-4B57-4805-A817-6A67D0EB061E}"/>
    <hyperlink ref="C24" location="Tipo Servicio!C7" display="Suspensión y Dirección" xr:uid="{C1D945EB-648B-44B0-8388-F3BD50CE0ED7}"/>
    <hyperlink ref="C25" location="Tipo Servicio!C7" display="Suspensión y Dirección" xr:uid="{206FD8D9-5E71-427B-B911-AA64849A8498}"/>
    <hyperlink ref="C26" location="Tipo Servicio!C8" display="Sistema de Frenos" xr:uid="{5AE1CDD9-C1B8-46A1-8641-CADDDAC5708E}"/>
    <hyperlink ref="C27" location="Tipo Servicio!C8" display="Sistema de Frenos" xr:uid="{579A67DD-F480-40A2-9E2F-F1DFF0C1481B}"/>
    <hyperlink ref="C28" location="Tipo Servicio!C8" display="Sistema de Frenos" xr:uid="{F294AC49-35FF-4967-9C4F-82E478833321}"/>
    <hyperlink ref="C29" location="Tipo Servicio!C8" display="Sistema de Frenos" xr:uid="{BA67197E-65E1-48C8-B020-34A787B08123}"/>
    <hyperlink ref="C30" location="Tipo Servicio!C9" display="Servicios Especializados" xr:uid="{9321E5D6-E48D-483D-9FF6-708986537E26}"/>
    <hyperlink ref="C31" location="Tipo Servicio!C9" display="Servicios Especializados" xr:uid="{042EC1E8-7CCC-4E54-8462-76AA0785E874}"/>
    <hyperlink ref="C32" location="Tipo Servicio!C9" display="Servicios Especializados" xr:uid="{B63371A5-11B2-4F80-9B6E-D9E5182B4A05}"/>
    <hyperlink ref="C33" location="Tipo Servicio!C9" display="Servicios Especializados" xr:uid="{9FA84FFA-5E82-43AE-91B6-02DAFC88451E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811D-7769-427F-8D79-F318C7C249B3}">
  <dimension ref="A1:W33"/>
  <sheetViews>
    <sheetView zoomScale="85" zoomScaleNormal="85" workbookViewId="0">
      <pane xSplit="1" topLeftCell="L30" activePane="topRight" state="frozen"/>
      <selection pane="topRight" activeCell="E7" sqref="E7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0.8554687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51" style="1" customWidth="1"/>
    <col min="22" max="22" width="46.42578125" style="1" bestFit="1" customWidth="1"/>
    <col min="23" max="23" width="66.85546875" style="1" bestFit="1" customWidth="1"/>
    <col min="24" max="24" width="52.28515625" style="1" bestFit="1" customWidth="1"/>
    <col min="25" max="16384" width="11.42578125" style="1"/>
  </cols>
  <sheetData>
    <row r="1" spans="1:23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3">
      <c r="A2" s="4" t="s">
        <v>391</v>
      </c>
      <c r="B2" s="1186" t="str">
        <f>'Listado Objetos de Dominio'!$A$25</f>
        <v>Servicio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3">
      <c r="A3" s="189" t="s">
        <v>392</v>
      </c>
      <c r="B3" s="1210" t="str">
        <f>'Listado Objetos de Dominio'!$B$25</f>
        <v>Objeto de dominio que representa los servicios de mantenimiento o reparación ofrecidos para las motocicletas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3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A24</f>
        <v>Crear Información del Servicio</v>
      </c>
      <c r="V4" s="35" t="str">
        <f>A28</f>
        <v>Modificar Información del Servicio</v>
      </c>
      <c r="W4" s="2" t="str">
        <f>A32</f>
        <v>Consultar Información del Servicio</v>
      </c>
    </row>
    <row r="5" spans="1:23">
      <c r="A5" s="184" t="str">
        <f>'Servicio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'Servicio Muestreo '!A2</f>
        <v>Corresponde al identificador único que identifica cada servicio automotriz que puede ser realizado en el establecimiento.</v>
      </c>
      <c r="U5" s="795" t="s">
        <v>1714</v>
      </c>
      <c r="V5" s="39" t="s">
        <v>1715</v>
      </c>
      <c r="W5" s="32" t="s">
        <v>468</v>
      </c>
    </row>
    <row r="6" spans="1:23" ht="81" customHeight="1">
      <c r="A6" s="184" t="str">
        <f>'Servicio Muestreo '!B3</f>
        <v>nombre</v>
      </c>
      <c r="B6" s="184" t="s">
        <v>75</v>
      </c>
      <c r="C6" s="184">
        <v>1</v>
      </c>
      <c r="D6" s="184">
        <v>50</v>
      </c>
      <c r="E6" s="184"/>
      <c r="F6" s="184"/>
      <c r="G6" s="184"/>
      <c r="H6" s="184" t="s">
        <v>410</v>
      </c>
      <c r="I6" s="184" t="s">
        <v>1450</v>
      </c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78</v>
      </c>
      <c r="R6" s="186" t="s">
        <v>81</v>
      </c>
      <c r="S6" s="186" t="s">
        <v>81</v>
      </c>
      <c r="T6" s="185" t="str">
        <f>'Servicio Muestreo '!B2</f>
        <v>Corresponde al atributo  que indica el nombre específico del servicio automotriz que se ofrece a los clientes</v>
      </c>
      <c r="U6" s="795" t="s">
        <v>1714</v>
      </c>
      <c r="V6" s="39" t="s">
        <v>1716</v>
      </c>
      <c r="W6" s="32" t="s">
        <v>765</v>
      </c>
    </row>
    <row r="7" spans="1:23" ht="59.25" customHeight="1">
      <c r="A7" s="184" t="str">
        <f>'Servicio Muestreo '!C3</f>
        <v>tipoServicio</v>
      </c>
      <c r="B7" s="184" t="s">
        <v>159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'Servicio Muestreo '!C2</f>
        <v>Corresponde al tipoServicio que indica la clasificación o categoría técnica a la que pertenece el servicio automotriz</v>
      </c>
      <c r="U7" s="795" t="s">
        <v>1714</v>
      </c>
      <c r="V7" s="39" t="s">
        <v>1716</v>
      </c>
      <c r="W7" s="32" t="s">
        <v>1717</v>
      </c>
    </row>
    <row r="8" spans="1:23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9"/>
      <c r="L8" s="180"/>
      <c r="M8" s="180"/>
      <c r="N8" s="180"/>
      <c r="O8" s="180"/>
      <c r="P8" s="180"/>
      <c r="Q8" s="180"/>
      <c r="R8" s="180"/>
      <c r="S8" s="180"/>
      <c r="T8" s="179"/>
    </row>
    <row r="10" spans="1:23">
      <c r="A10" s="1211" t="s">
        <v>414</v>
      </c>
      <c r="B10" s="1212"/>
      <c r="C10" s="1213"/>
    </row>
    <row r="11" spans="1:23">
      <c r="A11" s="193" t="s">
        <v>415</v>
      </c>
      <c r="B11" s="193" t="s">
        <v>2</v>
      </c>
      <c r="C11" s="126" t="s">
        <v>416</v>
      </c>
    </row>
    <row r="12" spans="1:23">
      <c r="A12" s="1214" t="s">
        <v>1718</v>
      </c>
      <c r="B12" s="1214" t="str">
        <f>'Servicio Muestreo '!D2</f>
        <v>El servicio automotriz no debe tener duplicidad en el nombre del servicio</v>
      </c>
      <c r="C12" s="228" t="str">
        <f>A6</f>
        <v>nombre</v>
      </c>
    </row>
    <row r="13" spans="1:23" ht="35.25" customHeight="1">
      <c r="A13" s="1215"/>
      <c r="B13" s="1215"/>
      <c r="C13" s="228" t="str">
        <f>A7</f>
        <v>tipoServicio</v>
      </c>
      <c r="G13" s="1" t="s">
        <v>418</v>
      </c>
    </row>
    <row r="14" spans="1:23">
      <c r="C14" s="109"/>
    </row>
    <row r="22" spans="1:22">
      <c r="A22" s="840" t="s">
        <v>419</v>
      </c>
      <c r="B22" s="317"/>
      <c r="C22" s="317" t="s">
        <v>2</v>
      </c>
      <c r="D22" s="317"/>
      <c r="E22" s="318"/>
      <c r="F22" s="319"/>
      <c r="G22" s="317" t="s">
        <v>420</v>
      </c>
      <c r="H22" s="333"/>
      <c r="I22" s="319"/>
      <c r="J22" s="319" t="s">
        <v>421</v>
      </c>
      <c r="K22" s="319"/>
      <c r="L22" s="319"/>
      <c r="M22" s="318"/>
      <c r="N22" s="319" t="s">
        <v>422</v>
      </c>
      <c r="O22" s="319"/>
      <c r="P22" s="319"/>
      <c r="Q22" s="318"/>
      <c r="R22" s="319" t="s">
        <v>474</v>
      </c>
      <c r="S22" s="358"/>
      <c r="T22" s="290"/>
      <c r="U22" s="290"/>
      <c r="V22" s="290"/>
    </row>
    <row r="23" spans="1:22">
      <c r="A23" s="841"/>
      <c r="B23" s="346"/>
      <c r="C23" s="346"/>
      <c r="D23" s="340"/>
      <c r="E23" s="341" t="s">
        <v>423</v>
      </c>
      <c r="F23" s="337" t="s">
        <v>424</v>
      </c>
      <c r="G23" s="316"/>
      <c r="H23" s="333" t="s">
        <v>2</v>
      </c>
      <c r="I23" s="346" t="s">
        <v>66</v>
      </c>
      <c r="J23" s="339"/>
      <c r="K23" s="346" t="s">
        <v>2</v>
      </c>
      <c r="L23" s="340"/>
      <c r="M23" s="337" t="s">
        <v>425</v>
      </c>
      <c r="N23" s="339"/>
      <c r="O23" s="346" t="s">
        <v>2</v>
      </c>
      <c r="P23" s="346"/>
      <c r="Q23" s="1244" t="s">
        <v>426</v>
      </c>
      <c r="R23" s="1206"/>
      <c r="S23" s="358" t="s">
        <v>427</v>
      </c>
      <c r="T23" s="290"/>
      <c r="U23" s="290"/>
      <c r="V23" s="290"/>
    </row>
    <row r="24" spans="1:22" ht="51.75" customHeight="1">
      <c r="A24" s="842" t="s">
        <v>1719</v>
      </c>
      <c r="B24" s="593"/>
      <c r="C24" s="594" t="s">
        <v>1720</v>
      </c>
      <c r="D24" s="594"/>
      <c r="E24" s="344" t="s">
        <v>441</v>
      </c>
      <c r="F24" s="680" t="s">
        <v>155</v>
      </c>
      <c r="G24" s="683" t="s">
        <v>1721</v>
      </c>
      <c r="H24" s="428"/>
      <c r="I24" s="595"/>
      <c r="J24" s="594"/>
      <c r="K24" s="594"/>
      <c r="L24" s="812"/>
      <c r="M24" s="790"/>
      <c r="N24" s="1219"/>
      <c r="O24" s="1219"/>
      <c r="P24" s="1219"/>
      <c r="Q24" s="1218"/>
      <c r="R24" s="1219"/>
      <c r="S24" s="553"/>
    </row>
    <row r="25" spans="1:22" ht="107.25" customHeight="1">
      <c r="A25" s="842"/>
      <c r="B25" s="596"/>
      <c r="C25" s="597"/>
      <c r="D25" s="597"/>
      <c r="E25" s="396"/>
      <c r="F25" s="681"/>
      <c r="G25" s="679"/>
      <c r="H25" s="430"/>
      <c r="I25" s="599"/>
      <c r="J25" s="597"/>
      <c r="K25" s="597"/>
      <c r="L25" s="631"/>
      <c r="M25" s="890" t="s">
        <v>1722</v>
      </c>
      <c r="N25" s="1226" t="s">
        <v>1723</v>
      </c>
      <c r="O25" s="1226"/>
      <c r="P25" s="1226"/>
      <c r="Q25" s="1225" t="s">
        <v>870</v>
      </c>
      <c r="R25" s="1226"/>
      <c r="S25" s="891" t="s">
        <v>480</v>
      </c>
      <c r="T25" s="291"/>
      <c r="U25" s="291"/>
    </row>
    <row r="26" spans="1:22" ht="90" customHeight="1">
      <c r="A26" s="842"/>
      <c r="B26" s="596"/>
      <c r="C26" s="597"/>
      <c r="D26" s="597"/>
      <c r="E26" s="396"/>
      <c r="F26" s="681"/>
      <c r="G26" s="679"/>
      <c r="H26" s="430"/>
      <c r="I26" s="599"/>
      <c r="J26" s="597"/>
      <c r="K26" s="597"/>
      <c r="L26" s="599"/>
      <c r="M26" s="888" t="s">
        <v>1724</v>
      </c>
      <c r="N26" s="1225" t="s">
        <v>495</v>
      </c>
      <c r="O26" s="1226"/>
      <c r="P26" s="1227"/>
      <c r="Q26" s="1465" t="s">
        <v>870</v>
      </c>
      <c r="R26" s="1225"/>
      <c r="S26" s="891" t="s">
        <v>480</v>
      </c>
      <c r="T26" s="291"/>
      <c r="U26" s="291"/>
    </row>
    <row r="27" spans="1:22" ht="92.25" customHeight="1">
      <c r="A27" s="842"/>
      <c r="B27" s="596"/>
      <c r="C27" s="597"/>
      <c r="D27" s="597"/>
      <c r="E27" s="396"/>
      <c r="F27" s="681"/>
      <c r="G27" s="679"/>
      <c r="H27" s="430"/>
      <c r="I27" s="599"/>
      <c r="J27" s="597"/>
      <c r="K27" s="597"/>
      <c r="L27" s="599"/>
      <c r="M27" s="365" t="s">
        <v>1725</v>
      </c>
      <c r="N27" s="1466" t="s">
        <v>1726</v>
      </c>
      <c r="O27" s="1467"/>
      <c r="P27" s="1468"/>
      <c r="Q27" s="1218" t="s">
        <v>483</v>
      </c>
      <c r="R27" s="1219"/>
      <c r="S27" s="553" t="s">
        <v>484</v>
      </c>
      <c r="T27" s="291"/>
      <c r="U27" s="291"/>
    </row>
    <row r="28" spans="1:22" ht="76.5" customHeight="1">
      <c r="A28" s="843" t="s">
        <v>1727</v>
      </c>
      <c r="B28" s="600"/>
      <c r="C28" s="580" t="s">
        <v>1728</v>
      </c>
      <c r="D28" s="580"/>
      <c r="E28" s="517" t="s">
        <v>441</v>
      </c>
      <c r="F28" s="696" t="s">
        <v>155</v>
      </c>
      <c r="G28" s="550" t="s">
        <v>1729</v>
      </c>
      <c r="H28" s="551"/>
      <c r="I28" s="361"/>
      <c r="J28" s="580"/>
      <c r="K28" s="580"/>
      <c r="L28" s="773"/>
      <c r="M28" s="521"/>
      <c r="N28" s="1273"/>
      <c r="O28" s="1273"/>
      <c r="P28" s="1273"/>
      <c r="Q28" s="1361"/>
      <c r="R28" s="1275"/>
      <c r="S28" s="519"/>
    </row>
    <row r="29" spans="1:22" ht="111.75" customHeight="1">
      <c r="A29" s="407"/>
      <c r="B29" s="601"/>
      <c r="C29" s="601"/>
      <c r="D29" s="601"/>
      <c r="E29" s="487" t="s">
        <v>369</v>
      </c>
      <c r="F29" s="369" t="s">
        <v>75</v>
      </c>
      <c r="G29" s="623" t="s">
        <v>1730</v>
      </c>
      <c r="H29" s="624"/>
      <c r="I29" s="602"/>
      <c r="J29" s="601"/>
      <c r="K29" s="601"/>
      <c r="L29" s="601"/>
      <c r="M29" s="677" t="s">
        <v>1724</v>
      </c>
      <c r="N29" s="1229" t="s">
        <v>495</v>
      </c>
      <c r="O29" s="1229"/>
      <c r="P29" s="1229"/>
      <c r="Q29" s="1228" t="s">
        <v>870</v>
      </c>
      <c r="R29" s="1229"/>
      <c r="S29" s="774" t="s">
        <v>480</v>
      </c>
    </row>
    <row r="30" spans="1:22" ht="100.5" customHeight="1">
      <c r="A30" s="407"/>
      <c r="B30" s="601"/>
      <c r="C30" s="601"/>
      <c r="D30" s="601"/>
      <c r="E30" s="372"/>
      <c r="F30" s="369"/>
      <c r="G30" s="431"/>
      <c r="H30" s="432"/>
      <c r="I30" s="602"/>
      <c r="J30" s="601"/>
      <c r="K30" s="601"/>
      <c r="L30" s="601"/>
      <c r="M30" s="677"/>
      <c r="N30" s="1229"/>
      <c r="O30" s="1229"/>
      <c r="P30" s="1229"/>
      <c r="Q30" s="1276"/>
      <c r="R30" s="1277"/>
      <c r="S30" s="774"/>
    </row>
    <row r="31" spans="1:22" ht="66.75" customHeight="1">
      <c r="A31" s="407"/>
      <c r="B31" s="601"/>
      <c r="C31" s="601"/>
      <c r="D31" s="601"/>
      <c r="E31" s="372"/>
      <c r="F31" s="370"/>
      <c r="G31" s="625"/>
      <c r="H31" s="626"/>
      <c r="I31" s="604"/>
      <c r="J31" s="603"/>
      <c r="K31" s="603"/>
      <c r="L31" s="603"/>
      <c r="M31" s="678"/>
      <c r="N31" s="1266"/>
      <c r="O31" s="1266"/>
      <c r="P31" s="1266"/>
      <c r="Q31" s="1267"/>
      <c r="R31" s="1268"/>
      <c r="S31" s="529"/>
    </row>
    <row r="32" spans="1:22" ht="118.5" customHeight="1">
      <c r="A32" s="847" t="s">
        <v>1731</v>
      </c>
      <c r="B32" s="610"/>
      <c r="C32" s="582" t="s">
        <v>1732</v>
      </c>
      <c r="D32" s="582"/>
      <c r="E32" s="415" t="s">
        <v>499</v>
      </c>
      <c r="F32" s="518" t="s">
        <v>1733</v>
      </c>
      <c r="G32" s="389" t="s">
        <v>501</v>
      </c>
      <c r="H32" s="395"/>
      <c r="I32" s="391" t="s">
        <v>1733</v>
      </c>
      <c r="J32" s="392" t="s">
        <v>1018</v>
      </c>
      <c r="K32" s="583"/>
      <c r="L32" s="539"/>
      <c r="M32" s="778" t="s">
        <v>1734</v>
      </c>
      <c r="N32" s="1279" t="s">
        <v>436</v>
      </c>
      <c r="O32" s="1279"/>
      <c r="P32" s="1279"/>
      <c r="Q32" s="1280" t="s">
        <v>436</v>
      </c>
      <c r="R32" s="1279"/>
      <c r="S32" s="778" t="s">
        <v>480</v>
      </c>
    </row>
    <row r="33" spans="1:19" ht="71.25" customHeight="1">
      <c r="A33" s="848"/>
      <c r="B33" s="775"/>
      <c r="C33" s="770"/>
      <c r="D33" s="770"/>
      <c r="E33" s="388"/>
      <c r="F33" s="388"/>
      <c r="G33" s="364"/>
      <c r="H33" s="353"/>
      <c r="I33" s="393"/>
      <c r="J33" s="1278"/>
      <c r="K33" s="1278"/>
      <c r="L33" s="1278"/>
      <c r="M33" s="778"/>
      <c r="N33" s="1279"/>
      <c r="O33" s="1279"/>
      <c r="P33" s="1279"/>
      <c r="Q33" s="1280"/>
      <c r="R33" s="1279"/>
      <c r="S33" s="778"/>
    </row>
  </sheetData>
  <mergeCells count="28">
    <mergeCell ref="A12:A13"/>
    <mergeCell ref="B12:B13"/>
    <mergeCell ref="A1:T1"/>
    <mergeCell ref="B2:T2"/>
    <mergeCell ref="B3:T3"/>
    <mergeCell ref="A10:C10"/>
    <mergeCell ref="Q23:R23"/>
    <mergeCell ref="N24:P24"/>
    <mergeCell ref="Q24:R24"/>
    <mergeCell ref="N25:P25"/>
    <mergeCell ref="Q25:R25"/>
    <mergeCell ref="N26:P26"/>
    <mergeCell ref="Q26:R26"/>
    <mergeCell ref="N27:P27"/>
    <mergeCell ref="Q27:R27"/>
    <mergeCell ref="N28:P28"/>
    <mergeCell ref="Q28:R28"/>
    <mergeCell ref="N29:P29"/>
    <mergeCell ref="Q29:R29"/>
    <mergeCell ref="N30:P30"/>
    <mergeCell ref="Q30:R30"/>
    <mergeCell ref="N31:P31"/>
    <mergeCell ref="Q31:R31"/>
    <mergeCell ref="N32:P32"/>
    <mergeCell ref="Q32:R32"/>
    <mergeCell ref="J33:L33"/>
    <mergeCell ref="N33:P33"/>
    <mergeCell ref="Q33:R33"/>
  </mergeCells>
  <conditionalFormatting sqref="N24:N26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F0169EF7-2B5B-4A21-A8A1-E1885F19AD9E}"/>
  </dataValidations>
  <hyperlinks>
    <hyperlink ref="A1" location="'Objetos de Dominio'!A1" display="Volver al inicio" xr:uid="{F30472A4-A20F-4238-95AE-0F793EC8A4E4}"/>
    <hyperlink ref="V4" location="'Objeto Dominio 2'!A17" display="'Objeto Dominio 2'!A17" xr:uid="{C9B7D4F7-04CF-47A4-9AC5-E3970ECDAE93}"/>
    <hyperlink ref="W4" location="'Objeto Dominio 2'!A19" display="'Objeto Dominio 2'!A19" xr:uid="{746F581A-76F5-46FB-8EFD-5CBD5A03AB93}"/>
    <hyperlink ref="U4" location="'Objeto Dominio 2'!A16" display="'Objeto Dominio 2'!A16" xr:uid="{A68AC9EF-7850-4DD4-8D35-FCC0330AE398}"/>
    <hyperlink ref="A1:T1" location="'Listado Objetos de Dominio'!A1" display="&lt;-Volver al inicio" xr:uid="{D4D28D3F-5DBB-44DD-B5F1-E42F8858321C}"/>
    <hyperlink ref="C12" location="'Dia Caracterización'!A6" display="=A6" xr:uid="{C21CD8BD-9044-4130-92B7-979CAC753589}"/>
    <hyperlink ref="C13" location="'Excepción Horar Caracterización'!A10" display="=A8" xr:uid="{AB7DFD48-C889-4966-B97F-43D172FE5B17}"/>
    <hyperlink ref="C12" location="'Ciudad Caracterización'!A6" display="=A6" xr:uid="{B30D5144-7323-40D8-8442-5D43C6D3FDE9}"/>
    <hyperlink ref="H32" location="'Tipo Relación Institución'!A6" display="'Tipo Relación Institución'!A6" xr:uid="{B1BBF677-61D5-44F1-A390-6A24777F3E16}"/>
    <hyperlink ref="A24:B24" location="'Objeto Dominio 2'!Q4" display="Reponsabilidad 1" xr:uid="{22AB1366-613D-4B1D-991F-49966AEC4D9F}"/>
    <hyperlink ref="A28:B28" location="'Objeto Dominio 2'!R4" display="Reponsabilidad 2" xr:uid="{68DF1A06-7192-4D2B-BCD2-85B3DE58217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2D62AEB-F745-458B-B378-F2E2970DB2CD}">
          <x14:formula1>
            <xm:f>Caracterizacion!$A$3:$A$40</xm:f>
          </x14:formula1>
          <xm:sqref>B6</xm:sqref>
        </x14:dataValidation>
        <x14:dataValidation type="list" allowBlank="1" showInputMessage="1" showErrorMessage="1" xr:uid="{8BB24B90-19F9-48D3-8CC7-651BACDB039D}">
          <x14:formula1>
            <xm:f>Caracterizacion!$A$3:$A$14</xm:f>
          </x14:formula1>
          <xm:sqref>B5</xm:sqref>
        </x14:dataValidation>
        <x14:dataValidation type="custom" allowBlank="1" showInputMessage="1" showErrorMessage="1" xr:uid="{9BE3323B-9658-44F3-8DFE-1D7AC717CEA4}">
          <x14:formula1>
            <xm:f>Caracterizacion!$F$3</xm:f>
          </x14:formula1>
          <xm:sqref>J5</xm:sqref>
        </x14:dataValidation>
        <x14:dataValidation type="list" allowBlank="1" showInputMessage="1" showErrorMessage="1" xr:uid="{978C3B61-5D7E-4E9D-9325-266669019647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3E99469D-D076-48BF-B6A4-3B736A833FBB}">
          <x14:formula1>
            <xm:f>Caracterizacion!$A$3:$A$41</xm:f>
          </x14:formula1>
          <xm:sqref>B7:B8</xm:sqref>
        </x14:dataValidation>
        <x14:dataValidation type="list" allowBlank="1" showInputMessage="1" showErrorMessage="1" xr:uid="{32D8173C-F97B-4F49-9534-A76D50276A29}">
          <x14:formula1>
            <xm:f>Caracterizacion!$C$3:$C$18</xm:f>
          </x14:formula1>
          <xm:sqref>F6:G7 E5:E7 E8:G8</xm:sqref>
        </x14:dataValidation>
        <x14:dataValidation type="list" allowBlank="1" showInputMessage="1" showErrorMessage="1" xr:uid="{F597A332-AEC6-46D6-9FAE-ACE76B3CB06E}">
          <x14:formula1>
            <xm:f>Caracterizacion!$H$3:$H$4</xm:f>
          </x14:formula1>
          <xm:sqref>L5:S8</xm:sqref>
        </x14:dataValidation>
        <x14:dataValidation type="list" allowBlank="1" showInputMessage="1" showErrorMessage="1" xr:uid="{F3D71601-69F4-45A7-839E-D9C6F47E8271}">
          <x14:formula1>
            <xm:f>Caracterizacion!$B$4:$B$506</xm:f>
          </x14:formula1>
          <xm:sqref>C5:D8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4F38-F4D1-4669-8426-8DD285097E64}">
  <dimension ref="A2:I77"/>
  <sheetViews>
    <sheetView workbookViewId="0">
      <selection activeCell="G10" sqref="G10"/>
    </sheetView>
  </sheetViews>
  <sheetFormatPr defaultRowHeight="15"/>
  <cols>
    <col min="1" max="1" width="40.140625" bestFit="1" customWidth="1"/>
    <col min="2" max="2" width="47.5703125" bestFit="1" customWidth="1"/>
    <col min="3" max="3" width="32.5703125" customWidth="1"/>
    <col min="4" max="4" width="38.42578125" bestFit="1" customWidth="1"/>
    <col min="5" max="5" width="42.85546875" bestFit="1" customWidth="1"/>
    <col min="6" max="6" width="19.5703125" bestFit="1" customWidth="1"/>
    <col min="7" max="7" width="79.7109375" customWidth="1"/>
    <col min="8" max="8" width="93.7109375" bestFit="1" customWidth="1"/>
    <col min="9" max="9" width="124.7109375" bestFit="1" customWidth="1"/>
  </cols>
  <sheetData>
    <row r="2" spans="1:9" ht="34.5">
      <c r="A2" s="99" t="s">
        <v>1735</v>
      </c>
      <c r="B2" s="99" t="s">
        <v>1736</v>
      </c>
      <c r="C2" s="99" t="s">
        <v>1737</v>
      </c>
      <c r="D2" s="99" t="s">
        <v>1738</v>
      </c>
      <c r="E2" s="99" t="s">
        <v>1739</v>
      </c>
      <c r="F2" s="99" t="s">
        <v>1740</v>
      </c>
      <c r="G2" s="148" t="s">
        <v>1741</v>
      </c>
      <c r="H2" s="122"/>
      <c r="I2" s="122"/>
    </row>
    <row r="3" spans="1:9">
      <c r="A3" s="199" t="s">
        <v>369</v>
      </c>
      <c r="B3" s="56" t="s">
        <v>1742</v>
      </c>
      <c r="C3" s="56" t="s">
        <v>1743</v>
      </c>
      <c r="D3" s="63" t="s">
        <v>1744</v>
      </c>
      <c r="E3" s="63" t="s">
        <v>131</v>
      </c>
      <c r="F3" s="63" t="s">
        <v>149</v>
      </c>
      <c r="G3" s="212" t="s">
        <v>371</v>
      </c>
      <c r="H3" s="209"/>
      <c r="I3" s="209"/>
    </row>
    <row r="4" spans="1:9">
      <c r="A4" s="135" t="s">
        <v>184</v>
      </c>
      <c r="B4" s="214">
        <v>45638</v>
      </c>
      <c r="C4" s="213">
        <v>45638</v>
      </c>
      <c r="D4" s="63" t="s">
        <v>1745</v>
      </c>
      <c r="E4" s="63" t="s">
        <v>973</v>
      </c>
      <c r="F4" s="63" t="s">
        <v>927</v>
      </c>
      <c r="G4" s="162" t="s">
        <v>457</v>
      </c>
      <c r="H4" s="59"/>
      <c r="I4" s="59"/>
    </row>
    <row r="5" spans="1:9">
      <c r="A5" s="135" t="s">
        <v>186</v>
      </c>
      <c r="B5" s="215" t="s">
        <v>458</v>
      </c>
      <c r="C5" s="190" t="s">
        <v>458</v>
      </c>
      <c r="D5" s="63" t="s">
        <v>1746</v>
      </c>
      <c r="E5" s="63" t="s">
        <v>974</v>
      </c>
      <c r="F5" s="63" t="s">
        <v>931</v>
      </c>
      <c r="G5" s="162" t="s">
        <v>463</v>
      </c>
      <c r="H5" s="59"/>
      <c r="I5" s="59"/>
    </row>
    <row r="6" spans="1:9">
      <c r="B6" s="59"/>
      <c r="C6" s="117"/>
      <c r="D6" s="59"/>
    </row>
    <row r="7" spans="1:9">
      <c r="B7" s="59"/>
      <c r="C7" s="117"/>
      <c r="D7" s="59"/>
    </row>
    <row r="8" spans="1:9">
      <c r="B8" s="59"/>
      <c r="C8" s="117"/>
      <c r="D8" s="59"/>
    </row>
    <row r="9" spans="1:9">
      <c r="B9" s="59"/>
      <c r="C9" s="117"/>
      <c r="D9" s="59"/>
    </row>
    <row r="10" spans="1:9">
      <c r="B10" s="59"/>
      <c r="C10" s="117"/>
      <c r="D10" s="59"/>
    </row>
    <row r="11" spans="1:9">
      <c r="B11" s="59"/>
      <c r="C11" s="117"/>
      <c r="D11" s="59"/>
    </row>
    <row r="12" spans="1:9">
      <c r="B12" s="59"/>
      <c r="C12" s="117"/>
      <c r="D12" s="59"/>
    </row>
    <row r="13" spans="1:9">
      <c r="B13" s="59"/>
      <c r="C13" s="117"/>
      <c r="D13" s="59"/>
    </row>
    <row r="14" spans="1:9">
      <c r="B14" s="59"/>
      <c r="C14" s="117"/>
      <c r="D14" s="59"/>
    </row>
    <row r="15" spans="1:9">
      <c r="B15" s="59"/>
      <c r="C15" s="117"/>
      <c r="D15" s="59"/>
    </row>
    <row r="16" spans="1:9">
      <c r="B16" s="59"/>
      <c r="C16" s="117"/>
      <c r="D16" s="59"/>
    </row>
    <row r="17" spans="2:4">
      <c r="B17" s="59"/>
      <c r="C17" s="117"/>
      <c r="D17" s="59"/>
    </row>
    <row r="18" spans="2:4">
      <c r="B18" s="59"/>
      <c r="C18" s="117"/>
      <c r="D18" s="59"/>
    </row>
    <row r="19" spans="2:4">
      <c r="B19" s="59"/>
      <c r="C19" s="117"/>
      <c r="D19" s="59"/>
    </row>
    <row r="20" spans="2:4">
      <c r="B20" s="59"/>
      <c r="C20" s="117"/>
      <c r="D20" s="59"/>
    </row>
    <row r="21" spans="2:4">
      <c r="B21" s="59"/>
      <c r="C21" s="117"/>
      <c r="D21" s="59"/>
    </row>
    <row r="22" spans="2:4">
      <c r="B22" s="59"/>
      <c r="C22" s="117"/>
      <c r="D22" s="59"/>
    </row>
    <row r="23" spans="2:4">
      <c r="B23" s="59"/>
      <c r="C23" s="117"/>
      <c r="D23" s="59"/>
    </row>
    <row r="24" spans="2:4">
      <c r="B24" s="59"/>
      <c r="C24" s="117"/>
      <c r="D24" s="59"/>
    </row>
    <row r="25" spans="2:4">
      <c r="B25" s="59"/>
      <c r="C25" s="117"/>
      <c r="D25" s="59"/>
    </row>
    <row r="26" spans="2:4">
      <c r="B26" s="59"/>
      <c r="C26" s="117"/>
      <c r="D26" s="59"/>
    </row>
    <row r="27" spans="2:4">
      <c r="B27" s="59"/>
      <c r="C27" s="117"/>
      <c r="D27" s="59"/>
    </row>
    <row r="28" spans="2:4">
      <c r="B28" s="59"/>
      <c r="C28" s="117"/>
      <c r="D28" s="59"/>
    </row>
    <row r="29" spans="2:4">
      <c r="B29" s="59"/>
      <c r="C29" s="117"/>
      <c r="D29" s="59"/>
    </row>
    <row r="30" spans="2:4">
      <c r="B30" s="59"/>
      <c r="C30" s="117"/>
      <c r="D30" s="59"/>
    </row>
    <row r="31" spans="2:4">
      <c r="B31" s="59"/>
      <c r="C31" s="117"/>
      <c r="D31" s="59"/>
    </row>
    <row r="32" spans="2:4">
      <c r="B32" s="59"/>
      <c r="C32" s="117"/>
      <c r="D32" s="59"/>
    </row>
    <row r="33" spans="1:4">
      <c r="B33" s="59"/>
      <c r="C33" s="117"/>
      <c r="D33" s="59"/>
    </row>
    <row r="34" spans="1:4">
      <c r="B34" s="59"/>
      <c r="C34" s="117"/>
      <c r="D34" s="59"/>
    </row>
    <row r="35" spans="1:4">
      <c r="B35" s="59"/>
      <c r="C35" s="118"/>
      <c r="D35" s="59"/>
    </row>
    <row r="36" spans="1:4">
      <c r="A36" s="73"/>
      <c r="B36" s="59"/>
      <c r="C36" s="118"/>
      <c r="D36" s="59"/>
    </row>
    <row r="37" spans="1:4">
      <c r="B37" s="59"/>
      <c r="C37" s="117"/>
      <c r="D37" s="59"/>
    </row>
    <row r="38" spans="1:4">
      <c r="B38" s="59"/>
      <c r="C38" s="117"/>
      <c r="D38" s="59"/>
    </row>
    <row r="39" spans="1:4">
      <c r="B39" s="59"/>
      <c r="C39" s="117"/>
      <c r="D39" s="59"/>
    </row>
    <row r="40" spans="1:4">
      <c r="B40" s="59"/>
      <c r="C40" s="117"/>
      <c r="D40" s="59"/>
    </row>
    <row r="41" spans="1:4">
      <c r="B41" s="59"/>
      <c r="C41" s="117"/>
      <c r="D41" s="59"/>
    </row>
    <row r="42" spans="1:4">
      <c r="B42" s="59"/>
      <c r="C42" s="117"/>
      <c r="D42" s="59"/>
    </row>
    <row r="43" spans="1:4">
      <c r="B43" s="59"/>
      <c r="C43" s="117"/>
      <c r="D43" s="59"/>
    </row>
    <row r="44" spans="1:4">
      <c r="B44" s="59"/>
      <c r="C44" s="117"/>
      <c r="D44" s="59"/>
    </row>
    <row r="45" spans="1:4">
      <c r="B45" s="59"/>
      <c r="C45" s="117"/>
      <c r="D45" s="59"/>
    </row>
    <row r="46" spans="1:4">
      <c r="B46" s="59"/>
      <c r="C46" s="117"/>
      <c r="D46" s="59"/>
    </row>
    <row r="47" spans="1:4">
      <c r="B47" s="59"/>
      <c r="C47" s="117"/>
      <c r="D47" s="59"/>
    </row>
    <row r="48" spans="1:4">
      <c r="B48" s="59"/>
      <c r="C48" s="117"/>
      <c r="D48" s="59"/>
    </row>
    <row r="49" spans="2:4">
      <c r="B49" s="59"/>
      <c r="C49" s="117"/>
      <c r="D49" s="59"/>
    </row>
    <row r="50" spans="2:4">
      <c r="B50" s="59"/>
      <c r="C50" s="117"/>
      <c r="D50" s="59"/>
    </row>
    <row r="51" spans="2:4">
      <c r="B51" s="59"/>
      <c r="C51" s="118"/>
      <c r="D51" s="59"/>
    </row>
    <row r="52" spans="2:4">
      <c r="B52" s="59"/>
      <c r="C52" s="118"/>
      <c r="D52" s="59"/>
    </row>
    <row r="53" spans="2:4">
      <c r="B53" s="59"/>
      <c r="C53" s="117"/>
      <c r="D53" s="59"/>
    </row>
    <row r="54" spans="2:4">
      <c r="B54" s="59"/>
      <c r="C54" s="117"/>
      <c r="D54" s="59"/>
    </row>
    <row r="55" spans="2:4">
      <c r="B55" s="59"/>
      <c r="C55" s="117"/>
      <c r="D55" s="59"/>
    </row>
    <row r="56" spans="2:4">
      <c r="B56" s="59"/>
      <c r="C56" s="117"/>
      <c r="D56" s="59"/>
    </row>
    <row r="57" spans="2:4">
      <c r="B57" s="59"/>
      <c r="C57" s="117"/>
      <c r="D57" s="59"/>
    </row>
    <row r="58" spans="2:4">
      <c r="B58" s="59"/>
      <c r="C58" s="117"/>
      <c r="D58" s="59"/>
    </row>
    <row r="59" spans="2:4">
      <c r="B59" s="59"/>
      <c r="C59" s="117"/>
      <c r="D59" s="59"/>
    </row>
    <row r="60" spans="2:4">
      <c r="B60" s="59"/>
      <c r="C60" s="118"/>
      <c r="D60" s="59"/>
    </row>
    <row r="61" spans="2:4">
      <c r="B61" s="59"/>
      <c r="C61" s="118"/>
      <c r="D61" s="59"/>
    </row>
    <row r="62" spans="2:4">
      <c r="B62" s="59"/>
      <c r="C62" s="118"/>
      <c r="D62" s="59"/>
    </row>
    <row r="63" spans="2:4">
      <c r="B63" s="59"/>
      <c r="C63" s="118"/>
      <c r="D63" s="59"/>
    </row>
    <row r="64" spans="2:4">
      <c r="B64" s="59"/>
      <c r="C64" s="118"/>
      <c r="D64" s="59"/>
    </row>
    <row r="65" spans="2:4">
      <c r="B65" s="59"/>
      <c r="C65" s="118"/>
      <c r="D65" s="59"/>
    </row>
    <row r="66" spans="2:4">
      <c r="B66" s="59"/>
      <c r="C66" s="118"/>
      <c r="D66" s="59"/>
    </row>
    <row r="67" spans="2:4">
      <c r="B67" s="59"/>
      <c r="C67" s="118"/>
      <c r="D67" s="59"/>
    </row>
    <row r="68" spans="2:4">
      <c r="B68" s="59"/>
      <c r="C68" s="118"/>
      <c r="D68" s="59"/>
    </row>
    <row r="69" spans="2:4">
      <c r="B69" s="59"/>
      <c r="C69" s="117"/>
      <c r="D69" s="59"/>
    </row>
    <row r="70" spans="2:4">
      <c r="B70" s="59"/>
      <c r="C70" s="117"/>
      <c r="D70" s="59"/>
    </row>
    <row r="71" spans="2:4">
      <c r="B71" s="59"/>
      <c r="C71" s="117"/>
      <c r="D71" s="59"/>
    </row>
    <row r="72" spans="2:4">
      <c r="B72" s="59"/>
      <c r="C72" s="117"/>
      <c r="D72" s="59"/>
    </row>
    <row r="73" spans="2:4">
      <c r="B73" s="59"/>
      <c r="C73" s="117"/>
      <c r="D73" s="59"/>
    </row>
    <row r="74" spans="2:4">
      <c r="B74" s="59"/>
      <c r="C74" s="117"/>
      <c r="D74" s="59"/>
    </row>
    <row r="75" spans="2:4">
      <c r="B75" s="59"/>
      <c r="C75" s="117"/>
      <c r="D75" s="59"/>
    </row>
    <row r="76" spans="2:4">
      <c r="B76" s="59"/>
      <c r="C76" s="117"/>
      <c r="D76" s="59"/>
    </row>
    <row r="77" spans="2:4">
      <c r="B77" s="59"/>
      <c r="C77" s="117"/>
      <c r="D77" s="59"/>
    </row>
  </sheetData>
  <hyperlinks>
    <hyperlink ref="D3" location="'Establecieminto Servicio'!A2" display="EstableciemeintoServicio" xr:uid="{03E7E579-FEDB-4646-BDB4-1550E776732F}"/>
    <hyperlink ref="E3" location="'Estado Servicio'!C5" display="EstadoServicio" xr:uid="{DEBADF75-CDBD-431B-B763-8F2A3C25A1EC}"/>
    <hyperlink ref="F3" location="Motocicleta!A2" display="Motocicleta" xr:uid="{8E48C857-A285-497E-A0FE-1F5885A14526}"/>
    <hyperlink ref="D4" location="'Establecieminto Servicio'!H3" display="Baike universe - Cambio de aceite y filtros" xr:uid="{98EBE5F2-23FE-4C6A-BE1F-B1C2FF230001}"/>
    <hyperlink ref="E4" location="'Estado Servicio Realizado'!C5" display="Finalizado" xr:uid="{434953A0-C27C-4F3F-86E9-E6313E3BE977}"/>
    <hyperlink ref="F4" location="Motocicleta!F3" display="MRC35E" xr:uid="{F1BB3108-216C-43B1-B307-64F20A634C86}"/>
    <hyperlink ref="D5" location="'Establecieminto Servicio'!H4" display="Dos Ruedas - Revisión/ajuste de frenos" xr:uid="{E5791E0D-D462-49ED-88C1-55074AE34C75}"/>
    <hyperlink ref="E5" location="'Estado Servicio Realizado'!C6" display="Cancelado" xr:uid="{7FC6206E-B93C-447F-AF7C-3EA5D379D7AB}"/>
    <hyperlink ref="F5" location="Motocicleta!F4" display="YBR67A" xr:uid="{77220F38-3E94-4DAE-A156-B16DECC1C863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7DE1-47AC-49C4-AE00-745481CDB058}">
  <dimension ref="A1:W42"/>
  <sheetViews>
    <sheetView zoomScale="85" zoomScaleNormal="85" workbookViewId="0">
      <pane xSplit="1" topLeftCell="U6" activePane="topRight" state="frozen"/>
      <selection pane="topRight" activeCell="X12" sqref="X12"/>
    </sheetView>
  </sheetViews>
  <sheetFormatPr defaultColWidth="11.42578125" defaultRowHeight="15"/>
  <cols>
    <col min="1" max="1" width="40.28515625" style="1" bestFit="1" customWidth="1"/>
    <col min="2" max="2" width="34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22.140625" style="1" customWidth="1"/>
    <col min="7" max="7" width="28.5703125" style="1" bestFit="1" customWidth="1"/>
    <col min="8" max="8" width="53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71.140625" style="1" customWidth="1"/>
    <col min="22" max="22" width="56.140625" style="1" customWidth="1"/>
    <col min="23" max="23" width="66.85546875" style="1" bestFit="1" customWidth="1"/>
    <col min="24" max="16384" width="11.42578125" style="1"/>
  </cols>
  <sheetData>
    <row r="1" spans="1:23">
      <c r="A1" s="1185" t="s">
        <v>990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3">
      <c r="A2" s="4" t="s">
        <v>391</v>
      </c>
      <c r="B2" s="1186" t="str">
        <f>'Listado Objetos de Dominio'!$A$26</f>
        <v>Servicio Realizado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3">
      <c r="A3" s="189" t="s">
        <v>392</v>
      </c>
      <c r="B3" s="1210" t="str">
        <f>'Listado Objetos de Dominio'!$B$26</f>
        <v>Objeto de dominio que representa un servicio específico completado en una motocicleta.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3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A23</f>
        <v>Registrar Información del Servicio Realizado</v>
      </c>
      <c r="V4" s="35" t="str">
        <f>A28</f>
        <v>Modificar Información del Servicio Realizado</v>
      </c>
      <c r="W4" s="2" t="str">
        <f>A34</f>
        <v>Consultar Información del Servicio Realizado</v>
      </c>
    </row>
    <row r="5" spans="1:23" ht="79.5" customHeight="1">
      <c r="A5" s="184" t="str">
        <f>'Servicio Reali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'Calificación Muestreo'!A2</f>
        <v>Corresponde al identificador único que identifica cada calificación realizada por un usuario a un servicio.</v>
      </c>
      <c r="U5" s="795" t="s">
        <v>467</v>
      </c>
      <c r="V5" s="39" t="s">
        <v>409</v>
      </c>
      <c r="W5" s="47" t="s">
        <v>468</v>
      </c>
    </row>
    <row r="6" spans="1:23" ht="82.5" customHeight="1">
      <c r="A6" s="184" t="str">
        <f>'Servicio Reali Muestreo'!B3</f>
        <v>fechaInicio</v>
      </c>
      <c r="B6" s="184" t="s">
        <v>91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78</v>
      </c>
      <c r="R6" s="186" t="s">
        <v>81</v>
      </c>
      <c r="S6" s="186" t="s">
        <v>81</v>
      </c>
      <c r="T6" s="185" t="str">
        <f>'Calificación Muestreo'!B2</f>
        <v>Corresponde al ServicioRealizado que identifica el servicio que fue realizado y  puede ser calificado.</v>
      </c>
      <c r="U6" s="795" t="s">
        <v>467</v>
      </c>
      <c r="V6" s="39" t="s">
        <v>413</v>
      </c>
      <c r="W6" s="47" t="s">
        <v>765</v>
      </c>
    </row>
    <row r="7" spans="1:23" ht="62.25" customHeight="1">
      <c r="A7" s="184" t="str">
        <f>'Servicio Reali Muestreo'!C3</f>
        <v>fechaFinalizacion</v>
      </c>
      <c r="B7" s="184" t="s">
        <v>91</v>
      </c>
      <c r="C7" s="184"/>
      <c r="D7" s="184"/>
      <c r="E7" s="184"/>
      <c r="F7" s="184"/>
      <c r="G7" s="184"/>
      <c r="H7" s="184"/>
      <c r="I7" s="184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78</v>
      </c>
      <c r="R7" s="186" t="s">
        <v>81</v>
      </c>
      <c r="S7" s="186" t="s">
        <v>81</v>
      </c>
      <c r="T7" s="185" t="str">
        <f>'Calificación Muestreo'!C2</f>
        <v>Corresponde al atributo que indica la fecha en que el usuario realizó la calificación del servicio.</v>
      </c>
      <c r="U7" s="795" t="s">
        <v>467</v>
      </c>
      <c r="V7" s="39" t="s">
        <v>413</v>
      </c>
      <c r="W7" s="47" t="s">
        <v>1747</v>
      </c>
    </row>
    <row r="8" spans="1:23" ht="58.5" customHeight="1">
      <c r="A8" s="184" t="str">
        <f>'Servicio Reali Muestreo'!D3</f>
        <v>SedeServicio</v>
      </c>
      <c r="B8" s="184" t="s">
        <v>129</v>
      </c>
      <c r="C8" s="184"/>
      <c r="D8" s="184"/>
      <c r="E8" s="184"/>
      <c r="F8" s="184"/>
      <c r="G8" s="184"/>
      <c r="H8" s="184"/>
      <c r="I8" s="184"/>
      <c r="J8" s="184"/>
      <c r="K8" s="185"/>
      <c r="L8" s="186" t="s">
        <v>81</v>
      </c>
      <c r="M8" s="186" t="s">
        <v>81</v>
      </c>
      <c r="N8" s="186" t="s">
        <v>81</v>
      </c>
      <c r="O8" s="186" t="s">
        <v>81</v>
      </c>
      <c r="P8" s="186" t="s">
        <v>78</v>
      </c>
      <c r="Q8" s="186" t="s">
        <v>78</v>
      </c>
      <c r="R8" s="186" t="s">
        <v>81</v>
      </c>
      <c r="S8" s="186" t="s">
        <v>81</v>
      </c>
      <c r="T8" s="185" t="str">
        <f>'Calificación Muestreo'!D2</f>
        <v>Corresponde al rangoCalificacion que indica la calificación otorgada un servicio.</v>
      </c>
      <c r="U8" s="795" t="s">
        <v>467</v>
      </c>
      <c r="V8" s="39" t="s">
        <v>413</v>
      </c>
      <c r="W8" s="47" t="s">
        <v>1748</v>
      </c>
    </row>
    <row r="9" spans="1:23" ht="70.5" customHeight="1">
      <c r="A9" s="184" t="str">
        <f>'Servicio Reali Muestreo'!E3</f>
        <v>estadoServicioRealizado</v>
      </c>
      <c r="B9" s="184" t="s">
        <v>131</v>
      </c>
      <c r="C9" s="184"/>
      <c r="D9" s="184"/>
      <c r="E9" s="184"/>
      <c r="F9" s="184"/>
      <c r="G9" s="184"/>
      <c r="H9" s="184"/>
      <c r="I9" s="5"/>
      <c r="J9" s="184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78</v>
      </c>
      <c r="R9" s="186" t="s">
        <v>81</v>
      </c>
      <c r="S9" s="186" t="s">
        <v>81</v>
      </c>
      <c r="T9" s="185" t="str">
        <f>'Calificación Muestreo'!E2</f>
        <v>Corresponde al atributo que permite al usuario expresar su opinión detallada sobre el servicio recibido.</v>
      </c>
      <c r="U9" s="795" t="s">
        <v>467</v>
      </c>
      <c r="V9" s="39" t="s">
        <v>413</v>
      </c>
      <c r="W9" s="47" t="s">
        <v>1749</v>
      </c>
    </row>
    <row r="10" spans="1:23" ht="75" customHeight="1">
      <c r="A10" s="184" t="str">
        <f>'Servicio Reali Muestreo'!F3</f>
        <v>motocicleta</v>
      </c>
      <c r="B10" s="184" t="s">
        <v>149</v>
      </c>
      <c r="C10" s="184"/>
      <c r="D10" s="184"/>
      <c r="E10" s="184"/>
      <c r="F10" s="184"/>
      <c r="G10" s="184"/>
      <c r="H10" s="184"/>
      <c r="I10" s="184"/>
      <c r="J10" s="184"/>
      <c r="K10" s="185"/>
      <c r="L10" s="186" t="s">
        <v>81</v>
      </c>
      <c r="M10" s="186" t="s">
        <v>81</v>
      </c>
      <c r="N10" s="186" t="s">
        <v>81</v>
      </c>
      <c r="O10" s="186" t="s">
        <v>81</v>
      </c>
      <c r="P10" s="186" t="s">
        <v>78</v>
      </c>
      <c r="Q10" s="186" t="s">
        <v>78</v>
      </c>
      <c r="R10" s="186" t="s">
        <v>78</v>
      </c>
      <c r="S10" s="186" t="s">
        <v>81</v>
      </c>
      <c r="T10" s="185" t="str">
        <f>'Calificación Muestreo'!F2</f>
        <v>Corresponde al atributo que indica si el comentario contiene contenido ofensivo</v>
      </c>
      <c r="U10" s="795" t="s">
        <v>467</v>
      </c>
      <c r="V10" s="39" t="s">
        <v>413</v>
      </c>
      <c r="W10" s="47" t="s">
        <v>1750</v>
      </c>
    </row>
    <row r="11" spans="1:23" ht="15" customHeight="1"/>
    <row r="12" spans="1:23" ht="35.25" customHeight="1">
      <c r="A12" s="1211" t="s">
        <v>414</v>
      </c>
      <c r="B12" s="1212"/>
      <c r="C12" s="1213"/>
      <c r="G12" s="1" t="s">
        <v>418</v>
      </c>
    </row>
    <row r="13" spans="1:23">
      <c r="A13" s="193" t="s">
        <v>415</v>
      </c>
      <c r="B13" s="193" t="s">
        <v>2</v>
      </c>
      <c r="C13" s="126" t="s">
        <v>416</v>
      </c>
    </row>
    <row r="14" spans="1:23" ht="40.5" customHeight="1">
      <c r="A14" s="1214" t="s">
        <v>473</v>
      </c>
      <c r="B14" s="1214" t="str">
        <f>'Servicio Reali Muestreo'!G2</f>
        <v>El servicio realizado no debe tener duplicidad en la combinación del sede que brinda el servicio, estado del servicio , fechas y la matrícula de la  motocicleta.</v>
      </c>
      <c r="C14" s="228" t="str">
        <f>A6</f>
        <v>fechaInicio</v>
      </c>
    </row>
    <row r="15" spans="1:23" ht="36" customHeight="1">
      <c r="A15" s="1215"/>
      <c r="B15" s="1215"/>
      <c r="C15" s="228" t="str">
        <f>A7</f>
        <v>fechaFinalizacion</v>
      </c>
    </row>
    <row r="21" spans="1:22">
      <c r="A21" s="358" t="s">
        <v>419</v>
      </c>
      <c r="B21" s="317"/>
      <c r="C21" s="317" t="s">
        <v>2</v>
      </c>
      <c r="D21" s="317"/>
      <c r="E21" s="318"/>
      <c r="F21" s="319"/>
      <c r="G21" s="317" t="s">
        <v>420</v>
      </c>
      <c r="H21" s="333"/>
      <c r="I21" s="319"/>
      <c r="J21" s="319" t="s">
        <v>421</v>
      </c>
      <c r="K21" s="319"/>
      <c r="L21" s="319"/>
      <c r="M21" s="318"/>
      <c r="N21" s="319" t="s">
        <v>422</v>
      </c>
      <c r="O21" s="319"/>
      <c r="P21" s="319"/>
      <c r="Q21" s="318"/>
      <c r="R21" s="319" t="s">
        <v>474</v>
      </c>
      <c r="S21" s="358"/>
      <c r="T21" s="290"/>
      <c r="U21" s="290"/>
      <c r="V21" s="290"/>
    </row>
    <row r="22" spans="1:22">
      <c r="A22" s="312"/>
      <c r="B22" s="346"/>
      <c r="C22" s="346"/>
      <c r="D22" s="340"/>
      <c r="E22" s="341" t="s">
        <v>423</v>
      </c>
      <c r="F22" s="337" t="s">
        <v>424</v>
      </c>
      <c r="G22" s="316"/>
      <c r="H22" s="333" t="s">
        <v>2</v>
      </c>
      <c r="I22" s="346" t="s">
        <v>66</v>
      </c>
      <c r="J22" s="339"/>
      <c r="K22" s="346" t="s">
        <v>2</v>
      </c>
      <c r="L22" s="340"/>
      <c r="M22" s="337" t="s">
        <v>425</v>
      </c>
      <c r="N22" s="334"/>
      <c r="O22" s="335" t="s">
        <v>2</v>
      </c>
      <c r="P22" s="335"/>
      <c r="Q22" s="1178" t="s">
        <v>426</v>
      </c>
      <c r="R22" s="1202"/>
      <c r="S22" s="358" t="s">
        <v>427</v>
      </c>
      <c r="T22" s="290"/>
      <c r="U22" s="290"/>
      <c r="V22" s="290"/>
    </row>
    <row r="23" spans="1:22" ht="100.5" customHeight="1">
      <c r="A23" s="665" t="s">
        <v>1751</v>
      </c>
      <c r="B23" s="593"/>
      <c r="C23" s="594" t="s">
        <v>1752</v>
      </c>
      <c r="D23" s="594"/>
      <c r="E23" s="344" t="s">
        <v>441</v>
      </c>
      <c r="F23" s="680" t="s">
        <v>157</v>
      </c>
      <c r="G23" s="683" t="s">
        <v>1753</v>
      </c>
      <c r="H23" s="595"/>
      <c r="I23" s="595"/>
      <c r="J23" s="594"/>
      <c r="K23" s="594"/>
      <c r="L23" s="595"/>
      <c r="M23" s="365" t="s">
        <v>1754</v>
      </c>
      <c r="N23" s="1304" t="s">
        <v>947</v>
      </c>
      <c r="O23" s="1305"/>
      <c r="P23" s="1306"/>
      <c r="Q23" s="1260" t="s">
        <v>870</v>
      </c>
      <c r="R23" s="1257"/>
      <c r="S23" s="552" t="s">
        <v>1005</v>
      </c>
    </row>
    <row r="24" spans="1:22" ht="78.75" customHeight="1">
      <c r="A24" s="665"/>
      <c r="B24" s="596"/>
      <c r="C24" s="597"/>
      <c r="D24" s="597"/>
      <c r="E24" s="396"/>
      <c r="F24" s="681"/>
      <c r="G24" s="679"/>
      <c r="H24" s="599"/>
      <c r="I24" s="599"/>
      <c r="J24" s="597"/>
      <c r="K24" s="597"/>
      <c r="L24" s="599"/>
      <c r="M24" s="365" t="s">
        <v>1755</v>
      </c>
      <c r="N24" s="1304" t="s">
        <v>869</v>
      </c>
      <c r="O24" s="1305"/>
      <c r="P24" s="1306"/>
      <c r="Q24" s="1260" t="s">
        <v>1756</v>
      </c>
      <c r="R24" s="1257"/>
      <c r="S24" s="552" t="s">
        <v>438</v>
      </c>
      <c r="T24" s="291"/>
      <c r="U24" s="291"/>
    </row>
    <row r="25" spans="1:22" ht="108" customHeight="1">
      <c r="A25" s="665"/>
      <c r="B25" s="596"/>
      <c r="C25" s="597"/>
      <c r="D25" s="597"/>
      <c r="E25" s="396"/>
      <c r="F25" s="681"/>
      <c r="G25" s="679"/>
      <c r="H25" s="599"/>
      <c r="I25" s="599"/>
      <c r="J25" s="597"/>
      <c r="K25" s="597"/>
      <c r="L25" s="599"/>
      <c r="M25" s="365" t="s">
        <v>1757</v>
      </c>
      <c r="N25" s="1304" t="s">
        <v>495</v>
      </c>
      <c r="O25" s="1305"/>
      <c r="P25" s="1306"/>
      <c r="Q25" s="1260" t="s">
        <v>870</v>
      </c>
      <c r="R25" s="1257"/>
      <c r="S25" s="552" t="s">
        <v>438</v>
      </c>
      <c r="T25" s="291"/>
      <c r="U25" s="291"/>
    </row>
    <row r="26" spans="1:22" ht="114" customHeight="1">
      <c r="A26" s="665"/>
      <c r="B26" s="596"/>
      <c r="C26" s="597"/>
      <c r="D26" s="597"/>
      <c r="E26" s="396"/>
      <c r="F26" s="681"/>
      <c r="G26" s="679"/>
      <c r="H26" s="599"/>
      <c r="I26" s="599"/>
      <c r="J26" s="597"/>
      <c r="K26" s="597"/>
      <c r="L26" s="599"/>
      <c r="M26" s="365" t="s">
        <v>1758</v>
      </c>
      <c r="N26" s="1307" t="s">
        <v>1759</v>
      </c>
      <c r="O26" s="1301"/>
      <c r="P26" s="1302"/>
      <c r="Q26" s="1336" t="s">
        <v>1760</v>
      </c>
      <c r="R26" s="1218"/>
      <c r="S26" s="553" t="s">
        <v>438</v>
      </c>
      <c r="T26" s="291"/>
      <c r="U26" s="291"/>
    </row>
    <row r="27" spans="1:22" ht="114" customHeight="1">
      <c r="A27" s="665"/>
      <c r="B27" s="596"/>
      <c r="C27" s="597"/>
      <c r="D27" s="597"/>
      <c r="E27" s="396"/>
      <c r="F27" s="681"/>
      <c r="G27" s="679"/>
      <c r="H27" s="599"/>
      <c r="I27" s="599"/>
      <c r="J27" s="597"/>
      <c r="K27" s="597"/>
      <c r="L27" s="631"/>
      <c r="M27" s="892" t="s">
        <v>1761</v>
      </c>
      <c r="N27" s="1305" t="s">
        <v>1762</v>
      </c>
      <c r="O27" s="1305"/>
      <c r="P27" s="1306"/>
      <c r="Q27" s="1257" t="s">
        <v>483</v>
      </c>
      <c r="R27" s="1259"/>
      <c r="S27" s="553" t="s">
        <v>1005</v>
      </c>
      <c r="T27" s="291"/>
      <c r="U27" s="291"/>
    </row>
    <row r="28" spans="1:22" ht="108.75" customHeight="1">
      <c r="A28" s="342" t="s">
        <v>1763</v>
      </c>
      <c r="B28" s="600"/>
      <c r="C28" s="580" t="s">
        <v>1764</v>
      </c>
      <c r="D28" s="580"/>
      <c r="E28" s="517" t="s">
        <v>441</v>
      </c>
      <c r="F28" s="696" t="s">
        <v>157</v>
      </c>
      <c r="G28" s="550" t="s">
        <v>1765</v>
      </c>
      <c r="H28" s="805"/>
      <c r="I28" s="361"/>
      <c r="J28" s="580"/>
      <c r="K28" s="580"/>
      <c r="L28" s="773"/>
      <c r="M28" s="769" t="s">
        <v>1757</v>
      </c>
      <c r="N28" s="1232" t="s">
        <v>495</v>
      </c>
      <c r="O28" s="1239"/>
      <c r="P28" s="1240"/>
      <c r="Q28" s="1313" t="s">
        <v>1634</v>
      </c>
      <c r="R28" s="1313"/>
      <c r="S28" s="373" t="s">
        <v>438</v>
      </c>
    </row>
    <row r="29" spans="1:22" ht="108" customHeight="1">
      <c r="A29" s="372"/>
      <c r="B29" s="601"/>
      <c r="C29" s="601"/>
      <c r="D29" s="601"/>
      <c r="E29" s="487" t="s">
        <v>369</v>
      </c>
      <c r="F29" s="369" t="s">
        <v>75</v>
      </c>
      <c r="G29" s="623" t="s">
        <v>1766</v>
      </c>
      <c r="H29" s="522"/>
      <c r="I29" s="602"/>
      <c r="J29" s="601"/>
      <c r="K29" s="601"/>
      <c r="L29" s="601"/>
      <c r="M29" s="768" t="s">
        <v>1767</v>
      </c>
      <c r="N29" s="1228" t="s">
        <v>1768</v>
      </c>
      <c r="O29" s="1229"/>
      <c r="P29" s="1337"/>
      <c r="Q29" s="1228" t="s">
        <v>870</v>
      </c>
      <c r="R29" s="1337"/>
      <c r="S29" s="774" t="s">
        <v>438</v>
      </c>
    </row>
    <row r="30" spans="1:22" ht="59.25" customHeight="1">
      <c r="A30" s="372"/>
      <c r="B30" s="601"/>
      <c r="C30" s="601"/>
      <c r="D30" s="601"/>
      <c r="E30" s="372"/>
      <c r="F30" s="369"/>
      <c r="G30" s="431"/>
      <c r="H30" s="602"/>
      <c r="I30" s="602"/>
      <c r="J30" s="601"/>
      <c r="K30" s="601"/>
      <c r="L30" s="601"/>
      <c r="M30" s="769"/>
      <c r="N30" s="1265"/>
      <c r="O30" s="1266"/>
      <c r="P30" s="1339"/>
      <c r="Q30" s="1268"/>
      <c r="R30" s="1268"/>
      <c r="S30" s="529"/>
    </row>
    <row r="31" spans="1:22" ht="108.75" customHeight="1">
      <c r="A31" s="898" t="s">
        <v>1769</v>
      </c>
      <c r="B31" s="820"/>
      <c r="C31" s="584" t="s">
        <v>1770</v>
      </c>
      <c r="D31" s="584"/>
      <c r="E31" s="397" t="s">
        <v>369</v>
      </c>
      <c r="F31" s="584" t="s">
        <v>75</v>
      </c>
      <c r="G31" s="383" t="s">
        <v>1771</v>
      </c>
      <c r="H31" s="899"/>
      <c r="I31" s="880"/>
      <c r="J31" s="584"/>
      <c r="K31" s="584"/>
      <c r="L31" s="607"/>
      <c r="M31" s="470" t="s">
        <v>1757</v>
      </c>
      <c r="N31" s="1269" t="s">
        <v>495</v>
      </c>
      <c r="O31" s="1270"/>
      <c r="P31" s="1271"/>
      <c r="Q31" s="1270" t="s">
        <v>870</v>
      </c>
      <c r="R31" s="1270"/>
      <c r="S31" s="398" t="s">
        <v>438</v>
      </c>
    </row>
    <row r="32" spans="1:22" ht="79.5" customHeight="1">
      <c r="A32" s="900"/>
      <c r="B32" s="354"/>
      <c r="C32" s="354"/>
      <c r="D32" s="354"/>
      <c r="E32" s="403"/>
      <c r="F32" s="354"/>
      <c r="G32" s="385"/>
      <c r="H32" s="881"/>
      <c r="I32" s="881"/>
      <c r="J32" s="354"/>
      <c r="K32" s="354"/>
      <c r="L32" s="354"/>
      <c r="M32" s="500" t="s">
        <v>1772</v>
      </c>
      <c r="N32" s="1294" t="s">
        <v>1773</v>
      </c>
      <c r="O32" s="1295"/>
      <c r="P32" s="1296"/>
      <c r="Q32" s="1283" t="s">
        <v>1774</v>
      </c>
      <c r="R32" s="1282"/>
      <c r="S32" s="483" t="s">
        <v>438</v>
      </c>
    </row>
    <row r="33" spans="1:19" ht="118.5" customHeight="1">
      <c r="A33" s="900"/>
      <c r="B33" s="776"/>
      <c r="C33" s="776"/>
      <c r="D33" s="776"/>
      <c r="E33" s="777"/>
      <c r="F33" s="776"/>
      <c r="G33" s="902"/>
      <c r="H33" s="882"/>
      <c r="I33" s="882"/>
      <c r="J33" s="776"/>
      <c r="K33" s="776"/>
      <c r="L33" s="776"/>
      <c r="M33" s="704" t="s">
        <v>1775</v>
      </c>
      <c r="N33" s="1295" t="s">
        <v>1776</v>
      </c>
      <c r="O33" s="1295"/>
      <c r="P33" s="1295"/>
      <c r="Q33" s="1294" t="s">
        <v>870</v>
      </c>
      <c r="R33" s="1296"/>
      <c r="S33" s="485"/>
    </row>
    <row r="34" spans="1:19" ht="152.25" customHeight="1">
      <c r="A34" s="609" t="s">
        <v>1777</v>
      </c>
      <c r="B34" s="609"/>
      <c r="C34" s="583" t="s">
        <v>1778</v>
      </c>
      <c r="D34" s="583"/>
      <c r="E34" s="415" t="s">
        <v>430</v>
      </c>
      <c r="F34" s="415" t="s">
        <v>1779</v>
      </c>
      <c r="G34" s="1044" t="s">
        <v>501</v>
      </c>
      <c r="H34" s="895"/>
      <c r="I34" s="391" t="s">
        <v>1779</v>
      </c>
      <c r="J34" s="392" t="s">
        <v>1780</v>
      </c>
      <c r="K34" s="583"/>
      <c r="L34" s="539"/>
      <c r="M34" s="778" t="s">
        <v>1781</v>
      </c>
      <c r="N34" s="1325" t="s">
        <v>436</v>
      </c>
      <c r="O34" s="1325"/>
      <c r="P34" s="1325"/>
      <c r="Q34" s="1280" t="s">
        <v>870</v>
      </c>
      <c r="R34" s="1297"/>
      <c r="S34" s="1106" t="s">
        <v>438</v>
      </c>
    </row>
    <row r="35" spans="1:19" ht="77.25" customHeight="1">
      <c r="A35" s="775"/>
      <c r="B35" s="775"/>
      <c r="C35" s="770"/>
      <c r="D35" s="770"/>
      <c r="E35" s="388"/>
      <c r="F35" s="388"/>
      <c r="G35" s="364"/>
      <c r="H35" s="806"/>
      <c r="I35" s="393"/>
      <c r="J35" s="1278"/>
      <c r="K35" s="1278"/>
      <c r="L35" s="1278"/>
      <c r="M35" s="540"/>
      <c r="N35" s="1278"/>
      <c r="O35" s="1278"/>
      <c r="P35" s="1278"/>
      <c r="Q35" s="1292"/>
      <c r="R35" s="1293"/>
      <c r="S35" s="393"/>
    </row>
    <row r="42" spans="1:19">
      <c r="M42" s="883"/>
      <c r="N42" s="879"/>
    </row>
  </sheetData>
  <mergeCells count="34">
    <mergeCell ref="N25:P25"/>
    <mergeCell ref="Q25:R25"/>
    <mergeCell ref="Q22:R22"/>
    <mergeCell ref="N23:P23"/>
    <mergeCell ref="Q23:R23"/>
    <mergeCell ref="N24:P24"/>
    <mergeCell ref="Q24:R24"/>
    <mergeCell ref="A1:T1"/>
    <mergeCell ref="B2:T2"/>
    <mergeCell ref="B3:T3"/>
    <mergeCell ref="A12:C12"/>
    <mergeCell ref="A14:A15"/>
    <mergeCell ref="B14:B15"/>
    <mergeCell ref="J35:L35"/>
    <mergeCell ref="N35:P35"/>
    <mergeCell ref="Q35:R35"/>
    <mergeCell ref="N31:P31"/>
    <mergeCell ref="Q31:R31"/>
    <mergeCell ref="N32:P32"/>
    <mergeCell ref="Q32:R32"/>
    <mergeCell ref="N34:P34"/>
    <mergeCell ref="Q34:R34"/>
    <mergeCell ref="N33:P33"/>
    <mergeCell ref="Q33:R33"/>
    <mergeCell ref="Q29:R29"/>
    <mergeCell ref="N30:P30"/>
    <mergeCell ref="N26:P26"/>
    <mergeCell ref="Q26:R26"/>
    <mergeCell ref="N27:P27"/>
    <mergeCell ref="Q27:R27"/>
    <mergeCell ref="N28:P28"/>
    <mergeCell ref="Q28:R28"/>
    <mergeCell ref="N29:P29"/>
    <mergeCell ref="Q30:R30"/>
  </mergeCells>
  <conditionalFormatting sqref="N23:N27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10593734-6FFC-41FD-94D3-EA0F898B6DAF}"/>
  </dataValidations>
  <hyperlinks>
    <hyperlink ref="A1" location="'Objetos de Dominio'!A1" display="Volver al inicio" xr:uid="{91D83806-1396-4850-8B98-8F58AD216297}"/>
    <hyperlink ref="V4" location="'Objeto Dominio 2'!A17" display="'Objeto Dominio 2'!A17" xr:uid="{5C09BC08-7344-43A4-9EDC-FD0C20EBC674}"/>
    <hyperlink ref="W4" location="'Objeto Dominio 2'!A19" display="'Objeto Dominio 2'!A19" xr:uid="{6A9C8B1C-D312-4B66-B239-FAE4C7E09194}"/>
    <hyperlink ref="U4" location="'Objeto Dominio 2'!A16" display="'Objeto Dominio 2'!A16" xr:uid="{B4928B12-B06C-41B9-9551-3A44198CF706}"/>
    <hyperlink ref="A1:T1" location="'Listado Objetos de Dominio'!A1" display="&lt;-Volver al inicio" xr:uid="{FFE2DC2C-580E-4DBA-8B2D-C609FDDF5018}"/>
    <hyperlink ref="C14" location="'Dia Caracterización'!A6" display="=A6" xr:uid="{77646177-73CC-48DC-9EB2-E22887DC00BB}"/>
    <hyperlink ref="C15" location="'Calificación Caracterización'!A7" display="=A7" xr:uid="{7551F926-996C-473D-9A5C-E0F23CC7AD8D}"/>
    <hyperlink ref="C14" location="'Calificación Caracterización'!A6" display="=A6" xr:uid="{448D1CF3-AAA6-4C6F-8044-E1CB025198F2}"/>
    <hyperlink ref="H34" location="'Tipo Relación Institución'!A6" display="'Tipo Relación Institución'!A6" xr:uid="{BBF8836D-D6D6-4A1D-A2DC-D0639BF21441}"/>
    <hyperlink ref="A28:B28" location="'Objeto Dominio 2'!R4" display="Reponsabilidad 2" xr:uid="{DD128BED-545B-4352-9E0C-F4AA7D0624A6}"/>
    <hyperlink ref="A31:B31" location="'Objeto Dominio 2'!R4" display="Reponsabilidad 2" xr:uid="{F862BE6C-6B18-42FE-ADDF-EF9170A79A43}"/>
    <hyperlink ref="A23:B23" location="'Objeto Dominio 2'!Q4" display="Reponsabilidad 1" xr:uid="{A30904AD-3D7B-474B-948B-FFC89627706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654BF7B-CC51-480A-AD14-D096DF814183}">
          <x14:formula1>
            <xm:f>Caracterizacion!$B$3:$B$515</xm:f>
          </x14:formula1>
          <xm:sqref>F5:G10</xm:sqref>
        </x14:dataValidation>
        <x14:dataValidation type="list" allowBlank="1" showInputMessage="1" showErrorMessage="1" xr:uid="{E0C00367-770D-4EE7-94B3-7C20EE7A5A31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B25B1DCA-4009-45A1-B020-67A807A1CD8D}">
          <x14:formula1>
            <xm:f>Caracterizacion!$C$3:$C$18</xm:f>
          </x14:formula1>
          <xm:sqref>E5:E10</xm:sqref>
        </x14:dataValidation>
        <x14:dataValidation type="list" allowBlank="1" showInputMessage="1" showErrorMessage="1" xr:uid="{6067F834-4EEF-4A91-854E-C09D9103D0E4}">
          <x14:formula1>
            <xm:f>Caracterizacion!$A$3:$A$40</xm:f>
          </x14:formula1>
          <xm:sqref>B6:B8 B10</xm:sqref>
        </x14:dataValidation>
        <x14:dataValidation type="list" allowBlank="1" showInputMessage="1" showErrorMessage="1" xr:uid="{8CE9C2A9-C6DD-426C-8A45-8592A2850190}">
          <x14:formula1>
            <xm:f>Caracterizacion!$A$3:$A$14</xm:f>
          </x14:formula1>
          <xm:sqref>B5</xm:sqref>
        </x14:dataValidation>
        <x14:dataValidation type="custom" allowBlank="1" showInputMessage="1" showErrorMessage="1" xr:uid="{59E32521-B2D6-4C02-9F0A-370D9802EB1B}">
          <x14:formula1>
            <xm:f>Caracterizacion!$F$3</xm:f>
          </x14:formula1>
          <xm:sqref>J5</xm:sqref>
        </x14:dataValidation>
        <x14:dataValidation type="list" allowBlank="1" showInputMessage="1" showErrorMessage="1" xr:uid="{299C9B6E-8ACD-444E-81CA-FAFE32CDCE66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FCB9F834-1950-405C-836C-950A9CF84EB5}">
          <x14:formula1>
            <xm:f>Caracterizacion!$A$3:$A$42</xm:f>
          </x14:formula1>
          <xm:sqref>B9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355C-3B55-439E-97B8-D0F5A584A541}">
  <dimension ref="A2:H80"/>
  <sheetViews>
    <sheetView workbookViewId="0">
      <selection activeCell="B31" sqref="B31"/>
    </sheetView>
  </sheetViews>
  <sheetFormatPr defaultRowHeight="15"/>
  <cols>
    <col min="1" max="1" width="40.140625" bestFit="1" customWidth="1"/>
    <col min="2" max="2" width="36.85546875" bestFit="1" customWidth="1"/>
    <col min="3" max="3" width="32.5703125" customWidth="1"/>
    <col min="4" max="4" width="30.7109375" bestFit="1" customWidth="1"/>
    <col min="5" max="5" width="59.5703125" bestFit="1" customWidth="1"/>
    <col min="6" max="6" width="20.5703125" bestFit="1" customWidth="1"/>
    <col min="7" max="7" width="26.28515625" bestFit="1" customWidth="1"/>
    <col min="8" max="8" width="45" bestFit="1" customWidth="1"/>
  </cols>
  <sheetData>
    <row r="2" spans="1:8" ht="46.5">
      <c r="A2" s="125" t="s">
        <v>1782</v>
      </c>
      <c r="B2" s="99" t="s">
        <v>1783</v>
      </c>
      <c r="C2" s="99" t="s">
        <v>1784</v>
      </c>
      <c r="D2" s="99" t="s">
        <v>1785</v>
      </c>
      <c r="E2" s="99" t="s">
        <v>1786</v>
      </c>
      <c r="F2" s="99" t="s">
        <v>1787</v>
      </c>
      <c r="G2" s="99" t="s">
        <v>1788</v>
      </c>
      <c r="H2" s="99" t="s">
        <v>1789</v>
      </c>
    </row>
    <row r="3" spans="1:8">
      <c r="A3" s="56" t="s">
        <v>369</v>
      </c>
      <c r="B3" s="226" t="s">
        <v>169</v>
      </c>
      <c r="C3" s="226" t="s">
        <v>155</v>
      </c>
      <c r="D3" s="129" t="s">
        <v>1790</v>
      </c>
      <c r="E3" s="266" t="s">
        <v>1139</v>
      </c>
      <c r="F3" s="129" t="s">
        <v>1140</v>
      </c>
      <c r="G3" s="129" t="s">
        <v>1791</v>
      </c>
      <c r="H3" s="267" t="s">
        <v>509</v>
      </c>
    </row>
    <row r="4" spans="1:8">
      <c r="A4" s="200" t="s">
        <v>247</v>
      </c>
      <c r="B4" s="226" t="s">
        <v>928</v>
      </c>
      <c r="C4" s="226" t="s">
        <v>1651</v>
      </c>
      <c r="D4" s="261">
        <v>45642</v>
      </c>
      <c r="E4" s="129"/>
      <c r="F4" s="268" t="s">
        <v>78</v>
      </c>
      <c r="G4" s="268" t="s">
        <v>78</v>
      </c>
      <c r="H4" s="269" t="s">
        <v>1792</v>
      </c>
    </row>
    <row r="5" spans="1:8">
      <c r="A5" s="200" t="s">
        <v>249</v>
      </c>
      <c r="B5" s="226" t="s">
        <v>1609</v>
      </c>
      <c r="C5" s="226" t="s">
        <v>1654</v>
      </c>
      <c r="D5" s="261">
        <v>45612</v>
      </c>
      <c r="E5" s="129"/>
      <c r="F5" s="266" t="s">
        <v>78</v>
      </c>
      <c r="G5" s="266" t="s">
        <v>461</v>
      </c>
      <c r="H5" s="267" t="s">
        <v>1793</v>
      </c>
    </row>
    <row r="6" spans="1:8">
      <c r="A6" s="200" t="s">
        <v>251</v>
      </c>
      <c r="B6" s="226" t="s">
        <v>932</v>
      </c>
      <c r="C6" s="226" t="s">
        <v>1654</v>
      </c>
      <c r="D6" s="261">
        <v>45490</v>
      </c>
      <c r="E6" s="129"/>
      <c r="F6" s="266" t="s">
        <v>78</v>
      </c>
      <c r="G6" s="266" t="s">
        <v>461</v>
      </c>
      <c r="H6" s="267" t="s">
        <v>1794</v>
      </c>
    </row>
    <row r="7" spans="1:8">
      <c r="A7" s="200" t="s">
        <v>253</v>
      </c>
      <c r="B7" s="226" t="s">
        <v>1610</v>
      </c>
      <c r="C7" s="226" t="s">
        <v>1657</v>
      </c>
      <c r="D7" s="261">
        <v>45432</v>
      </c>
      <c r="E7" s="129"/>
      <c r="F7" s="266" t="s">
        <v>78</v>
      </c>
      <c r="G7" s="266" t="s">
        <v>461</v>
      </c>
      <c r="H7" s="267" t="s">
        <v>1795</v>
      </c>
    </row>
    <row r="8" spans="1:8">
      <c r="A8" s="200" t="s">
        <v>249</v>
      </c>
      <c r="B8" s="226" t="s">
        <v>1611</v>
      </c>
      <c r="C8" s="226" t="s">
        <v>1660</v>
      </c>
      <c r="D8" s="261">
        <v>45307</v>
      </c>
      <c r="E8" s="1140">
        <v>45428</v>
      </c>
      <c r="F8" s="266" t="s">
        <v>461</v>
      </c>
      <c r="G8" s="266" t="s">
        <v>461</v>
      </c>
      <c r="H8" s="267" t="s">
        <v>1796</v>
      </c>
    </row>
    <row r="9" spans="1:8">
      <c r="B9" s="130"/>
      <c r="C9" s="231"/>
      <c r="D9" s="130"/>
      <c r="E9" s="130"/>
    </row>
    <row r="10" spans="1:8">
      <c r="B10" s="130"/>
      <c r="C10" s="231"/>
      <c r="D10" s="130"/>
      <c r="E10" s="130"/>
    </row>
    <row r="11" spans="1:8">
      <c r="B11" s="130"/>
      <c r="C11" s="231"/>
      <c r="D11" s="130"/>
      <c r="E11" s="130"/>
    </row>
    <row r="12" spans="1:8">
      <c r="B12" s="130"/>
      <c r="C12" s="231"/>
      <c r="D12" s="130"/>
      <c r="E12" s="130"/>
    </row>
    <row r="13" spans="1:8">
      <c r="B13" s="130"/>
      <c r="C13" s="231"/>
      <c r="D13" s="130"/>
      <c r="E13" s="130"/>
    </row>
    <row r="14" spans="1:8">
      <c r="B14" s="130"/>
      <c r="C14" s="231"/>
      <c r="D14" s="130"/>
      <c r="E14" s="130"/>
    </row>
    <row r="15" spans="1:8">
      <c r="B15" s="130"/>
      <c r="C15" s="231"/>
      <c r="D15" s="130"/>
      <c r="E15" s="130"/>
    </row>
    <row r="16" spans="1:8">
      <c r="B16" s="130"/>
      <c r="C16" s="231"/>
      <c r="D16" s="130"/>
      <c r="E16" s="130"/>
    </row>
    <row r="17" spans="2:5">
      <c r="B17" s="130"/>
      <c r="C17" s="231"/>
      <c r="D17" s="130"/>
      <c r="E17" s="130"/>
    </row>
    <row r="18" spans="2:5">
      <c r="B18" s="130"/>
      <c r="C18" s="231"/>
      <c r="D18" s="130"/>
      <c r="E18" s="130"/>
    </row>
    <row r="19" spans="2:5">
      <c r="B19" s="130"/>
      <c r="C19" s="231"/>
      <c r="D19" s="130"/>
      <c r="E19" s="130"/>
    </row>
    <row r="20" spans="2:5">
      <c r="B20" s="130"/>
      <c r="C20" s="231"/>
      <c r="D20" s="130"/>
      <c r="E20" s="130"/>
    </row>
    <row r="21" spans="2:5">
      <c r="B21" s="130"/>
      <c r="C21" s="231"/>
      <c r="D21" s="130"/>
      <c r="E21" s="130"/>
    </row>
    <row r="22" spans="2:5">
      <c r="B22" s="130"/>
      <c r="C22" s="231"/>
      <c r="D22" s="130"/>
      <c r="E22" s="130"/>
    </row>
    <row r="23" spans="2:5">
      <c r="B23" s="130"/>
      <c r="C23" s="231"/>
      <c r="D23" s="130"/>
      <c r="E23" s="130"/>
    </row>
    <row r="24" spans="2:5">
      <c r="B24" s="130"/>
      <c r="C24" s="231"/>
      <c r="D24" s="130"/>
      <c r="E24" s="130"/>
    </row>
    <row r="25" spans="2:5">
      <c r="B25" s="130"/>
      <c r="C25" s="231"/>
      <c r="D25" s="130"/>
    </row>
    <row r="26" spans="2:5">
      <c r="B26" s="130"/>
      <c r="C26" s="231"/>
      <c r="D26" s="130"/>
    </row>
    <row r="27" spans="2:5">
      <c r="B27" s="130"/>
      <c r="C27" s="231"/>
      <c r="D27" s="130"/>
    </row>
    <row r="28" spans="2:5">
      <c r="B28" s="130"/>
      <c r="C28" s="231"/>
      <c r="D28" s="130"/>
    </row>
    <row r="29" spans="2:5">
      <c r="B29" s="130"/>
      <c r="C29" s="231"/>
      <c r="D29" s="130"/>
    </row>
    <row r="30" spans="2:5">
      <c r="B30" s="130"/>
      <c r="C30" s="231"/>
      <c r="D30" s="130"/>
    </row>
    <row r="31" spans="2:5">
      <c r="B31" s="130"/>
      <c r="C31" s="231"/>
      <c r="D31" s="130"/>
    </row>
    <row r="32" spans="2:5">
      <c r="B32" s="130"/>
      <c r="C32" s="231"/>
      <c r="D32" s="130"/>
    </row>
    <row r="33" spans="1:4">
      <c r="B33" s="130"/>
      <c r="C33" s="231"/>
      <c r="D33" s="130"/>
    </row>
    <row r="34" spans="1:4">
      <c r="B34" s="130"/>
      <c r="C34" s="131"/>
      <c r="D34" s="130"/>
    </row>
    <row r="35" spans="1:4">
      <c r="B35" s="130"/>
      <c r="C35" s="131"/>
      <c r="D35" s="130"/>
    </row>
    <row r="36" spans="1:4">
      <c r="B36" s="130"/>
      <c r="C36" s="131"/>
      <c r="D36" s="130"/>
    </row>
    <row r="37" spans="1:4">
      <c r="B37" s="130"/>
      <c r="C37" s="131"/>
      <c r="D37" s="130"/>
    </row>
    <row r="38" spans="1:4">
      <c r="B38" s="130"/>
      <c r="C38" s="227"/>
      <c r="D38" s="130"/>
    </row>
    <row r="39" spans="1:4">
      <c r="A39" s="73"/>
      <c r="B39" s="130"/>
      <c r="C39" s="227"/>
      <c r="D39" s="130"/>
    </row>
    <row r="40" spans="1:4">
      <c r="B40" s="130"/>
      <c r="C40" s="131"/>
      <c r="D40" s="130"/>
    </row>
    <row r="41" spans="1:4">
      <c r="B41" s="130"/>
      <c r="C41" s="131"/>
      <c r="D41" s="130"/>
    </row>
    <row r="42" spans="1:4">
      <c r="B42" s="130"/>
      <c r="C42" s="131"/>
      <c r="D42" s="130"/>
    </row>
    <row r="43" spans="1:4">
      <c r="B43" s="130"/>
      <c r="C43" s="131"/>
      <c r="D43" s="130"/>
    </row>
    <row r="44" spans="1:4">
      <c r="B44" s="130"/>
      <c r="C44" s="131"/>
      <c r="D44" s="130"/>
    </row>
    <row r="45" spans="1:4">
      <c r="B45" s="130"/>
      <c r="C45" s="131"/>
      <c r="D45" s="130"/>
    </row>
    <row r="46" spans="1:4">
      <c r="B46" s="130"/>
      <c r="C46" s="131"/>
      <c r="D46" s="130"/>
    </row>
    <row r="47" spans="1:4">
      <c r="B47" s="130"/>
      <c r="C47" s="131"/>
      <c r="D47" s="130"/>
    </row>
    <row r="48" spans="1:4">
      <c r="B48" s="130"/>
      <c r="C48" s="131"/>
      <c r="D48" s="130"/>
    </row>
    <row r="49" spans="2:4">
      <c r="B49" s="130"/>
      <c r="C49" s="131"/>
      <c r="D49" s="130"/>
    </row>
    <row r="50" spans="2:4">
      <c r="B50" s="130"/>
      <c r="C50" s="131"/>
      <c r="D50" s="130"/>
    </row>
    <row r="51" spans="2:4">
      <c r="B51" s="130"/>
      <c r="C51" s="131"/>
      <c r="D51" s="130"/>
    </row>
    <row r="52" spans="2:4">
      <c r="B52" s="130"/>
      <c r="C52" s="131"/>
      <c r="D52" s="130"/>
    </row>
    <row r="53" spans="2:4">
      <c r="B53" s="130"/>
      <c r="C53" s="131"/>
      <c r="D53" s="130"/>
    </row>
    <row r="54" spans="2:4">
      <c r="B54" s="130"/>
      <c r="C54" s="227"/>
      <c r="D54" s="130"/>
    </row>
    <row r="55" spans="2:4">
      <c r="B55" s="130"/>
      <c r="C55" s="227"/>
      <c r="D55" s="130"/>
    </row>
    <row r="56" spans="2:4">
      <c r="B56" s="130"/>
      <c r="C56" s="131"/>
      <c r="D56" s="130"/>
    </row>
    <row r="57" spans="2:4">
      <c r="B57" s="130"/>
      <c r="C57" s="131"/>
      <c r="D57" s="130"/>
    </row>
    <row r="58" spans="2:4">
      <c r="B58" s="130"/>
      <c r="C58" s="131"/>
      <c r="D58" s="130"/>
    </row>
    <row r="59" spans="2:4">
      <c r="B59" s="130"/>
      <c r="C59" s="131"/>
      <c r="D59" s="130"/>
    </row>
    <row r="60" spans="2:4">
      <c r="B60" s="130"/>
      <c r="C60" s="131"/>
      <c r="D60" s="130"/>
    </row>
    <row r="61" spans="2:4">
      <c r="B61" s="130"/>
      <c r="C61" s="131"/>
      <c r="D61" s="130"/>
    </row>
    <row r="62" spans="2:4">
      <c r="B62" s="130"/>
      <c r="C62" s="131"/>
      <c r="D62" s="130"/>
    </row>
    <row r="63" spans="2:4">
      <c r="B63" s="130"/>
      <c r="C63" s="227"/>
      <c r="D63" s="130"/>
    </row>
    <row r="64" spans="2:4">
      <c r="B64" s="130"/>
      <c r="C64" s="227"/>
      <c r="D64" s="130"/>
    </row>
    <row r="65" spans="2:4">
      <c r="B65" s="130"/>
      <c r="C65" s="227"/>
      <c r="D65" s="130"/>
    </row>
    <row r="66" spans="2:4">
      <c r="B66" s="130"/>
      <c r="C66" s="227"/>
      <c r="D66" s="130"/>
    </row>
    <row r="67" spans="2:4">
      <c r="B67" s="130"/>
      <c r="C67" s="227"/>
      <c r="D67" s="130"/>
    </row>
    <row r="68" spans="2:4">
      <c r="B68" s="130"/>
      <c r="C68" s="227"/>
      <c r="D68" s="130"/>
    </row>
    <row r="69" spans="2:4">
      <c r="B69" s="130"/>
      <c r="C69" s="227"/>
      <c r="D69" s="130"/>
    </row>
    <row r="70" spans="2:4">
      <c r="B70" s="130"/>
      <c r="C70" s="227"/>
      <c r="D70" s="130"/>
    </row>
    <row r="71" spans="2:4">
      <c r="B71" s="130"/>
      <c r="C71" s="227"/>
      <c r="D71" s="130"/>
    </row>
    <row r="72" spans="2:4">
      <c r="B72" s="130"/>
      <c r="C72" s="131"/>
      <c r="D72" s="130"/>
    </row>
    <row r="73" spans="2:4">
      <c r="B73" s="130"/>
      <c r="C73" s="131"/>
      <c r="D73" s="130"/>
    </row>
    <row r="74" spans="2:4">
      <c r="B74" s="130"/>
      <c r="C74" s="131"/>
      <c r="D74" s="130"/>
    </row>
    <row r="75" spans="2:4">
      <c r="B75" s="130"/>
      <c r="C75" s="131"/>
      <c r="D75" s="130"/>
    </row>
    <row r="76" spans="2:4">
      <c r="B76" s="130"/>
      <c r="C76" s="131"/>
      <c r="D76" s="130"/>
    </row>
    <row r="77" spans="2:4">
      <c r="B77" s="130"/>
      <c r="C77" s="131"/>
      <c r="D77" s="130"/>
    </row>
    <row r="78" spans="2:4">
      <c r="B78" s="130"/>
      <c r="C78" s="131"/>
      <c r="D78" s="130"/>
    </row>
    <row r="79" spans="2:4">
      <c r="B79" s="130"/>
      <c r="C79" s="131"/>
      <c r="D79" s="130"/>
    </row>
    <row r="80" spans="2:4">
      <c r="B80" s="130"/>
      <c r="C80" s="131"/>
      <c r="D80" s="130"/>
    </row>
  </sheetData>
  <hyperlinks>
    <hyperlink ref="B3" location="Establecimeinto!A2" display="sede" xr:uid="{19ED6703-6049-4614-9A36-821A6AB7766E}"/>
    <hyperlink ref="C3" location="Servicio!A2" display="servicio" xr:uid="{BD2EF319-0E12-4820-A5CD-8373D9B1E6BD}"/>
    <hyperlink ref="B4" location="Establecimeinto!D3" display="Sede A - Baike universe" xr:uid="{23B74499-3D04-4C7B-A933-9A07171789D5}"/>
    <hyperlink ref="C4" location="Servicio!D3" display="Cambio de aceite y filtros" xr:uid="{44E41949-8A68-472A-9633-B23E2D2BA1FA}"/>
    <hyperlink ref="B5" location="Establecimeinto!D3" display="Sede B - Baike universe" xr:uid="{C376D189-ED05-440B-880A-0DBB6F125936}"/>
    <hyperlink ref="C5" location="Servicio!D3" display="Revisión/ajuste de frenos" xr:uid="{A2A7DBA0-CCAC-4A5A-98DB-E12898004799}"/>
    <hyperlink ref="B6" location="Establecimeinto!D3" display="Sede A - Dos Ruedas" xr:uid="{E6D623A8-53CC-4C89-BB75-E18166E8E81B}"/>
    <hyperlink ref="C6" location="Servicio!D4" display="Revisión/ajuste de frenos" xr:uid="{8DCD30C4-06CF-462A-9BB1-AED765BC7030}"/>
    <hyperlink ref="B7" location="Establecimeinto!D3" display="Sede A - MotoLand" xr:uid="{30338106-817B-4FFB-9ED5-9EFF9CCB3BC6}"/>
    <hyperlink ref="C7" location="Servicio!D5" display="Afinación de motor" xr:uid="{8F1C617F-2137-4644-A678-6EE67C3B0E18}"/>
    <hyperlink ref="B8" location="Establecimeinto!D3" display="Sede A - Todo Motos" xr:uid="{173D80DC-5FF3-4B5C-94C0-C2282453FB9F}"/>
    <hyperlink ref="C8" location="Servicio!D6" display="Inspección de neumáticos" xr:uid="{ED5804A0-7D57-4128-9BDD-DFC4E12F7A97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47CD-A55F-4960-B560-9EFDDD22C004}">
  <dimension ref="A1:Z43"/>
  <sheetViews>
    <sheetView zoomScale="85" zoomScaleNormal="85" workbookViewId="0">
      <pane xSplit="1" topLeftCell="B32" activePane="topRight" state="frozen"/>
      <selection pane="topRight" activeCell="E32" sqref="E32:G33"/>
    </sheetView>
  </sheetViews>
  <sheetFormatPr defaultColWidth="11.42578125" defaultRowHeight="15"/>
  <cols>
    <col min="1" max="1" width="18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42.28515625" style="1" customWidth="1"/>
    <col min="8" max="8" width="49.140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60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26" width="51" style="1" customWidth="1"/>
    <col min="27" max="16384" width="11.42578125" style="1"/>
  </cols>
  <sheetData>
    <row r="1" spans="1:26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6">
      <c r="A2" s="4" t="s">
        <v>391</v>
      </c>
      <c r="B2" s="1209" t="str">
        <f>'Listado Objetos de Dominio'!$A$12</f>
        <v>Servicio sede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6">
      <c r="A3" s="189" t="s">
        <v>392</v>
      </c>
      <c r="B3" s="1210" t="str">
        <f>'Listado Objetos de Dominio'!$B$12</f>
        <v>Objeto de dominio que representa la relación entre una sede y los servicios que ofrece.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</row>
    <row r="4" spans="1:26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87" t="str">
        <f>A27</f>
        <v xml:space="preserve">Crear Información del Servicio Sede </v>
      </c>
      <c r="V4" s="35" t="str">
        <f>A32</f>
        <v xml:space="preserve">Modificar Información del Servicio Sede </v>
      </c>
      <c r="W4" s="36" t="str">
        <f>A35</f>
        <v>Eliminar Información del Servicio Sede</v>
      </c>
      <c r="X4" s="2" t="str">
        <f>A38</f>
        <v>Consultar Información Servicio Sede</v>
      </c>
      <c r="Y4" s="953" t="str">
        <f>A40</f>
        <v>Desactivar Servicio sede</v>
      </c>
      <c r="Z4" s="956" t="str">
        <f>A42</f>
        <v>Activar Servicio Sede</v>
      </c>
    </row>
    <row r="5" spans="1:26">
      <c r="A5" s="184" t="str">
        <f>'Servicio Sede Muestreo 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'Servicio Sede Muestreo '!A2</f>
        <v>Corresponde al identificador único que identifica cada servicio ofrecido por un sede.</v>
      </c>
      <c r="U5" s="795" t="s">
        <v>467</v>
      </c>
      <c r="V5" s="39" t="s">
        <v>409</v>
      </c>
      <c r="W5" s="43" t="s">
        <v>467</v>
      </c>
      <c r="X5" s="47" t="s">
        <v>468</v>
      </c>
      <c r="Y5" s="954" t="s">
        <v>467</v>
      </c>
      <c r="Z5" s="957" t="s">
        <v>467</v>
      </c>
    </row>
    <row r="6" spans="1:26" ht="91.5" customHeight="1">
      <c r="A6" s="184" t="str">
        <f>'Servicio Sede Muestreo '!B3</f>
        <v>sede</v>
      </c>
      <c r="B6" s="184" t="s">
        <v>169</v>
      </c>
      <c r="C6" s="184"/>
      <c r="D6" s="184"/>
      <c r="E6" s="184"/>
      <c r="F6" s="184"/>
      <c r="G6" s="184"/>
      <c r="H6" s="184"/>
      <c r="I6" s="184"/>
      <c r="J6" s="184"/>
      <c r="K6" s="185"/>
      <c r="L6" s="186" t="s">
        <v>81</v>
      </c>
      <c r="M6" s="186" t="s">
        <v>81</v>
      </c>
      <c r="N6" s="186" t="s">
        <v>81</v>
      </c>
      <c r="O6" s="186" t="s">
        <v>81</v>
      </c>
      <c r="P6" s="186" t="s">
        <v>78</v>
      </c>
      <c r="Q6" s="186" t="s">
        <v>81</v>
      </c>
      <c r="R6" s="186" t="s">
        <v>81</v>
      </c>
      <c r="S6" s="186" t="s">
        <v>81</v>
      </c>
      <c r="T6" s="185" t="str">
        <f>'Servicio Sede Muestreo '!B2</f>
        <v>Corresponde a la sede que ofrece el servicio.</v>
      </c>
      <c r="U6" s="795" t="s">
        <v>467</v>
      </c>
      <c r="V6" s="39" t="s">
        <v>413</v>
      </c>
      <c r="W6" s="799" t="s">
        <v>933</v>
      </c>
      <c r="X6" s="47" t="s">
        <v>1797</v>
      </c>
      <c r="Y6" s="954" t="s">
        <v>933</v>
      </c>
      <c r="Z6" s="957" t="s">
        <v>933</v>
      </c>
    </row>
    <row r="7" spans="1:26" ht="65.25" customHeight="1">
      <c r="A7" s="184" t="str">
        <f>'Servicio Sede Muestreo '!C3</f>
        <v>servicio</v>
      </c>
      <c r="B7" s="184" t="s">
        <v>155</v>
      </c>
      <c r="C7" s="184"/>
      <c r="D7" s="184"/>
      <c r="E7" s="184"/>
      <c r="F7" s="184"/>
      <c r="G7" s="184"/>
      <c r="H7" s="184"/>
      <c r="I7" s="5"/>
      <c r="J7" s="184"/>
      <c r="K7" s="185"/>
      <c r="L7" s="186" t="s">
        <v>81</v>
      </c>
      <c r="M7" s="186" t="s">
        <v>81</v>
      </c>
      <c r="N7" s="186" t="s">
        <v>81</v>
      </c>
      <c r="O7" s="186" t="s">
        <v>81</v>
      </c>
      <c r="P7" s="186" t="s">
        <v>78</v>
      </c>
      <c r="Q7" s="186" t="s">
        <v>81</v>
      </c>
      <c r="R7" s="186" t="s">
        <v>81</v>
      </c>
      <c r="S7" s="186" t="s">
        <v>81</v>
      </c>
      <c r="T7" s="185" t="str">
        <f>'Servicio Sede Muestreo '!C2</f>
        <v>Corresponde al servicio que se ofrece cada sede.</v>
      </c>
      <c r="U7" s="795" t="s">
        <v>467</v>
      </c>
      <c r="V7" s="39" t="s">
        <v>413</v>
      </c>
      <c r="W7" s="799" t="s">
        <v>933</v>
      </c>
      <c r="X7" s="47" t="s">
        <v>1798</v>
      </c>
      <c r="Y7" s="954" t="s">
        <v>933</v>
      </c>
      <c r="Z7" s="957" t="s">
        <v>933</v>
      </c>
    </row>
    <row r="8" spans="1:26" ht="73.5" customHeight="1">
      <c r="A8" s="184" t="str">
        <f>'Servicio Sede Muestreo '!D3</f>
        <v xml:space="preserve">fechaInicio </v>
      </c>
      <c r="B8" s="184" t="s">
        <v>91</v>
      </c>
      <c r="C8" s="184"/>
      <c r="D8" s="184"/>
      <c r="E8" s="184"/>
      <c r="F8" s="184"/>
      <c r="G8" s="184"/>
      <c r="H8" s="184"/>
      <c r="I8" s="5"/>
      <c r="J8" s="184"/>
      <c r="K8" s="185"/>
      <c r="L8" s="186" t="s">
        <v>78</v>
      </c>
      <c r="M8" s="186" t="s">
        <v>78</v>
      </c>
      <c r="N8" s="186" t="s">
        <v>81</v>
      </c>
      <c r="O8" s="186" t="s">
        <v>81</v>
      </c>
      <c r="P8" s="186" t="s">
        <v>78</v>
      </c>
      <c r="Q8" s="186" t="s">
        <v>78</v>
      </c>
      <c r="R8" s="186" t="s">
        <v>81</v>
      </c>
      <c r="S8" s="186" t="s">
        <v>81</v>
      </c>
      <c r="T8" s="185" t="str">
        <f>'Servicio Sede Muestreo '!D2</f>
        <v>Corresponde al atributo que indica la fecha desde la cual la sede comenzó a ofrecer el servicio.</v>
      </c>
      <c r="U8" s="795" t="s">
        <v>467</v>
      </c>
      <c r="V8" s="39" t="s">
        <v>409</v>
      </c>
      <c r="W8" s="799" t="s">
        <v>933</v>
      </c>
      <c r="X8" s="968" t="s">
        <v>1799</v>
      </c>
      <c r="Y8" s="954" t="s">
        <v>933</v>
      </c>
      <c r="Z8" s="958" t="s">
        <v>933</v>
      </c>
    </row>
    <row r="9" spans="1:26" ht="55.5" customHeight="1">
      <c r="A9" s="184" t="str">
        <f>'Servicio Sede Muestreo '!E3</f>
        <v>fechaFin</v>
      </c>
      <c r="B9" s="184" t="s">
        <v>94</v>
      </c>
      <c r="C9" s="184"/>
      <c r="D9" s="184"/>
      <c r="E9" s="184"/>
      <c r="F9" s="184"/>
      <c r="G9" s="184"/>
      <c r="H9" s="184"/>
      <c r="I9" s="184"/>
      <c r="J9" s="184"/>
      <c r="K9" s="185"/>
      <c r="L9" s="186" t="s">
        <v>81</v>
      </c>
      <c r="M9" s="186" t="s">
        <v>81</v>
      </c>
      <c r="N9" s="186" t="s">
        <v>81</v>
      </c>
      <c r="O9" s="186" t="s">
        <v>81</v>
      </c>
      <c r="P9" s="186" t="s">
        <v>78</v>
      </c>
      <c r="Q9" s="186" t="s">
        <v>78</v>
      </c>
      <c r="R9" s="186" t="s">
        <v>81</v>
      </c>
      <c r="S9" s="186" t="s">
        <v>81</v>
      </c>
      <c r="T9" s="185" t="str">
        <f>'Servicio Sede Muestreo '!E2</f>
        <v>Corresponde al identificador único que identifica cada servicio ofrecido por una sede.</v>
      </c>
      <c r="U9" s="795" t="s">
        <v>467</v>
      </c>
      <c r="V9" s="39" t="s">
        <v>413</v>
      </c>
      <c r="W9" s="799" t="s">
        <v>933</v>
      </c>
      <c r="X9" s="968" t="s">
        <v>1800</v>
      </c>
      <c r="Y9" s="954" t="s">
        <v>933</v>
      </c>
      <c r="Z9" s="958" t="s">
        <v>933</v>
      </c>
    </row>
    <row r="10" spans="1:26" ht="45.75" customHeight="1">
      <c r="A10" s="184" t="str">
        <f>'Servicio Sede Muestreo '!F3</f>
        <v>vigencia</v>
      </c>
      <c r="B10" s="184" t="s">
        <v>89</v>
      </c>
      <c r="C10" s="184"/>
      <c r="D10" s="184"/>
      <c r="E10" s="184"/>
      <c r="F10" s="184"/>
      <c r="G10" s="184"/>
      <c r="H10" s="184"/>
      <c r="I10" s="184"/>
      <c r="J10" s="184"/>
      <c r="K10" s="185"/>
      <c r="L10" s="186" t="s">
        <v>81</v>
      </c>
      <c r="M10" s="186" t="s">
        <v>81</v>
      </c>
      <c r="N10" s="186" t="s">
        <v>81</v>
      </c>
      <c r="O10" s="186" t="s">
        <v>81</v>
      </c>
      <c r="P10" s="186" t="s">
        <v>78</v>
      </c>
      <c r="Q10" s="186" t="s">
        <v>81</v>
      </c>
      <c r="R10" s="186" t="s">
        <v>81</v>
      </c>
      <c r="S10" s="186" t="s">
        <v>81</v>
      </c>
      <c r="T10" s="185" t="str">
        <f>'Servicio Sede Muestreo '!F2</f>
        <v>Corresponde al atributo que indica si el servicio está actualmente vigente en la sede.</v>
      </c>
      <c r="U10" s="795" t="s">
        <v>467</v>
      </c>
      <c r="V10" s="39" t="s">
        <v>413</v>
      </c>
      <c r="W10" s="799" t="s">
        <v>467</v>
      </c>
      <c r="X10" s="968" t="s">
        <v>1801</v>
      </c>
      <c r="Y10" s="954" t="s">
        <v>933</v>
      </c>
      <c r="Z10" s="969" t="s">
        <v>933</v>
      </c>
    </row>
    <row r="11" spans="1:26" ht="43.5" customHeight="1">
      <c r="A11" s="184" t="str">
        <f>'Servicio Sede Muestreo '!G3</f>
        <v>servicioTercero</v>
      </c>
      <c r="B11" s="184" t="s">
        <v>89</v>
      </c>
      <c r="C11" s="184"/>
      <c r="D11" s="184"/>
      <c r="E11" s="184"/>
      <c r="F11" s="184"/>
      <c r="G11" s="184"/>
      <c r="H11" s="184"/>
      <c r="I11" s="184"/>
      <c r="J11" s="184"/>
      <c r="K11" s="185"/>
      <c r="L11" s="186" t="s">
        <v>81</v>
      </c>
      <c r="M11" s="186" t="s">
        <v>81</v>
      </c>
      <c r="N11" s="186" t="s">
        <v>81</v>
      </c>
      <c r="O11" s="186" t="s">
        <v>81</v>
      </c>
      <c r="P11" s="186" t="s">
        <v>78</v>
      </c>
      <c r="Q11" s="186" t="s">
        <v>81</v>
      </c>
      <c r="R11" s="186" t="s">
        <v>81</v>
      </c>
      <c r="S11" s="186" t="s">
        <v>81</v>
      </c>
      <c r="T11" s="185" t="str">
        <f>'Servicio Sede Muestreo '!G2</f>
        <v>Corresponde al atributo que indica si el servicio es prestado por un tercero.</v>
      </c>
      <c r="U11" s="795" t="s">
        <v>467</v>
      </c>
      <c r="V11" s="39" t="s">
        <v>413</v>
      </c>
      <c r="W11" s="799" t="s">
        <v>933</v>
      </c>
      <c r="X11" s="968" t="s">
        <v>1802</v>
      </c>
      <c r="Y11" s="954" t="s">
        <v>933</v>
      </c>
      <c r="Z11" s="969" t="s">
        <v>933</v>
      </c>
    </row>
    <row r="13" spans="1:26" ht="35.25" customHeight="1">
      <c r="G13" s="1" t="s">
        <v>418</v>
      </c>
    </row>
    <row r="15" spans="1:26">
      <c r="A15" s="1211" t="s">
        <v>414</v>
      </c>
      <c r="B15" s="1212"/>
      <c r="C15" s="1213"/>
    </row>
    <row r="16" spans="1:26">
      <c r="A16" s="193" t="s">
        <v>415</v>
      </c>
      <c r="B16" s="193" t="s">
        <v>2</v>
      </c>
      <c r="C16" s="126" t="s">
        <v>416</v>
      </c>
    </row>
    <row r="17" spans="1:22">
      <c r="A17" s="1214" t="s">
        <v>1803</v>
      </c>
      <c r="B17" s="1214" t="str">
        <f>'Servicio Sede Muestreo '!H2</f>
        <v>El servicio de la sede no debe tener duplicidad en la combinación del nombre de la sede  y el servicio.</v>
      </c>
      <c r="C17" s="228" t="str">
        <f>A6</f>
        <v>sede</v>
      </c>
    </row>
    <row r="18" spans="1:22" ht="44.25" customHeight="1">
      <c r="A18" s="1215"/>
      <c r="B18" s="1215"/>
      <c r="C18" s="232" t="str">
        <f>A7</f>
        <v>servicio</v>
      </c>
    </row>
    <row r="25" spans="1:22">
      <c r="A25" s="358" t="s">
        <v>419</v>
      </c>
      <c r="B25" s="317"/>
      <c r="C25" s="317" t="s">
        <v>2</v>
      </c>
      <c r="D25" s="317"/>
      <c r="E25" s="318"/>
      <c r="F25" s="319"/>
      <c r="G25" s="317" t="s">
        <v>420</v>
      </c>
      <c r="H25" s="333"/>
      <c r="I25" s="319"/>
      <c r="J25" s="319" t="s">
        <v>421</v>
      </c>
      <c r="K25" s="319"/>
      <c r="L25" s="319"/>
      <c r="M25" s="318"/>
      <c r="N25" s="319" t="s">
        <v>422</v>
      </c>
      <c r="O25" s="319"/>
      <c r="P25" s="319"/>
      <c r="Q25" s="318"/>
      <c r="R25" s="319" t="s">
        <v>474</v>
      </c>
      <c r="S25" s="358"/>
      <c r="T25" s="290"/>
      <c r="U25" s="290"/>
      <c r="V25" s="290"/>
    </row>
    <row r="26" spans="1:22">
      <c r="A26" s="312"/>
      <c r="B26" s="346"/>
      <c r="C26" s="346"/>
      <c r="D26" s="340"/>
      <c r="E26" s="341" t="s">
        <v>423</v>
      </c>
      <c r="F26" s="337" t="s">
        <v>424</v>
      </c>
      <c r="G26" s="316"/>
      <c r="H26" s="333" t="s">
        <v>2</v>
      </c>
      <c r="I26" s="346" t="s">
        <v>66</v>
      </c>
      <c r="J26" s="339"/>
      <c r="K26" s="346" t="s">
        <v>2</v>
      </c>
      <c r="L26" s="340"/>
      <c r="M26" s="337" t="s">
        <v>425</v>
      </c>
      <c r="N26" s="334"/>
      <c r="O26" s="335" t="s">
        <v>2</v>
      </c>
      <c r="P26" s="335"/>
      <c r="Q26" s="1178" t="s">
        <v>426</v>
      </c>
      <c r="R26" s="1202"/>
      <c r="S26" s="358" t="s">
        <v>427</v>
      </c>
      <c r="T26" s="290"/>
      <c r="U26" s="290"/>
      <c r="V26" s="290"/>
    </row>
    <row r="27" spans="1:22" ht="79.5" customHeight="1">
      <c r="A27" s="665" t="s">
        <v>1804</v>
      </c>
      <c r="B27" s="593"/>
      <c r="C27" s="594" t="s">
        <v>1805</v>
      </c>
      <c r="D27" s="594"/>
      <c r="E27" s="344" t="s">
        <v>441</v>
      </c>
      <c r="F27" s="680" t="s">
        <v>1806</v>
      </c>
      <c r="G27" s="683" t="s">
        <v>1807</v>
      </c>
      <c r="H27" s="595"/>
      <c r="I27" s="595"/>
      <c r="J27" s="594"/>
      <c r="K27" s="594"/>
      <c r="L27" s="812"/>
      <c r="M27" s="892" t="s">
        <v>1808</v>
      </c>
      <c r="N27" s="1305" t="s">
        <v>869</v>
      </c>
      <c r="O27" s="1305"/>
      <c r="P27" s="1306"/>
      <c r="Q27" s="1336" t="s">
        <v>1809</v>
      </c>
      <c r="R27" s="1218"/>
      <c r="S27" s="552" t="s">
        <v>438</v>
      </c>
    </row>
    <row r="28" spans="1:22" ht="88.5" customHeight="1">
      <c r="A28" s="665"/>
      <c r="B28" s="596"/>
      <c r="C28" s="597"/>
      <c r="D28" s="597"/>
      <c r="E28" s="396"/>
      <c r="F28" s="681"/>
      <c r="G28" s="679"/>
      <c r="H28" s="599"/>
      <c r="I28" s="599"/>
      <c r="J28" s="597"/>
      <c r="K28" s="597"/>
      <c r="L28" s="631"/>
      <c r="M28" s="892" t="s">
        <v>1810</v>
      </c>
      <c r="N28" s="1305" t="s">
        <v>1811</v>
      </c>
      <c r="O28" s="1305"/>
      <c r="P28" s="1305"/>
      <c r="Q28" s="1260" t="s">
        <v>1812</v>
      </c>
      <c r="R28" s="1260"/>
      <c r="S28" s="528" t="s">
        <v>438</v>
      </c>
      <c r="T28" s="291"/>
      <c r="U28" s="291"/>
    </row>
    <row r="29" spans="1:22" ht="112.5" customHeight="1">
      <c r="A29" s="665"/>
      <c r="B29" s="596"/>
      <c r="C29" s="597"/>
      <c r="D29" s="597"/>
      <c r="E29" s="396"/>
      <c r="F29" s="681"/>
      <c r="G29" s="679"/>
      <c r="H29" s="599"/>
      <c r="I29" s="599"/>
      <c r="J29" s="597"/>
      <c r="K29" s="597"/>
      <c r="L29" s="631"/>
      <c r="M29" s="892" t="s">
        <v>1813</v>
      </c>
      <c r="N29" s="1305" t="s">
        <v>495</v>
      </c>
      <c r="O29" s="1305"/>
      <c r="P29" s="1306"/>
      <c r="Q29" s="1465" t="s">
        <v>1131</v>
      </c>
      <c r="R29" s="1225"/>
      <c r="S29" s="552" t="s">
        <v>438</v>
      </c>
      <c r="T29" s="291"/>
      <c r="U29" s="291"/>
    </row>
    <row r="30" spans="1:22" ht="88.5" customHeight="1">
      <c r="A30" s="665"/>
      <c r="B30" s="596"/>
      <c r="C30" s="597"/>
      <c r="D30" s="597"/>
      <c r="E30" s="396"/>
      <c r="F30" s="681"/>
      <c r="G30" s="679"/>
      <c r="H30" s="599"/>
      <c r="I30" s="599"/>
      <c r="J30" s="597"/>
      <c r="K30" s="597"/>
      <c r="L30" s="631"/>
      <c r="M30" s="892" t="s">
        <v>1814</v>
      </c>
      <c r="N30" s="1305" t="s">
        <v>1815</v>
      </c>
      <c r="O30" s="1305"/>
      <c r="P30" s="1306"/>
      <c r="Q30" s="1260" t="s">
        <v>1816</v>
      </c>
      <c r="R30" s="1257"/>
      <c r="S30" s="552" t="s">
        <v>438</v>
      </c>
      <c r="T30" s="291"/>
      <c r="U30" s="291"/>
    </row>
    <row r="31" spans="1:22" ht="88.5" customHeight="1">
      <c r="A31" s="665"/>
      <c r="B31" s="596"/>
      <c r="C31" s="597"/>
      <c r="D31" s="597"/>
      <c r="E31" s="396"/>
      <c r="F31" s="681"/>
      <c r="G31" s="679"/>
      <c r="H31" s="599"/>
      <c r="I31" s="599"/>
      <c r="J31" s="597"/>
      <c r="K31" s="597"/>
      <c r="L31" s="631"/>
      <c r="M31" s="892" t="s">
        <v>1817</v>
      </c>
      <c r="N31" s="1305" t="s">
        <v>1818</v>
      </c>
      <c r="O31" s="1305"/>
      <c r="P31" s="1306"/>
      <c r="Q31" s="1260" t="s">
        <v>483</v>
      </c>
      <c r="R31" s="1257"/>
      <c r="S31" s="552" t="s">
        <v>1005</v>
      </c>
      <c r="T31" s="291"/>
      <c r="U31" s="291"/>
    </row>
    <row r="32" spans="1:22" ht="88.5" customHeight="1">
      <c r="A32" s="342" t="s">
        <v>1819</v>
      </c>
      <c r="B32" s="600"/>
      <c r="C32" s="580" t="s">
        <v>1820</v>
      </c>
      <c r="D32" s="580"/>
      <c r="E32" s="517" t="s">
        <v>441</v>
      </c>
      <c r="F32" s="696" t="s">
        <v>1821</v>
      </c>
      <c r="G32" s="550" t="s">
        <v>1822</v>
      </c>
      <c r="H32" s="805"/>
      <c r="I32" s="361"/>
      <c r="J32" s="580"/>
      <c r="K32" s="580"/>
      <c r="L32" s="773"/>
      <c r="M32" s="521" t="s">
        <v>1813</v>
      </c>
      <c r="N32" s="1273" t="s">
        <v>495</v>
      </c>
      <c r="O32" s="1273"/>
      <c r="P32" s="1274"/>
      <c r="Q32" s="1275" t="s">
        <v>1634</v>
      </c>
      <c r="R32" s="1275"/>
      <c r="S32" s="519" t="s">
        <v>480</v>
      </c>
    </row>
    <row r="33" spans="1:19" ht="88.5" customHeight="1">
      <c r="A33" s="372"/>
      <c r="B33" s="601"/>
      <c r="C33" s="601"/>
      <c r="D33" s="601"/>
      <c r="E33" s="487" t="s">
        <v>369</v>
      </c>
      <c r="F33" s="369" t="s">
        <v>75</v>
      </c>
      <c r="G33" s="623" t="s">
        <v>1823</v>
      </c>
      <c r="H33" s="522"/>
      <c r="I33" s="602"/>
      <c r="J33" s="601"/>
      <c r="K33" s="601"/>
      <c r="L33" s="601"/>
      <c r="M33" s="517"/>
      <c r="N33" s="1272"/>
      <c r="O33" s="1273"/>
      <c r="P33" s="1273"/>
      <c r="Q33" s="1272"/>
      <c r="R33" s="1274"/>
      <c r="S33" s="693"/>
    </row>
    <row r="34" spans="1:19" ht="88.5" customHeight="1">
      <c r="A34" s="372"/>
      <c r="B34" s="601"/>
      <c r="C34" s="601"/>
      <c r="D34" s="601"/>
      <c r="E34" s="372"/>
      <c r="F34" s="369"/>
      <c r="G34" s="431"/>
      <c r="H34" s="602"/>
      <c r="I34" s="602"/>
      <c r="J34" s="601"/>
      <c r="K34" s="601"/>
      <c r="L34" s="601"/>
      <c r="M34" s="769" t="s">
        <v>1824</v>
      </c>
      <c r="N34" s="1265" t="s">
        <v>1825</v>
      </c>
      <c r="O34" s="1266"/>
      <c r="P34" s="1266"/>
      <c r="Q34" s="1267" t="s">
        <v>1826</v>
      </c>
      <c r="R34" s="1469"/>
      <c r="S34" s="758" t="s">
        <v>480</v>
      </c>
    </row>
    <row r="35" spans="1:19" ht="110.25" customHeight="1">
      <c r="A35" s="898" t="s">
        <v>1827</v>
      </c>
      <c r="B35" s="820"/>
      <c r="C35" s="584" t="s">
        <v>1828</v>
      </c>
      <c r="D35" s="584"/>
      <c r="E35" s="500" t="s">
        <v>369</v>
      </c>
      <c r="F35" s="397" t="s">
        <v>75</v>
      </c>
      <c r="G35" s="523" t="s">
        <v>1823</v>
      </c>
      <c r="H35" s="899"/>
      <c r="I35" s="880"/>
      <c r="J35" s="584"/>
      <c r="K35" s="584"/>
      <c r="L35" s="607"/>
      <c r="M35" s="398" t="s">
        <v>1813</v>
      </c>
      <c r="N35" s="1270" t="s">
        <v>495</v>
      </c>
      <c r="O35" s="1270"/>
      <c r="P35" s="1271"/>
      <c r="Q35" s="1270" t="s">
        <v>870</v>
      </c>
      <c r="R35" s="1270"/>
      <c r="S35" s="398" t="s">
        <v>480</v>
      </c>
    </row>
    <row r="36" spans="1:19" ht="111" customHeight="1">
      <c r="A36" s="900"/>
      <c r="B36" s="354"/>
      <c r="C36" s="354"/>
      <c r="D36" s="354"/>
      <c r="E36" s="900"/>
      <c r="F36" s="403"/>
      <c r="G36" s="486"/>
      <c r="H36" s="881"/>
      <c r="I36" s="881"/>
      <c r="J36" s="354"/>
      <c r="K36" s="354"/>
      <c r="L36" s="354"/>
      <c r="M36" s="500" t="s">
        <v>1829</v>
      </c>
      <c r="N36" s="1281" t="s">
        <v>1830</v>
      </c>
      <c r="O36" s="1283"/>
      <c r="P36" s="1283"/>
      <c r="Q36" s="1281" t="s">
        <v>870</v>
      </c>
      <c r="R36" s="1282"/>
      <c r="S36" s="483" t="s">
        <v>480</v>
      </c>
    </row>
    <row r="37" spans="1:19" ht="88.5" customHeight="1">
      <c r="A37" s="900"/>
      <c r="B37" s="776"/>
      <c r="C37" s="776"/>
      <c r="D37" s="776"/>
      <c r="E37" s="901"/>
      <c r="F37" s="777"/>
      <c r="G37" s="549"/>
      <c r="H37" s="882"/>
      <c r="I37" s="882"/>
      <c r="J37" s="776"/>
      <c r="K37" s="776"/>
      <c r="L37" s="776"/>
      <c r="M37" s="501"/>
      <c r="N37" s="1284"/>
      <c r="O37" s="1285"/>
      <c r="P37" s="1285"/>
      <c r="Q37" s="1284"/>
      <c r="R37" s="1341"/>
      <c r="S37" s="485"/>
    </row>
    <row r="38" spans="1:19" ht="88.5" customHeight="1">
      <c r="A38" s="609" t="s">
        <v>1831</v>
      </c>
      <c r="B38" s="609"/>
      <c r="C38" s="583" t="s">
        <v>1832</v>
      </c>
      <c r="D38" s="583"/>
      <c r="E38" s="415" t="s">
        <v>430</v>
      </c>
      <c r="F38" s="415" t="s">
        <v>1733</v>
      </c>
      <c r="G38" s="417" t="s">
        <v>501</v>
      </c>
      <c r="H38" s="895"/>
      <c r="I38" s="391" t="s">
        <v>1833</v>
      </c>
      <c r="J38" s="392" t="s">
        <v>978</v>
      </c>
      <c r="K38" s="583"/>
      <c r="L38" s="539"/>
      <c r="M38" s="778" t="s">
        <v>1834</v>
      </c>
      <c r="N38" s="1279" t="s">
        <v>436</v>
      </c>
      <c r="O38" s="1279"/>
      <c r="P38" s="1279"/>
      <c r="Q38" s="1280" t="s">
        <v>1634</v>
      </c>
      <c r="R38" s="1279"/>
      <c r="S38" s="778" t="s">
        <v>480</v>
      </c>
    </row>
    <row r="39" spans="1:19" ht="88.5" customHeight="1">
      <c r="A39" s="775"/>
      <c r="B39" s="775"/>
      <c r="C39" s="770"/>
      <c r="D39" s="770"/>
      <c r="E39" s="388"/>
      <c r="F39" s="388"/>
      <c r="G39" s="417"/>
      <c r="H39" s="895"/>
      <c r="I39" s="393"/>
      <c r="J39" s="1278"/>
      <c r="K39" s="1278"/>
      <c r="L39" s="1278"/>
      <c r="M39" s="540"/>
      <c r="N39" s="1278"/>
      <c r="O39" s="1278"/>
      <c r="P39" s="1278"/>
      <c r="Q39" s="1292"/>
      <c r="R39" s="1278"/>
      <c r="S39" s="540"/>
    </row>
    <row r="40" spans="1:19" ht="131.25" customHeight="1">
      <c r="A40" s="952" t="s">
        <v>1835</v>
      </c>
      <c r="B40" s="857"/>
      <c r="C40" s="858" t="s">
        <v>1836</v>
      </c>
      <c r="D40" s="858"/>
      <c r="E40" s="859" t="s">
        <v>369</v>
      </c>
      <c r="F40" s="896" t="s">
        <v>75</v>
      </c>
      <c r="G40" s="897" t="s">
        <v>1837</v>
      </c>
      <c r="H40" s="889"/>
      <c r="I40" s="860"/>
      <c r="J40" s="861" t="s">
        <v>978</v>
      </c>
      <c r="K40" s="858"/>
      <c r="L40" s="862"/>
      <c r="M40" s="863" t="s">
        <v>1838</v>
      </c>
      <c r="N40" s="1475" t="s">
        <v>1839</v>
      </c>
      <c r="O40" s="1475"/>
      <c r="P40" s="1475"/>
      <c r="Q40" s="1476" t="s">
        <v>1840</v>
      </c>
      <c r="R40" s="1475"/>
      <c r="S40" s="863" t="s">
        <v>480</v>
      </c>
    </row>
    <row r="41" spans="1:19" ht="105" customHeight="1">
      <c r="A41" s="864"/>
      <c r="B41" s="864"/>
      <c r="C41" s="865"/>
      <c r="D41" s="865"/>
      <c r="E41" s="866" t="s">
        <v>1841</v>
      </c>
      <c r="F41" s="964" t="s">
        <v>1842</v>
      </c>
      <c r="G41" s="965" t="s">
        <v>1843</v>
      </c>
      <c r="H41" s="966"/>
      <c r="I41" s="867"/>
      <c r="J41" s="1477"/>
      <c r="K41" s="1477"/>
      <c r="L41" s="1477"/>
      <c r="M41" s="894" t="s">
        <v>1844</v>
      </c>
      <c r="N41" s="1478" t="s">
        <v>495</v>
      </c>
      <c r="O41" s="1478"/>
      <c r="P41" s="1478"/>
      <c r="Q41" s="1479" t="s">
        <v>870</v>
      </c>
      <c r="R41" s="1478"/>
      <c r="S41" s="894" t="s">
        <v>480</v>
      </c>
    </row>
    <row r="42" spans="1:19" ht="111.75" customHeight="1">
      <c r="A42" s="955" t="s">
        <v>1845</v>
      </c>
      <c r="B42" s="868"/>
      <c r="C42" s="869" t="s">
        <v>1846</v>
      </c>
      <c r="D42" s="869"/>
      <c r="E42" s="870" t="s">
        <v>369</v>
      </c>
      <c r="F42" s="967" t="s">
        <v>75</v>
      </c>
      <c r="G42" s="959" t="s">
        <v>1837</v>
      </c>
      <c r="H42" s="960"/>
      <c r="I42" s="871"/>
      <c r="J42" s="872" t="s">
        <v>978</v>
      </c>
      <c r="K42" s="869"/>
      <c r="L42" s="873"/>
      <c r="M42" s="874" t="s">
        <v>1813</v>
      </c>
      <c r="N42" s="1470" t="s">
        <v>495</v>
      </c>
      <c r="O42" s="1470"/>
      <c r="P42" s="1470"/>
      <c r="Q42" s="1471" t="s">
        <v>1847</v>
      </c>
      <c r="R42" s="1470"/>
      <c r="S42" s="874" t="s">
        <v>480</v>
      </c>
    </row>
    <row r="43" spans="1:19" ht="120" customHeight="1">
      <c r="A43" s="875"/>
      <c r="B43" s="875"/>
      <c r="C43" s="876"/>
      <c r="D43" s="876"/>
      <c r="E43" s="877" t="s">
        <v>1841</v>
      </c>
      <c r="F43" s="961" t="s">
        <v>1842</v>
      </c>
      <c r="G43" s="962" t="s">
        <v>1848</v>
      </c>
      <c r="H43" s="963"/>
      <c r="I43" s="878"/>
      <c r="J43" s="1472"/>
      <c r="K43" s="1472"/>
      <c r="L43" s="1472"/>
      <c r="M43" s="893" t="s">
        <v>1849</v>
      </c>
      <c r="N43" s="1473" t="s">
        <v>1850</v>
      </c>
      <c r="O43" s="1473"/>
      <c r="P43" s="1473"/>
      <c r="Q43" s="1474" t="s">
        <v>870</v>
      </c>
      <c r="R43" s="1473"/>
      <c r="S43" s="893" t="s">
        <v>480</v>
      </c>
    </row>
  </sheetData>
  <mergeCells count="44">
    <mergeCell ref="A1:T1"/>
    <mergeCell ref="B2:T2"/>
    <mergeCell ref="B3:T3"/>
    <mergeCell ref="A15:C15"/>
    <mergeCell ref="B17:B18"/>
    <mergeCell ref="A17:A18"/>
    <mergeCell ref="N38:P38"/>
    <mergeCell ref="Q38:R38"/>
    <mergeCell ref="J39:L39"/>
    <mergeCell ref="N39:P39"/>
    <mergeCell ref="Q39:R39"/>
    <mergeCell ref="N40:P40"/>
    <mergeCell ref="Q40:R40"/>
    <mergeCell ref="J41:L41"/>
    <mergeCell ref="N41:P41"/>
    <mergeCell ref="Q41:R41"/>
    <mergeCell ref="N42:P42"/>
    <mergeCell ref="Q42:R42"/>
    <mergeCell ref="J43:L43"/>
    <mergeCell ref="N43:P43"/>
    <mergeCell ref="Q43:R43"/>
    <mergeCell ref="Q26:R26"/>
    <mergeCell ref="N27:P27"/>
    <mergeCell ref="Q27:R27"/>
    <mergeCell ref="N28:P28"/>
    <mergeCell ref="Q28:R28"/>
    <mergeCell ref="N29:P29"/>
    <mergeCell ref="Q29:R29"/>
    <mergeCell ref="N31:P31"/>
    <mergeCell ref="Q31:R31"/>
    <mergeCell ref="N32:P32"/>
    <mergeCell ref="Q32:R32"/>
    <mergeCell ref="N36:P36"/>
    <mergeCell ref="Q36:R36"/>
    <mergeCell ref="N37:P37"/>
    <mergeCell ref="Q37:R37"/>
    <mergeCell ref="N30:P30"/>
    <mergeCell ref="Q30:R30"/>
    <mergeCell ref="N33:P33"/>
    <mergeCell ref="Q33:R33"/>
    <mergeCell ref="N34:P34"/>
    <mergeCell ref="Q34:R34"/>
    <mergeCell ref="N35:P35"/>
    <mergeCell ref="Q35:R35"/>
  </mergeCells>
  <conditionalFormatting sqref="N27:N31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:H8" xr:uid="{CFA28CF4-66B3-4493-AA62-D2FD33530187}"/>
  </dataValidations>
  <hyperlinks>
    <hyperlink ref="A1" location="'Objetos de Dominio'!A1" display="Volver al inicio" xr:uid="{A08E565F-15BD-4A12-B24D-DA3DA7D89B34}"/>
    <hyperlink ref="A1:T1" location="'Listado Objetos de Dominio'!A1" display="&lt;-Volver al inicio" xr:uid="{E98DABE6-DFBB-4EC0-992D-AE3C9D732C0B}"/>
    <hyperlink ref="C17" location="'Servicio Establ Caracterización'!A6" display="=A6" xr:uid="{98520F32-B44F-4469-8574-E708CE4B18BE}"/>
    <hyperlink ref="C18" location="'Servicio Establ Caracterización'!A7" display="=A7" xr:uid="{6D3F5D5C-FA2F-40E5-A7F0-B8D96E8C5D78}"/>
    <hyperlink ref="B2:T2" location="'Listado Objetos de Dominio'!A11" display="='Listado Objetos de Dominio'!$A$11" xr:uid="{AA621C90-7AE6-4D15-8A58-C9B89DF59E58}"/>
    <hyperlink ref="H38" location="'Tipo Relación Institución'!A6" display="'Tipo Relación Institución'!A6" xr:uid="{F30EAB1C-B7EB-462C-ADBF-25369FA3818F}"/>
    <hyperlink ref="A32:B32" location="'Objeto Dominio 2'!R4" display="Reponsabilidad 2" xr:uid="{A7DEF7DF-3916-4DBF-8C7F-390828D1E964}"/>
    <hyperlink ref="A27:B27" location="'Objeto Dominio 2'!Q4" display="Reponsabilidad 1" xr:uid="{A54ED23B-9069-4877-8EF6-0C67F02C4701}"/>
    <hyperlink ref="A35:B35" location="'Objeto Dominio 2'!R4" display="Reponsabilidad 2" xr:uid="{E4EEA0CA-6ADC-4B8F-9FD2-4D2060CA1D27}"/>
    <hyperlink ref="G42" location="'Tipo Relación Institución'!A6" display="'Tipo Relación Institución'!A6" xr:uid="{5189F93D-F191-405B-8060-BDAAD1DEE693}"/>
    <hyperlink ref="V4" location="'Objeto Dominio 2'!A17" display="'Objeto Dominio 2'!A17" xr:uid="{72092E1C-7530-41E2-B586-40711B9C949E}"/>
    <hyperlink ref="W4" location="'Objeto Dominio 2'!A18" display="'Objeto Dominio 2'!A18" xr:uid="{745C43D9-B1B5-4F1B-AAD3-5DCD337DF5B2}"/>
    <hyperlink ref="X4" location="'Objeto Dominio 2'!A19" display="'Objeto Dominio 2'!A19" xr:uid="{6041B365-79D6-44AC-91BC-2E9046A992C8}"/>
    <hyperlink ref="U4" location="'Objeto Dominio 2'!A16" display="'Objeto Dominio 2'!A16" xr:uid="{D9D439EA-395B-4F93-9F28-4321DBCDB3A6}"/>
    <hyperlink ref="Y4" location="'Objeto Dominio 2'!A19" display="'Objeto Dominio 2'!A19" xr:uid="{B4B613D3-BAEE-4C2A-B264-585578E0AC95}"/>
    <hyperlink ref="Z4" location="'Objeto Dominio 2'!A19" display="'Objeto Dominio 2'!A19" xr:uid="{2DCC5E2E-7E2F-4778-963F-60F9370E1CE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C165F62-5943-4F09-9B48-D2B071EDD2DC}">
          <x14:formula1>
            <xm:f>Caracterizacion!$A$3:$A$40</xm:f>
          </x14:formula1>
          <xm:sqref>B7:B11</xm:sqref>
        </x14:dataValidation>
        <x14:dataValidation type="list" allowBlank="1" showInputMessage="1" showErrorMessage="1" xr:uid="{50B70F3F-7E02-4583-9AAD-E1F77666A8B2}">
          <x14:formula1>
            <xm:f>Caracterizacion!$A$3:$A$14</xm:f>
          </x14:formula1>
          <xm:sqref>B5</xm:sqref>
        </x14:dataValidation>
        <x14:dataValidation type="custom" allowBlank="1" showInputMessage="1" showErrorMessage="1" xr:uid="{199DE1DC-C0DF-4420-BD09-F0D63E218618}">
          <x14:formula1>
            <xm:f>Caracterizacion!$F$3</xm:f>
          </x14:formula1>
          <xm:sqref>J5</xm:sqref>
        </x14:dataValidation>
        <x14:dataValidation type="list" allowBlank="1" showInputMessage="1" showErrorMessage="1" xr:uid="{225C3441-F6F5-4C9C-9928-24139841EF07}">
          <x14:formula1>
            <xm:f>Caracterizacion!$D$3:$D$13</xm:f>
          </x14:formula1>
          <xm:sqref>F5:G5</xm:sqref>
        </x14:dataValidation>
        <x14:dataValidation type="list" allowBlank="1" showInputMessage="1" showErrorMessage="1" xr:uid="{B38D638A-1CAD-4E6F-8662-A5BA3715AD06}">
          <x14:formula1>
            <xm:f>Caracterizacion!$C$3:$C$18</xm:f>
          </x14:formula1>
          <xm:sqref>F6:G8 E5:E8</xm:sqref>
        </x14:dataValidation>
        <x14:dataValidation type="list" allowBlank="1" showInputMessage="1" showErrorMessage="1" xr:uid="{4192C8C5-3B65-4646-9EE9-0B71AF724FC7}">
          <x14:formula1>
            <xm:f>Caracterizacion!$H$3:$H$4</xm:f>
          </x14:formula1>
          <xm:sqref>L5:S11</xm:sqref>
        </x14:dataValidation>
        <x14:dataValidation type="list" allowBlank="1" showInputMessage="1" showErrorMessage="1" xr:uid="{981921E1-215F-41B8-9467-97D10CA2B2C8}">
          <x14:formula1>
            <xm:f>Caracterizacion!$B$4:$B$506</xm:f>
          </x14:formula1>
          <xm:sqref>C5:D11 E9:I11</xm:sqref>
        </x14:dataValidation>
        <x14:dataValidation type="list" allowBlank="1" showInputMessage="1" showErrorMessage="1" xr:uid="{BA9FF46A-A161-495F-B14F-5806345AF6AC}">
          <x14:formula1>
            <xm:f>Caracterizacion!$A$3:$A$45</xm:f>
          </x14:formula1>
          <xm:sqref>B6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D59D-5F85-4482-AE62-B93951EDF00F}">
  <dimension ref="A2:H14"/>
  <sheetViews>
    <sheetView workbookViewId="0">
      <selection activeCell="D3" sqref="D3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8.85546875" customWidth="1"/>
    <col min="5" max="5" width="26.7109375" bestFit="1" customWidth="1"/>
    <col min="6" max="6" width="26.140625" bestFit="1" customWidth="1"/>
    <col min="7" max="7" width="18.42578125" bestFit="1" customWidth="1"/>
    <col min="8" max="8" width="18" bestFit="1" customWidth="1"/>
  </cols>
  <sheetData>
    <row r="2" spans="1:8" ht="46.5">
      <c r="A2" s="99" t="s">
        <v>1851</v>
      </c>
      <c r="B2" s="99" t="s">
        <v>1852</v>
      </c>
      <c r="C2" s="148" t="s">
        <v>1853</v>
      </c>
      <c r="D2" s="148" t="s">
        <v>1854</v>
      </c>
      <c r="E2" s="148" t="s">
        <v>1855</v>
      </c>
      <c r="F2" s="122"/>
      <c r="G2" s="122"/>
      <c r="H2" s="122"/>
    </row>
    <row r="3" spans="1:8">
      <c r="A3" s="56" t="s">
        <v>369</v>
      </c>
      <c r="B3" s="277" t="s">
        <v>1856</v>
      </c>
      <c r="C3" s="277" t="s">
        <v>1857</v>
      </c>
      <c r="D3" s="280" t="s">
        <v>1858</v>
      </c>
      <c r="E3" s="278" t="s">
        <v>371</v>
      </c>
      <c r="F3" s="130"/>
      <c r="G3" s="130"/>
      <c r="H3" s="130"/>
    </row>
    <row r="4" spans="1:8">
      <c r="A4" s="135" t="s">
        <v>1276</v>
      </c>
      <c r="B4" s="277" t="s">
        <v>971</v>
      </c>
      <c r="C4" s="56"/>
      <c r="D4" s="277" t="s">
        <v>972</v>
      </c>
      <c r="E4" s="279" t="s">
        <v>1859</v>
      </c>
      <c r="F4" s="130"/>
      <c r="G4" s="130"/>
      <c r="H4" s="130"/>
    </row>
    <row r="5" spans="1:8">
      <c r="A5" s="135" t="s">
        <v>1277</v>
      </c>
      <c r="B5" s="277" t="s">
        <v>971</v>
      </c>
      <c r="C5" s="56"/>
      <c r="D5" s="277" t="s">
        <v>974</v>
      </c>
      <c r="E5" s="279" t="s">
        <v>1860</v>
      </c>
      <c r="F5" s="130"/>
      <c r="G5" s="130"/>
      <c r="H5" s="130"/>
    </row>
    <row r="6" spans="1:8">
      <c r="A6" s="135" t="s">
        <v>1278</v>
      </c>
      <c r="B6" s="277" t="s">
        <v>972</v>
      </c>
      <c r="C6" s="277" t="s">
        <v>971</v>
      </c>
      <c r="D6" s="277" t="s">
        <v>973</v>
      </c>
      <c r="E6" s="279" t="s">
        <v>1861</v>
      </c>
      <c r="F6" s="130"/>
      <c r="G6" s="130"/>
      <c r="H6" s="130"/>
    </row>
    <row r="7" spans="1:8">
      <c r="A7" s="135" t="s">
        <v>1279</v>
      </c>
      <c r="B7" s="277" t="s">
        <v>973</v>
      </c>
      <c r="C7" s="277" t="s">
        <v>972</v>
      </c>
      <c r="D7" s="56"/>
      <c r="E7" s="279" t="s">
        <v>1862</v>
      </c>
      <c r="F7" s="130"/>
      <c r="G7" s="130"/>
      <c r="H7" s="130"/>
    </row>
    <row r="8" spans="1:8">
      <c r="A8" s="135" t="s">
        <v>897</v>
      </c>
      <c r="B8" s="277" t="s">
        <v>974</v>
      </c>
      <c r="C8" s="277" t="s">
        <v>971</v>
      </c>
      <c r="D8" s="56"/>
      <c r="E8" s="279" t="s">
        <v>1863</v>
      </c>
    </row>
    <row r="9" spans="1:8">
      <c r="B9" s="59"/>
      <c r="C9" s="59"/>
      <c r="D9" s="130"/>
    </row>
    <row r="10" spans="1:8">
      <c r="B10" s="59"/>
      <c r="C10" s="59"/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  <row r="14" spans="1:8">
      <c r="B14" s="281"/>
    </row>
  </sheetData>
  <hyperlinks>
    <hyperlink ref="B3" location="Estad_servicio_Realizado!A2" display="estado Actual" xr:uid="{F85D3FA4-07EA-4B40-BD88-33AB8228CF90}"/>
    <hyperlink ref="C3" location="Estad_servicio_Realizado!A2" display="estadoAnterior" xr:uid="{15983725-59CE-4394-9A1C-22AF838CC7E1}"/>
    <hyperlink ref="D3" location="Estad_servicio_Realizado!A2" display="nuevoEstado" xr:uid="{07EB16C9-E9A6-439A-BEAB-5C4C6E1E873D}"/>
    <hyperlink ref="B4" location="Estad_servicio_Realizado!C3" display="Pendiente" xr:uid="{6B42C0C1-1D8B-41E6-8DD1-61FA4E3E88D3}"/>
    <hyperlink ref="D4" location="Estad_servicio_Realizado!C4" display="En Proceso" xr:uid="{96E616AB-C7A8-42DD-959E-10054E21F652}"/>
    <hyperlink ref="B5" location="Estad_servicio_Realizado!C3" display="Pendiente" xr:uid="{8FB9AB2C-222C-4488-B114-B644BB8F1DC8}"/>
    <hyperlink ref="D5" location="Estad_servicio_Realizado!C6" display="Cancelado" xr:uid="{3643DC51-CC3E-4890-A4D3-DC9645F8EF34}"/>
    <hyperlink ref="B6" location="Estad_servicio_Realizado!C4" display="En Proceso" xr:uid="{54983BD7-A10D-45B5-8309-44A0F1F78C45}"/>
    <hyperlink ref="C6" location="Estad_servicio_Realizado!C3" display="Pendiente" xr:uid="{8763D8AF-A7BA-4A61-9FCE-8B5B3F1FD8AE}"/>
    <hyperlink ref="D6" location="Estad_servicio_Realizado!C5" display="Finalizado" xr:uid="{4F062FD3-E9A4-40B1-81DF-BB8E1354EFD3}"/>
    <hyperlink ref="B7" location="Estad_servicio_Realizado!C5" display="Finalizado" xr:uid="{E083B14A-BEB9-47DC-B238-A642BE883788}"/>
    <hyperlink ref="C7" location="Estad_servicio_Realizado!C4" display="En Proceso" xr:uid="{65F9FC3A-DB0D-466C-9EF6-71D3596333C3}"/>
    <hyperlink ref="B8" location="Estad_servicio_Realizado!C6" display="Cancelado" xr:uid="{D67F34BE-C4FD-4369-B936-EDB3CC6756E3}"/>
    <hyperlink ref="C8" location="Estad_servicio_Realizado!C3" display="Pendiente" xr:uid="{33F78378-1F11-4AE4-98CC-3B002D084EFF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1F2F-720F-4C69-A510-D9AA0AE29D25}">
  <dimension ref="A1:U19"/>
  <sheetViews>
    <sheetView zoomScale="85" zoomScaleNormal="85" workbookViewId="0">
      <pane xSplit="1" topLeftCell="I13" activePane="topRight" state="frozen"/>
      <selection pane="topRight" activeCell="A18" sqref="A18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01" style="1" customWidth="1"/>
    <col min="22" max="22" width="52.28515625" style="1" bestFit="1" customWidth="1"/>
    <col min="23" max="16384" width="11.42578125" style="1"/>
  </cols>
  <sheetData>
    <row r="1" spans="1:21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1">
      <c r="A2" s="4" t="s">
        <v>391</v>
      </c>
      <c r="B2" s="1209" t="str">
        <f>'Listado Objetos de Dominio'!$A$32</f>
        <v>Transición Estado Servicio Realizado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1">
      <c r="A3" s="4" t="s">
        <v>392</v>
      </c>
      <c r="B3" s="1187" t="str">
        <f>'Listado Objetos de Dominio'!$B$32</f>
        <v xml:space="preserve">Objeto de dominio que gestiona  las transiciones de estados de un servicio 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1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460" t="str">
        <f>A16</f>
        <v>Consultar Información de la Transición Estado Servicio Realizado</v>
      </c>
    </row>
    <row r="5" spans="1:21">
      <c r="A5" s="11" t="str">
        <f>'Trancision Est Serv Real Muestr'!A3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'Trancision Est Serv Real Muestr'!A2</f>
        <v>Corresponde al identificador único que representa cada transición del estado de un  servicio realizado</v>
      </c>
      <c r="U5" s="711" t="s">
        <v>408</v>
      </c>
    </row>
    <row r="6" spans="1:21" ht="20.25" customHeight="1">
      <c r="A6" s="11" t="str">
        <f>'Trancision Est Serv Real Muestr'!B3</f>
        <v>estadoActual</v>
      </c>
      <c r="B6" s="5" t="s">
        <v>75</v>
      </c>
      <c r="C6" s="5">
        <v>1</v>
      </c>
      <c r="D6" s="5">
        <v>150</v>
      </c>
      <c r="E6" s="5"/>
      <c r="F6" s="5"/>
      <c r="G6" s="5"/>
      <c r="H6" s="5" t="s">
        <v>410</v>
      </c>
      <c r="I6" s="5" t="s">
        <v>906</v>
      </c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'Trancision Est Serv Real Muestr'!B2</f>
        <v>Corresponde al estado actual que pueden tener los diferentes servicios prestados por una sede</v>
      </c>
      <c r="U6" s="711" t="s">
        <v>907</v>
      </c>
    </row>
    <row r="7" spans="1:21">
      <c r="A7" s="11" t="str">
        <f>'Trancision Est Serv Real Muestr'!C3</f>
        <v>estadoAnterior</v>
      </c>
      <c r="B7" s="5" t="s">
        <v>75</v>
      </c>
      <c r="C7" s="5">
        <v>1</v>
      </c>
      <c r="D7" s="5">
        <v>150</v>
      </c>
      <c r="E7" s="5"/>
      <c r="F7" s="5"/>
      <c r="G7" s="5"/>
      <c r="H7" s="5" t="s">
        <v>410</v>
      </c>
      <c r="I7" s="5" t="s">
        <v>906</v>
      </c>
      <c r="J7" s="5"/>
      <c r="K7" s="7"/>
      <c r="L7" s="13" t="s">
        <v>81</v>
      </c>
      <c r="M7" s="13" t="s">
        <v>81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7" t="str">
        <f>'Trancision Est Serv Real Muestr'!C2</f>
        <v>Corresponde al estado anterior que pueden tener los diferentes servicios prestados por una sede</v>
      </c>
      <c r="U7" s="711" t="s">
        <v>907</v>
      </c>
    </row>
    <row r="8" spans="1:21">
      <c r="A8" s="11" t="str">
        <f>'Trancision Est Serv Real Muestr'!D3</f>
        <v>nuevoEstado</v>
      </c>
      <c r="B8" s="5" t="s">
        <v>75</v>
      </c>
      <c r="C8" s="5">
        <v>1</v>
      </c>
      <c r="D8" s="5">
        <v>150</v>
      </c>
      <c r="E8" s="5"/>
      <c r="F8" s="5"/>
      <c r="G8" s="5"/>
      <c r="H8" s="5" t="s">
        <v>410</v>
      </c>
      <c r="I8" s="5" t="s">
        <v>906</v>
      </c>
      <c r="J8" s="5"/>
      <c r="K8" s="7"/>
      <c r="L8" s="13" t="s">
        <v>81</v>
      </c>
      <c r="M8" s="13" t="s">
        <v>81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'Trancision Est Serv Real Muestr'!D2</f>
        <v>Corresponde al nuevo estado que pueden tener los diferentes servicios prestados por una sede</v>
      </c>
      <c r="U8" s="711" t="s">
        <v>907</v>
      </c>
    </row>
    <row r="10" spans="1:21" ht="66.75" customHeight="1">
      <c r="A10" s="1254" t="s">
        <v>414</v>
      </c>
      <c r="B10" s="1254"/>
      <c r="C10" s="1254"/>
      <c r="G10" s="1" t="s">
        <v>418</v>
      </c>
    </row>
    <row r="11" spans="1:21">
      <c r="A11" s="126" t="s">
        <v>415</v>
      </c>
      <c r="B11" s="126" t="s">
        <v>2</v>
      </c>
      <c r="C11" s="126" t="s">
        <v>416</v>
      </c>
    </row>
    <row r="12" spans="1:21" ht="74.25" customHeight="1">
      <c r="A12" s="103" t="s">
        <v>1864</v>
      </c>
      <c r="B12" s="103" t="str">
        <f>'Trancision Est Serv Real Muestr'!E2</f>
        <v>El estado actual debe de seguir una secuencia ya definida</v>
      </c>
      <c r="C12" s="232" t="str">
        <f>A6</f>
        <v>estadoActual</v>
      </c>
    </row>
    <row r="14" spans="1:21">
      <c r="A14" s="316" t="s">
        <v>419</v>
      </c>
      <c r="B14" s="1244" t="s">
        <v>2</v>
      </c>
      <c r="C14" s="1207"/>
      <c r="D14" s="1178" t="s">
        <v>420</v>
      </c>
      <c r="E14" s="1202"/>
      <c r="F14" s="1202"/>
      <c r="G14" s="1202"/>
      <c r="H14" s="1202"/>
      <c r="I14" s="1179"/>
      <c r="J14" s="319"/>
      <c r="K14" s="1202" t="s">
        <v>421</v>
      </c>
      <c r="L14" s="1202"/>
      <c r="M14" s="1179"/>
      <c r="N14" s="1178" t="s">
        <v>422</v>
      </c>
      <c r="O14" s="1202"/>
      <c r="P14" s="1202"/>
      <c r="Q14" s="463"/>
      <c r="R14" s="319" t="s">
        <v>474</v>
      </c>
      <c r="S14" s="320"/>
      <c r="T14" s="290"/>
      <c r="U14" s="290"/>
    </row>
    <row r="15" spans="1:21">
      <c r="A15" s="339"/>
      <c r="B15" s="1245"/>
      <c r="C15" s="1246"/>
      <c r="D15" s="1178" t="s">
        <v>423</v>
      </c>
      <c r="E15" s="1202"/>
      <c r="F15" s="1202"/>
      <c r="G15" s="1247"/>
      <c r="H15" s="341" t="s">
        <v>424</v>
      </c>
      <c r="I15" s="341" t="s">
        <v>2</v>
      </c>
      <c r="J15" s="341" t="s">
        <v>66</v>
      </c>
      <c r="K15" s="1425" t="s">
        <v>2</v>
      </c>
      <c r="L15" s="1202"/>
      <c r="M15" s="1247"/>
      <c r="N15" s="321" t="s">
        <v>425</v>
      </c>
      <c r="O15" s="1386" t="s">
        <v>2</v>
      </c>
      <c r="P15" s="1498"/>
      <c r="Q15" s="1245" t="s">
        <v>426</v>
      </c>
      <c r="R15" s="1204"/>
      <c r="S15" s="462" t="s">
        <v>427</v>
      </c>
      <c r="T15" s="290"/>
      <c r="U15" s="290"/>
    </row>
    <row r="16" spans="1:21" ht="60" customHeight="1">
      <c r="A16" s="342" t="s">
        <v>1865</v>
      </c>
      <c r="B16" s="1499" t="s">
        <v>1866</v>
      </c>
      <c r="C16" s="1354"/>
      <c r="D16" s="1384" t="s">
        <v>430</v>
      </c>
      <c r="E16" s="1355"/>
      <c r="F16" s="1355"/>
      <c r="G16" s="1385"/>
      <c r="H16" s="305" t="s">
        <v>131</v>
      </c>
      <c r="I16" s="338" t="s">
        <v>1867</v>
      </c>
      <c r="J16" s="303" t="s">
        <v>977</v>
      </c>
      <c r="K16" s="1384" t="s">
        <v>1868</v>
      </c>
      <c r="L16" s="1355"/>
      <c r="M16" s="1385"/>
      <c r="N16" s="336" t="s">
        <v>1869</v>
      </c>
      <c r="O16" s="1500" t="s">
        <v>1870</v>
      </c>
      <c r="P16" s="1501"/>
      <c r="Q16" s="1181" t="s">
        <v>1871</v>
      </c>
      <c r="R16" s="1182"/>
      <c r="S16" s="302" t="s">
        <v>438</v>
      </c>
    </row>
    <row r="17" spans="1:21" ht="131.25" customHeight="1">
      <c r="A17" s="347"/>
      <c r="B17" s="1502"/>
      <c r="C17" s="1503"/>
      <c r="D17" s="1380"/>
      <c r="E17" s="1381"/>
      <c r="F17" s="1381"/>
      <c r="G17" s="1504"/>
      <c r="H17" s="306"/>
      <c r="I17" s="306"/>
      <c r="J17" s="304"/>
      <c r="K17" s="1505"/>
      <c r="L17" s="1506"/>
      <c r="M17" s="1507"/>
      <c r="N17" s="324" t="s">
        <v>1872</v>
      </c>
      <c r="O17" s="1181" t="s">
        <v>436</v>
      </c>
      <c r="P17" s="1243"/>
      <c r="Q17" s="1181" t="s">
        <v>437</v>
      </c>
      <c r="R17" s="1182"/>
      <c r="S17" s="307" t="s">
        <v>438</v>
      </c>
      <c r="T17" s="291"/>
      <c r="U17" s="291"/>
    </row>
    <row r="18" spans="1:21" ht="102" customHeight="1">
      <c r="A18" s="857" t="s">
        <v>1873</v>
      </c>
      <c r="B18" s="1491" t="s">
        <v>1874</v>
      </c>
      <c r="C18" s="1492"/>
      <c r="D18" s="1493" t="s">
        <v>441</v>
      </c>
      <c r="E18" s="1494"/>
      <c r="F18" s="1494"/>
      <c r="G18" s="1495"/>
      <c r="H18" s="1162" t="s">
        <v>131</v>
      </c>
      <c r="I18" s="1163" t="s">
        <v>1822</v>
      </c>
      <c r="J18" s="1161" t="s">
        <v>977</v>
      </c>
      <c r="K18" s="1493" t="s">
        <v>1868</v>
      </c>
      <c r="L18" s="1494"/>
      <c r="M18" s="1495"/>
      <c r="N18" s="1164" t="s">
        <v>1869</v>
      </c>
      <c r="O18" s="1496" t="s">
        <v>1870</v>
      </c>
      <c r="P18" s="1497"/>
      <c r="Q18" s="1488" t="s">
        <v>1871</v>
      </c>
      <c r="R18" s="1490"/>
      <c r="S18" s="1165" t="s">
        <v>438</v>
      </c>
    </row>
    <row r="19" spans="1:21" ht="82.5" customHeight="1">
      <c r="A19" s="864"/>
      <c r="B19" s="1480"/>
      <c r="C19" s="1481"/>
      <c r="D19" s="1482" t="s">
        <v>369</v>
      </c>
      <c r="E19" s="1483"/>
      <c r="F19" s="1483"/>
      <c r="G19" s="1484"/>
      <c r="H19" s="1167" t="s">
        <v>75</v>
      </c>
      <c r="I19" s="1167" t="s">
        <v>1875</v>
      </c>
      <c r="J19" s="1166"/>
      <c r="K19" s="1485"/>
      <c r="L19" s="1486"/>
      <c r="M19" s="1487"/>
      <c r="N19" s="1168" t="s">
        <v>1869</v>
      </c>
      <c r="O19" s="1488" t="s">
        <v>436</v>
      </c>
      <c r="P19" s="1489"/>
      <c r="Q19" s="1488" t="s">
        <v>437</v>
      </c>
      <c r="R19" s="1490"/>
      <c r="S19" s="1169" t="s">
        <v>438</v>
      </c>
      <c r="T19" s="291"/>
      <c r="U19" s="291"/>
    </row>
  </sheetData>
  <mergeCells count="33">
    <mergeCell ref="B17:C17"/>
    <mergeCell ref="D17:G17"/>
    <mergeCell ref="K17:M17"/>
    <mergeCell ref="O17:P17"/>
    <mergeCell ref="Q17:R17"/>
    <mergeCell ref="B16:C16"/>
    <mergeCell ref="D16:G16"/>
    <mergeCell ref="K16:M16"/>
    <mergeCell ref="O16:P16"/>
    <mergeCell ref="Q16:R16"/>
    <mergeCell ref="B15:C15"/>
    <mergeCell ref="D15:G15"/>
    <mergeCell ref="K15:M15"/>
    <mergeCell ref="O15:P15"/>
    <mergeCell ref="Q15:R15"/>
    <mergeCell ref="A1:T1"/>
    <mergeCell ref="B2:T2"/>
    <mergeCell ref="B3:T3"/>
    <mergeCell ref="A10:C10"/>
    <mergeCell ref="B14:C14"/>
    <mergeCell ref="D14:I14"/>
    <mergeCell ref="K14:M14"/>
    <mergeCell ref="N14:P14"/>
    <mergeCell ref="B18:C18"/>
    <mergeCell ref="D18:G18"/>
    <mergeCell ref="K18:M18"/>
    <mergeCell ref="O18:P18"/>
    <mergeCell ref="Q18:R18"/>
    <mergeCell ref="B19:C19"/>
    <mergeCell ref="D19:G19"/>
    <mergeCell ref="K19:M19"/>
    <mergeCell ref="O19:P19"/>
    <mergeCell ref="Q19:R19"/>
  </mergeCells>
  <dataValidations count="1">
    <dataValidation allowBlank="1" showInputMessage="1" showErrorMessage="1" sqref="H5:I5 H6:H8" xr:uid="{12F37742-5D1C-41FE-BC02-43D04FE2993F}"/>
  </dataValidations>
  <hyperlinks>
    <hyperlink ref="A1" location="'Objetos de Dominio'!A1" display="Volver al inicio" xr:uid="{16CC540C-EF2D-4F34-B79F-0FA0BF1CDDC9}"/>
    <hyperlink ref="U4" location="'Objeto Dominio 2'!A16" display="'Objeto Dominio 2'!A16" xr:uid="{50EB0F1C-8772-4F36-B7D5-64FC29578CA6}"/>
    <hyperlink ref="A1:T1" location="'Listado Objetos de Dominio'!A1" display="&lt;-Volver al inicio" xr:uid="{4EAB463E-C78C-4648-A77F-14443801D054}"/>
    <hyperlink ref="C12" location="'Tipo Servicio Caracterización'!A6" display="=A6" xr:uid="{4E91FA2F-74B1-4BEF-9589-B5FBFC11C1D3}"/>
    <hyperlink ref="B2:T2" location="'Listado Objetos de Dominio'!A26" display="='Listado Objetos de Dominio'!$A$26" xr:uid="{DB35E0AD-0DC2-41EA-BB0E-18FB0798950E}"/>
    <hyperlink ref="A16:B16" location="'Objeto Dominio 2'!R4" display="Reponsabilidad 2" xr:uid="{D584F7FB-6F0B-414C-B433-31F1B34117EC}"/>
    <hyperlink ref="A18:B18" location="'Objeto Dominio 2'!R4" display="Reponsabilidad 2" xr:uid="{857BC91F-8379-44B5-8C66-DF1A4FB79FA6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9551536-DF9B-4B54-87E5-C6462DA15FA8}">
          <x14:formula1>
            <xm:f>Caracterizacion!$B$4:$B$506</xm:f>
          </x14:formula1>
          <xm:sqref>C5:D8</xm:sqref>
        </x14:dataValidation>
        <x14:dataValidation type="list" allowBlank="1" showInputMessage="1" showErrorMessage="1" xr:uid="{4110ACDA-78D0-4341-9727-B219A1707109}">
          <x14:formula1>
            <xm:f>Caracterizacion!$A$3:$A$40</xm:f>
          </x14:formula1>
          <xm:sqref>B6:B8</xm:sqref>
        </x14:dataValidation>
        <x14:dataValidation type="list" allowBlank="1" showInputMessage="1" showErrorMessage="1" xr:uid="{3207CE23-3EAF-4F70-8959-F84BBF9C24E3}">
          <x14:formula1>
            <xm:f>Caracterizacion!$A$3:$A$14</xm:f>
          </x14:formula1>
          <xm:sqref>B5</xm:sqref>
        </x14:dataValidation>
        <x14:dataValidation type="list" allowBlank="1" showInputMessage="1" showErrorMessage="1" xr:uid="{660524F9-E36A-4F9E-A2F8-AE4BE6781B4B}">
          <x14:formula1>
            <xm:f>Caracterizacion!$C$3:$C$18</xm:f>
          </x14:formula1>
          <xm:sqref>E5:E8 F6:G8</xm:sqref>
        </x14:dataValidation>
        <x14:dataValidation type="list" allowBlank="1" showInputMessage="1" showErrorMessage="1" xr:uid="{411E5A9B-1941-4D82-809C-51963A3FB1CE}">
          <x14:formula1>
            <xm:f>Caracterizacion!$H$3:$H$4</xm:f>
          </x14:formula1>
          <xm:sqref>L5:S8</xm:sqref>
        </x14:dataValidation>
        <x14:dataValidation type="custom" allowBlank="1" showInputMessage="1" showErrorMessage="1" xr:uid="{78A8892D-E0CB-4B63-9F4B-5D662DB51351}">
          <x14:formula1>
            <xm:f>Caracterizacion!$F$3</xm:f>
          </x14:formula1>
          <xm:sqref>J5</xm:sqref>
        </x14:dataValidation>
        <x14:dataValidation type="list" allowBlank="1" showInputMessage="1" showErrorMessage="1" xr:uid="{E7BA8598-379B-4D57-82C1-394629E0C5F4}">
          <x14:formula1>
            <xm:f>Caracterizacion!$D$3:$D$13</xm:f>
          </x14:formula1>
          <xm:sqref>F5:G5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DD49-561E-47FE-8820-63BD96DDFD46}">
  <dimension ref="A2:H12"/>
  <sheetViews>
    <sheetView workbookViewId="0"/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1" bestFit="1" customWidth="1"/>
    <col min="5" max="5" width="18.5703125" customWidth="1"/>
    <col min="6" max="6" width="26.140625" bestFit="1" customWidth="1"/>
    <col min="7" max="7" width="18.42578125" bestFit="1" customWidth="1"/>
    <col min="8" max="8" width="18" bestFit="1" customWidth="1"/>
  </cols>
  <sheetData>
    <row r="2" spans="1:8" ht="23.25">
      <c r="A2" s="99" t="s">
        <v>1876</v>
      </c>
      <c r="B2" s="99" t="s">
        <v>1877</v>
      </c>
      <c r="C2" s="99" t="s">
        <v>1878</v>
      </c>
      <c r="D2" s="122"/>
      <c r="E2" s="122"/>
      <c r="F2" s="122"/>
      <c r="G2" s="122"/>
      <c r="H2" s="122"/>
    </row>
    <row r="3" spans="1:8">
      <c r="A3" s="56" t="s">
        <v>369</v>
      </c>
      <c r="B3" s="56" t="s">
        <v>370</v>
      </c>
      <c r="C3" s="134" t="s">
        <v>509</v>
      </c>
      <c r="D3" s="130"/>
      <c r="E3" s="130"/>
      <c r="F3" s="130"/>
      <c r="G3" s="130"/>
      <c r="H3" s="130"/>
    </row>
    <row r="4" spans="1:8">
      <c r="A4" s="135" t="s">
        <v>1276</v>
      </c>
      <c r="B4" s="56" t="s">
        <v>1652</v>
      </c>
      <c r="C4" s="134" t="s">
        <v>1652</v>
      </c>
      <c r="D4" s="131"/>
      <c r="E4" s="130"/>
      <c r="F4" s="130"/>
      <c r="G4" s="130"/>
      <c r="H4" s="130"/>
    </row>
    <row r="5" spans="1:8">
      <c r="A5" s="135" t="s">
        <v>1277</v>
      </c>
      <c r="B5" s="56" t="s">
        <v>1655</v>
      </c>
      <c r="C5" s="134" t="s">
        <v>1655</v>
      </c>
      <c r="D5" s="131"/>
      <c r="E5" s="130"/>
      <c r="F5" s="130"/>
      <c r="G5" s="130"/>
      <c r="H5" s="130"/>
    </row>
    <row r="6" spans="1:8">
      <c r="A6" s="135" t="s">
        <v>1278</v>
      </c>
      <c r="B6" s="56" t="s">
        <v>1658</v>
      </c>
      <c r="C6" s="134" t="s">
        <v>1658</v>
      </c>
      <c r="D6" s="131"/>
      <c r="E6" s="130"/>
      <c r="F6" s="130"/>
      <c r="G6" s="130"/>
      <c r="H6" s="130"/>
    </row>
    <row r="7" spans="1:8">
      <c r="A7" s="135" t="s">
        <v>1279</v>
      </c>
      <c r="B7" s="56" t="s">
        <v>1661</v>
      </c>
      <c r="C7" s="134" t="s">
        <v>1661</v>
      </c>
      <c r="D7" s="131"/>
      <c r="E7" s="130"/>
      <c r="F7" s="130"/>
      <c r="G7" s="130"/>
      <c r="H7" s="130"/>
    </row>
    <row r="8" spans="1:8">
      <c r="A8" s="135" t="s">
        <v>897</v>
      </c>
      <c r="B8" s="56" t="s">
        <v>1664</v>
      </c>
      <c r="C8" s="134" t="s">
        <v>1664</v>
      </c>
      <c r="D8" s="130"/>
    </row>
    <row r="9" spans="1:8">
      <c r="A9" s="135" t="s">
        <v>898</v>
      </c>
      <c r="B9" s="56" t="s">
        <v>1698</v>
      </c>
      <c r="C9" s="134" t="s">
        <v>1698</v>
      </c>
      <c r="D9" s="130"/>
    </row>
    <row r="10" spans="1:8">
      <c r="A10" s="135" t="s">
        <v>899</v>
      </c>
      <c r="B10" s="56" t="s">
        <v>1707</v>
      </c>
      <c r="C10" s="134" t="s">
        <v>1707</v>
      </c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46D1-4967-4FF2-8832-84D5C2F46B28}">
  <dimension ref="A1:W21"/>
  <sheetViews>
    <sheetView zoomScale="85" zoomScaleNormal="85" workbookViewId="0">
      <pane xSplit="1" topLeftCell="H14" activePane="topRight" state="frozen"/>
      <selection pane="topRight" activeCell="H14" sqref="H14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36.140625" style="1" bestFit="1" customWidth="1"/>
    <col min="9" max="9" width="112.42578125" style="1" bestFit="1" customWidth="1"/>
    <col min="10" max="10" width="20.140625" style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60" style="1" bestFit="1" customWidth="1"/>
    <col min="23" max="23" width="52.28515625" style="1" customWidth="1"/>
    <col min="24" max="16384" width="11.42578125" style="1"/>
  </cols>
  <sheetData>
    <row r="1" spans="1:23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3">
      <c r="A2" s="4" t="s">
        <v>391</v>
      </c>
      <c r="B2" s="1209" t="str">
        <f>'Listado Objetos de Dominio'!$A$27</f>
        <v>Tipo Servicio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3">
      <c r="A3" s="4" t="s">
        <v>392</v>
      </c>
      <c r="B3" s="1187" t="str">
        <f>'Listado Objetos de Dominio'!$B$27</f>
        <v>Objeto de dominio que representa la clasificación de los diferentes servicios ofrecidos para las motocicletas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3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945" t="str">
        <f>A14</f>
        <v>Consultar Información Tipo Servicio</v>
      </c>
      <c r="V4" s="37" t="str">
        <f>B14</f>
        <v>Permite buscar y visualizar la información de un tipo de servicio.</v>
      </c>
      <c r="W4" s="1141"/>
    </row>
    <row r="5" spans="1:23">
      <c r="A5" s="11" t="str">
        <f>'Tipo Servicio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'Tipo Servicio Muestreo'!A2</f>
        <v>Corresponde al identificador único que representa cada tipo  de servicio en el sistema.</v>
      </c>
      <c r="U5" s="1135" t="s">
        <v>408</v>
      </c>
      <c r="V5" s="659" t="s">
        <v>409</v>
      </c>
      <c r="W5" s="588"/>
    </row>
    <row r="6" spans="1:23" ht="20.25" customHeight="1">
      <c r="A6" s="11" t="str">
        <f>'Tipo Servicio Muestreo'!B3</f>
        <v>nombre</v>
      </c>
      <c r="B6" s="5" t="s">
        <v>75</v>
      </c>
      <c r="C6" s="5">
        <v>1</v>
      </c>
      <c r="D6" s="5">
        <v>200</v>
      </c>
      <c r="E6" s="5"/>
      <c r="F6" s="5"/>
      <c r="G6" s="5"/>
      <c r="H6" s="5" t="s">
        <v>410</v>
      </c>
      <c r="I6" s="5" t="s">
        <v>906</v>
      </c>
      <c r="J6" s="5"/>
      <c r="K6" s="7"/>
      <c r="L6" s="13" t="s">
        <v>81</v>
      </c>
      <c r="M6" s="13" t="s">
        <v>81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'Tipo Servicio Muestreo'!B2</f>
        <v>Corresponde al atributo nombre que contiene los diferentes tipos de servicio.</v>
      </c>
      <c r="U6" s="1135" t="s">
        <v>907</v>
      </c>
      <c r="V6" s="659" t="s">
        <v>413</v>
      </c>
      <c r="W6" s="588"/>
    </row>
    <row r="7" spans="1:23">
      <c r="I7" s="89"/>
    </row>
    <row r="8" spans="1:23" ht="66.75" customHeight="1">
      <c r="A8" s="1254" t="s">
        <v>414</v>
      </c>
      <c r="B8" s="1254"/>
      <c r="C8" s="1254"/>
      <c r="G8" s="1" t="s">
        <v>418</v>
      </c>
    </row>
    <row r="9" spans="1:23">
      <c r="A9" s="126" t="s">
        <v>415</v>
      </c>
      <c r="B9" s="126" t="s">
        <v>2</v>
      </c>
      <c r="C9" s="126" t="s">
        <v>416</v>
      </c>
    </row>
    <row r="10" spans="1:23" ht="74.25" customHeight="1">
      <c r="A10" s="103" t="s">
        <v>1879</v>
      </c>
      <c r="B10" s="103" t="str">
        <f>'Tipo Servicio Muestreo'!C2</f>
        <v>El nombre del tipo de servicio no debe tener   duplicidad.</v>
      </c>
      <c r="C10" s="232" t="str">
        <f>A6</f>
        <v>nombre</v>
      </c>
    </row>
    <row r="12" spans="1:23">
      <c r="A12" s="316" t="s">
        <v>419</v>
      </c>
      <c r="B12" s="1244" t="s">
        <v>2</v>
      </c>
      <c r="C12" s="1207"/>
      <c r="D12" s="1178" t="s">
        <v>420</v>
      </c>
      <c r="E12" s="1202"/>
      <c r="F12" s="1202"/>
      <c r="G12" s="1202"/>
      <c r="H12" s="1202"/>
      <c r="I12" s="1179"/>
      <c r="J12" s="319"/>
      <c r="K12" s="1202" t="s">
        <v>421</v>
      </c>
      <c r="L12" s="1202"/>
      <c r="M12" s="1179"/>
      <c r="N12" s="1178" t="s">
        <v>422</v>
      </c>
      <c r="O12" s="1202"/>
      <c r="P12" s="1202"/>
      <c r="Q12" s="463"/>
      <c r="R12" s="319" t="s">
        <v>474</v>
      </c>
      <c r="S12" s="320"/>
      <c r="T12" s="290"/>
      <c r="U12" s="290"/>
    </row>
    <row r="13" spans="1:23">
      <c r="A13" s="339"/>
      <c r="B13" s="1245"/>
      <c r="C13" s="1246"/>
      <c r="D13" s="1178" t="s">
        <v>423</v>
      </c>
      <c r="E13" s="1202"/>
      <c r="F13" s="1202"/>
      <c r="G13" s="1247"/>
      <c r="H13" s="341" t="s">
        <v>424</v>
      </c>
      <c r="I13" s="341" t="s">
        <v>2</v>
      </c>
      <c r="J13" s="341" t="s">
        <v>66</v>
      </c>
      <c r="K13" s="1248" t="s">
        <v>2</v>
      </c>
      <c r="L13" s="1206"/>
      <c r="M13" s="1249"/>
      <c r="N13" s="337" t="s">
        <v>425</v>
      </c>
      <c r="O13" s="1248" t="s">
        <v>2</v>
      </c>
      <c r="P13" s="1207"/>
      <c r="Q13" s="1216" t="s">
        <v>426</v>
      </c>
      <c r="R13" s="1217"/>
      <c r="S13" s="300" t="s">
        <v>427</v>
      </c>
      <c r="T13" s="290"/>
      <c r="U13" s="290"/>
    </row>
    <row r="14" spans="1:23" ht="101.25" customHeight="1">
      <c r="A14" s="977" t="s">
        <v>1880</v>
      </c>
      <c r="B14" s="1508" t="s">
        <v>1881</v>
      </c>
      <c r="C14" s="1509"/>
      <c r="D14" s="1194" t="s">
        <v>499</v>
      </c>
      <c r="E14" s="1195"/>
      <c r="F14" s="1195"/>
      <c r="G14" s="1424"/>
      <c r="H14" s="1121" t="s">
        <v>159</v>
      </c>
      <c r="I14" s="1122" t="s">
        <v>1882</v>
      </c>
      <c r="J14" s="1123" t="s">
        <v>1883</v>
      </c>
      <c r="K14" s="1194" t="s">
        <v>1884</v>
      </c>
      <c r="L14" s="1195"/>
      <c r="M14" s="1424"/>
      <c r="N14" s="1116" t="s">
        <v>1885</v>
      </c>
      <c r="O14" s="1194" t="s">
        <v>436</v>
      </c>
      <c r="P14" s="1195"/>
      <c r="Q14" s="1194" t="s">
        <v>437</v>
      </c>
      <c r="R14" s="1195"/>
      <c r="S14" s="1124" t="s">
        <v>438</v>
      </c>
    </row>
    <row r="15" spans="1:23" ht="108" customHeight="1">
      <c r="A15" s="660" t="s">
        <v>1886</v>
      </c>
      <c r="B15" s="1510" t="s">
        <v>1887</v>
      </c>
      <c r="C15" s="1511"/>
      <c r="D15" s="712"/>
      <c r="E15" s="712"/>
      <c r="F15" s="687" t="s">
        <v>441</v>
      </c>
      <c r="G15" s="712"/>
      <c r="H15" s="564" t="s">
        <v>75</v>
      </c>
      <c r="I15" s="564" t="s">
        <v>1888</v>
      </c>
      <c r="J15" s="663"/>
      <c r="K15" s="1443"/>
      <c r="L15" s="1443"/>
      <c r="M15" s="1512"/>
      <c r="N15" s="687" t="s">
        <v>1889</v>
      </c>
      <c r="O15" s="1346" t="s">
        <v>444</v>
      </c>
      <c r="P15" s="1440"/>
      <c r="Q15" s="1347" t="s">
        <v>437</v>
      </c>
      <c r="R15" s="1347"/>
      <c r="S15" s="663" t="s">
        <v>438</v>
      </c>
      <c r="T15" s="291"/>
      <c r="U15" s="291"/>
    </row>
    <row r="16" spans="1:23" ht="44.25" customHeight="1">
      <c r="A16" s="644"/>
      <c r="B16" s="640"/>
      <c r="C16" s="645"/>
      <c r="D16" s="713"/>
      <c r="E16" s="713"/>
      <c r="F16" s="713" t="s">
        <v>369</v>
      </c>
      <c r="G16" s="713"/>
      <c r="H16" s="634" t="s">
        <v>75</v>
      </c>
      <c r="I16" s="713" t="s">
        <v>1890</v>
      </c>
      <c r="J16" s="714"/>
      <c r="K16" s="640"/>
      <c r="L16" s="640"/>
      <c r="M16" s="645"/>
      <c r="N16" s="640"/>
      <c r="O16" s="644"/>
      <c r="P16" s="645"/>
      <c r="Q16" s="640"/>
      <c r="R16" s="640"/>
      <c r="S16" s="714"/>
    </row>
    <row r="20" ht="37.5" customHeight="1"/>
    <row r="21" ht="15" customHeight="1"/>
  </sheetData>
  <mergeCells count="22">
    <mergeCell ref="Q15:R15"/>
    <mergeCell ref="Q13:R13"/>
    <mergeCell ref="B14:C14"/>
    <mergeCell ref="D14:G14"/>
    <mergeCell ref="K14:M14"/>
    <mergeCell ref="O14:P14"/>
    <mergeCell ref="Q14:R14"/>
    <mergeCell ref="B13:C13"/>
    <mergeCell ref="D13:G13"/>
    <mergeCell ref="K13:M13"/>
    <mergeCell ref="O13:P13"/>
    <mergeCell ref="B15:C15"/>
    <mergeCell ref="K15:M15"/>
    <mergeCell ref="O15:P15"/>
    <mergeCell ref="A1:T1"/>
    <mergeCell ref="B2:T2"/>
    <mergeCell ref="B3:T3"/>
    <mergeCell ref="A8:C8"/>
    <mergeCell ref="B12:C12"/>
    <mergeCell ref="D12:I12"/>
    <mergeCell ref="K12:M12"/>
    <mergeCell ref="N12:P12"/>
  </mergeCells>
  <dataValidations count="1">
    <dataValidation allowBlank="1" showInputMessage="1" showErrorMessage="1" sqref="H5:I5 H6" xr:uid="{519AD63E-9779-4722-A55B-6330C33EAA33}"/>
  </dataValidations>
  <hyperlinks>
    <hyperlink ref="A1" location="'Objetos de Dominio'!A1" display="Volver al inicio" xr:uid="{2E628517-DEAD-42FF-B576-E52CAAB95539}"/>
    <hyperlink ref="A1:T1" location="'Listado Objetos de Dominio'!A1" display="&lt;-Volver al inicio" xr:uid="{AD4769FE-BE52-4C3B-89D4-17FE5F14084F}"/>
    <hyperlink ref="C10" location="'Tipo Servicio Caracterización'!A6" display="=A6" xr:uid="{B5CFF759-1F1D-4F6D-86B6-EEE7AD101584}"/>
    <hyperlink ref="B2:T2" location="'Listado Objetos de Dominio'!A26" display="='Listado Objetos de Dominio'!$A$26" xr:uid="{114AECEF-C945-4CC1-954B-5EE19B53C2B3}"/>
    <hyperlink ref="A14:B14" location="'Objeto Dominio 2'!R4" display="Reponsabilidad 2" xr:uid="{ED07D9F7-E292-4BCD-806C-09D982EF633B}"/>
    <hyperlink ref="U4" location="'Objeto Dominio 2'!A16" display="'Objeto Dominio 2'!A16" xr:uid="{E1C2CDD6-354C-4223-B2BB-EA244EBF9AF2}"/>
    <hyperlink ref="V4" location="'Objeto Dominio 2'!A16" display="'Objeto Dominio 2'!A16" xr:uid="{DD9EE97C-E913-4649-9F4E-608B878CDD6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7109240-DED1-49E5-BC39-C454617579BD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0943F85E-AE70-4E69-8812-9304C669BDE5}">
          <x14:formula1>
            <xm:f>Caracterizacion!$F$3</xm:f>
          </x14:formula1>
          <xm:sqref>J5</xm:sqref>
        </x14:dataValidation>
        <x14:dataValidation type="list" allowBlank="1" showInputMessage="1" showErrorMessage="1" xr:uid="{93F4D453-1F00-4F2E-ACD5-DD5549892DA4}">
          <x14:formula1>
            <xm:f>Caracterizacion!$H$3:$H$4</xm:f>
          </x14:formula1>
          <xm:sqref>L5:S6</xm:sqref>
        </x14:dataValidation>
        <x14:dataValidation type="list" allowBlank="1" showInputMessage="1" showErrorMessage="1" xr:uid="{D1D303F5-9EE1-4392-88EC-FE2B4932DF1B}">
          <x14:formula1>
            <xm:f>Caracterizacion!$C$3:$C$18</xm:f>
          </x14:formula1>
          <xm:sqref>E5:E6 F6:G6</xm:sqref>
        </x14:dataValidation>
        <x14:dataValidation type="list" allowBlank="1" showInputMessage="1" showErrorMessage="1" xr:uid="{263774DA-3711-4954-9A37-7BE268257AD2}">
          <x14:formula1>
            <xm:f>Caracterizacion!$A$3:$A$14</xm:f>
          </x14:formula1>
          <xm:sqref>B5</xm:sqref>
        </x14:dataValidation>
        <x14:dataValidation type="list" allowBlank="1" showInputMessage="1" showErrorMessage="1" xr:uid="{335520E3-3FD3-48F8-935D-AF6372D54D9F}">
          <x14:formula1>
            <xm:f>Caracterizacion!$A$3:$A$40</xm:f>
          </x14:formula1>
          <xm:sqref>B6</xm:sqref>
        </x14:dataValidation>
        <x14:dataValidation type="list" allowBlank="1" showInputMessage="1" showErrorMessage="1" xr:uid="{E11A769A-C319-4F3A-99E8-B5459D98B073}">
          <x14:formula1>
            <xm:f>Caracterizacion!$B$4:$B$506</xm:f>
          </x14:formula1>
          <xm:sqref>C5:D6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3E78-44C2-4469-9005-97A3C6DE263D}">
  <dimension ref="A2:F72"/>
  <sheetViews>
    <sheetView workbookViewId="0"/>
  </sheetViews>
  <sheetFormatPr defaultRowHeight="15"/>
  <cols>
    <col min="1" max="1" width="40.140625" bestFit="1" customWidth="1"/>
    <col min="2" max="2" width="51.85546875" bestFit="1" customWidth="1"/>
    <col min="3" max="3" width="50.140625" bestFit="1" customWidth="1"/>
    <col min="4" max="4" width="93.28515625" bestFit="1" customWidth="1"/>
    <col min="5" max="5" width="93.7109375" bestFit="1" customWidth="1"/>
    <col min="6" max="6" width="124.7109375" bestFit="1" customWidth="1"/>
  </cols>
  <sheetData>
    <row r="2" spans="1:6" ht="23.25">
      <c r="A2" s="99" t="s">
        <v>1891</v>
      </c>
      <c r="B2" s="99" t="s">
        <v>1892</v>
      </c>
      <c r="C2" s="99" t="s">
        <v>1893</v>
      </c>
      <c r="D2" s="122"/>
      <c r="E2" s="122"/>
      <c r="F2" s="122"/>
    </row>
    <row r="3" spans="1:6">
      <c r="A3" s="129" t="s">
        <v>369</v>
      </c>
      <c r="B3" s="129" t="s">
        <v>370</v>
      </c>
      <c r="C3" s="221" t="s">
        <v>509</v>
      </c>
      <c r="D3" s="131"/>
      <c r="E3" s="209"/>
      <c r="F3" s="209"/>
    </row>
    <row r="4" spans="1:6">
      <c r="A4" s="200" t="s">
        <v>274</v>
      </c>
      <c r="B4" s="222" t="s">
        <v>1894</v>
      </c>
      <c r="C4" s="221" t="str">
        <f>B4</f>
        <v>Taller mecánico</v>
      </c>
      <c r="D4" s="131"/>
      <c r="E4" s="130"/>
      <c r="F4" s="130"/>
    </row>
    <row r="5" spans="1:6">
      <c r="A5" s="200" t="s">
        <v>265</v>
      </c>
      <c r="B5" s="222" t="s">
        <v>1895</v>
      </c>
      <c r="C5" s="221" t="str">
        <f>B5</f>
        <v>Almacén de repuestos</v>
      </c>
      <c r="D5" s="130"/>
    </row>
    <row r="6" spans="1:6">
      <c r="A6" s="200" t="s">
        <v>255</v>
      </c>
      <c r="B6" s="129" t="s">
        <v>1896</v>
      </c>
      <c r="C6" s="221" t="str">
        <f>B6</f>
        <v>Taller mecánico - Almacén de repuestos</v>
      </c>
      <c r="D6" s="130"/>
    </row>
    <row r="7" spans="1:6">
      <c r="B7" s="130"/>
    </row>
    <row r="8" spans="1:6">
      <c r="B8" s="130"/>
    </row>
    <row r="9" spans="1:6">
      <c r="B9" s="130"/>
    </row>
    <row r="10" spans="1:6">
      <c r="B10" s="130"/>
    </row>
    <row r="11" spans="1:6">
      <c r="B11" s="130"/>
    </row>
    <row r="12" spans="1:6">
      <c r="B12" s="130"/>
    </row>
    <row r="13" spans="1:6">
      <c r="B13" s="130"/>
    </row>
    <row r="14" spans="1:6">
      <c r="B14" s="130"/>
    </row>
    <row r="15" spans="1:6">
      <c r="B15" s="130"/>
    </row>
    <row r="16" spans="1:6">
      <c r="B16" s="130"/>
    </row>
    <row r="17" spans="1:2">
      <c r="B17" s="130"/>
    </row>
    <row r="18" spans="1:2">
      <c r="B18" s="130"/>
    </row>
    <row r="19" spans="1:2">
      <c r="B19" s="130"/>
    </row>
    <row r="20" spans="1:2">
      <c r="B20" s="130"/>
    </row>
    <row r="21" spans="1:2">
      <c r="B21" s="130"/>
    </row>
    <row r="22" spans="1:2">
      <c r="B22" s="130"/>
    </row>
    <row r="23" spans="1:2">
      <c r="B23" s="130"/>
    </row>
    <row r="24" spans="1:2">
      <c r="B24" s="130"/>
    </row>
    <row r="25" spans="1:2">
      <c r="B25" s="130"/>
    </row>
    <row r="26" spans="1:2">
      <c r="B26" s="130"/>
    </row>
    <row r="27" spans="1:2">
      <c r="B27" s="130"/>
    </row>
    <row r="28" spans="1:2">
      <c r="B28" s="130"/>
    </row>
    <row r="29" spans="1:2">
      <c r="B29" s="130"/>
    </row>
    <row r="30" spans="1:2">
      <c r="B30" s="130"/>
    </row>
    <row r="31" spans="1:2">
      <c r="A31" s="73"/>
      <c r="B31" s="130"/>
    </row>
    <row r="32" spans="1:2">
      <c r="B32" s="130"/>
    </row>
    <row r="33" spans="2:2">
      <c r="B33" s="130"/>
    </row>
    <row r="34" spans="2:2">
      <c r="B34" s="130"/>
    </row>
    <row r="35" spans="2:2">
      <c r="B35" s="130"/>
    </row>
    <row r="36" spans="2:2">
      <c r="B36" s="130"/>
    </row>
    <row r="37" spans="2:2">
      <c r="B37" s="130"/>
    </row>
    <row r="38" spans="2:2">
      <c r="B38" s="130"/>
    </row>
    <row r="39" spans="2:2">
      <c r="B39" s="130"/>
    </row>
    <row r="40" spans="2:2">
      <c r="B40" s="130"/>
    </row>
    <row r="41" spans="2:2">
      <c r="B41" s="130"/>
    </row>
    <row r="42" spans="2:2">
      <c r="B42" s="130"/>
    </row>
    <row r="43" spans="2:2">
      <c r="B43" s="130"/>
    </row>
    <row r="44" spans="2:2">
      <c r="B44" s="130"/>
    </row>
    <row r="45" spans="2:2">
      <c r="B45" s="130"/>
    </row>
    <row r="46" spans="2:2">
      <c r="B46" s="130"/>
    </row>
    <row r="47" spans="2:2">
      <c r="B47" s="130"/>
    </row>
    <row r="48" spans="2:2">
      <c r="B48" s="130"/>
    </row>
    <row r="49" spans="2:2">
      <c r="B49" s="130"/>
    </row>
    <row r="50" spans="2:2">
      <c r="B50" s="130"/>
    </row>
    <row r="51" spans="2:2">
      <c r="B51" s="130"/>
    </row>
    <row r="52" spans="2:2">
      <c r="B52" s="130"/>
    </row>
    <row r="53" spans="2:2">
      <c r="B53" s="130"/>
    </row>
    <row r="54" spans="2:2">
      <c r="B54" s="130"/>
    </row>
    <row r="55" spans="2:2">
      <c r="B55" s="130"/>
    </row>
    <row r="56" spans="2:2">
      <c r="B56" s="130"/>
    </row>
    <row r="57" spans="2:2">
      <c r="B57" s="130"/>
    </row>
    <row r="58" spans="2:2">
      <c r="B58" s="130"/>
    </row>
    <row r="59" spans="2:2">
      <c r="B59" s="130"/>
    </row>
    <row r="60" spans="2:2">
      <c r="B60" s="130"/>
    </row>
    <row r="61" spans="2:2">
      <c r="B61" s="130"/>
    </row>
    <row r="62" spans="2:2">
      <c r="B62" s="130"/>
    </row>
    <row r="63" spans="2:2">
      <c r="B63" s="130"/>
    </row>
    <row r="64" spans="2:2">
      <c r="B64" s="130"/>
    </row>
    <row r="65" spans="2:2">
      <c r="B65" s="130"/>
    </row>
    <row r="66" spans="2:2">
      <c r="B66" s="130"/>
    </row>
    <row r="67" spans="2:2">
      <c r="B67" s="130"/>
    </row>
    <row r="68" spans="2:2">
      <c r="B68" s="130"/>
    </row>
    <row r="69" spans="2:2">
      <c r="B69" s="130"/>
    </row>
    <row r="70" spans="2:2">
      <c r="B70" s="130"/>
    </row>
    <row r="71" spans="2:2">
      <c r="B71" s="130"/>
    </row>
    <row r="72" spans="2:2">
      <c r="B72" s="130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E2CB-FD08-4F12-926B-7D8E13BF3722}">
  <dimension ref="A1:V24"/>
  <sheetViews>
    <sheetView zoomScale="85" zoomScaleNormal="85" workbookViewId="0">
      <pane xSplit="1" topLeftCell="H20" activePane="topRight" state="frozen"/>
      <selection pane="topRight" activeCell="I23" sqref="I23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23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9.140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58.85546875" style="1" customWidth="1"/>
    <col min="22" max="22" width="46.42578125" style="1" bestFit="1" customWidth="1"/>
    <col min="23" max="23" width="52.28515625" style="1" bestFit="1" customWidth="1"/>
    <col min="24" max="16384" width="11.42578125" style="1"/>
  </cols>
  <sheetData>
    <row r="1" spans="1:22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2">
      <c r="A2" s="792" t="s">
        <v>391</v>
      </c>
      <c r="B2" s="1513" t="str">
        <f>'Listado Objetos de Dominio'!$A$30</f>
        <v>Tipo Sede</v>
      </c>
      <c r="C2" s="1513"/>
      <c r="D2" s="1513"/>
      <c r="E2" s="1513"/>
      <c r="F2" s="1513"/>
      <c r="G2" s="1513"/>
      <c r="H2" s="1513"/>
      <c r="I2" s="1513"/>
      <c r="J2" s="1513"/>
      <c r="K2" s="1513"/>
      <c r="L2" s="1513"/>
      <c r="M2" s="1513"/>
      <c r="N2" s="1513"/>
      <c r="O2" s="1513"/>
      <c r="P2" s="1513"/>
      <c r="Q2" s="1513"/>
      <c r="R2" s="1513"/>
      <c r="S2" s="1513"/>
      <c r="T2" s="1514"/>
    </row>
    <row r="3" spans="1:22">
      <c r="A3" s="793" t="s">
        <v>392</v>
      </c>
      <c r="B3" s="1210" t="str">
        <f>'Listado Objetos de Dominio'!$B$30</f>
        <v xml:space="preserve">Objeto de dominio que representa la clasificación de la sede según los servicios especializados que ofrece </v>
      </c>
      <c r="C3" s="1210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515"/>
    </row>
    <row r="4" spans="1:22">
      <c r="A4" s="66" t="s">
        <v>393</v>
      </c>
      <c r="B4" s="66" t="s">
        <v>66</v>
      </c>
      <c r="C4" s="66" t="s">
        <v>394</v>
      </c>
      <c r="D4" s="66" t="s">
        <v>395</v>
      </c>
      <c r="E4" s="66" t="s">
        <v>68</v>
      </c>
      <c r="F4" s="66" t="s">
        <v>396</v>
      </c>
      <c r="G4" s="66" t="s">
        <v>397</v>
      </c>
      <c r="H4" s="66" t="s">
        <v>70</v>
      </c>
      <c r="I4" s="66" t="s">
        <v>398</v>
      </c>
      <c r="J4" s="66" t="s">
        <v>71</v>
      </c>
      <c r="K4" s="66" t="s">
        <v>72</v>
      </c>
      <c r="L4" s="181" t="s">
        <v>399</v>
      </c>
      <c r="M4" s="181" t="s">
        <v>400</v>
      </c>
      <c r="N4" s="66" t="s">
        <v>401</v>
      </c>
      <c r="O4" s="66" t="s">
        <v>402</v>
      </c>
      <c r="P4" s="66" t="s">
        <v>403</v>
      </c>
      <c r="Q4" s="182" t="s">
        <v>466</v>
      </c>
      <c r="R4" s="66" t="s">
        <v>404</v>
      </c>
      <c r="S4" s="66" t="s">
        <v>405</v>
      </c>
      <c r="T4" s="183" t="s">
        <v>2</v>
      </c>
      <c r="U4" s="1147" t="str">
        <f>A20</f>
        <v>Editar Información del Tipo Sede</v>
      </c>
      <c r="V4" s="1150" t="str">
        <f>A23</f>
        <v>Consultar Información del Tipo Sede</v>
      </c>
    </row>
    <row r="5" spans="1:22">
      <c r="A5" s="184" t="str">
        <f>'TipoSede Muestreo'!A3</f>
        <v>id</v>
      </c>
      <c r="B5" s="184" t="s">
        <v>75</v>
      </c>
      <c r="C5" s="184">
        <v>36</v>
      </c>
      <c r="D5" s="184">
        <v>36</v>
      </c>
      <c r="E5" s="184"/>
      <c r="F5" s="184"/>
      <c r="G5" s="184"/>
      <c r="H5" s="184" t="s">
        <v>406</v>
      </c>
      <c r="I5" s="184" t="s">
        <v>407</v>
      </c>
      <c r="J5" s="184"/>
      <c r="K5" s="185"/>
      <c r="L5" s="186" t="s">
        <v>81</v>
      </c>
      <c r="M5" s="186" t="s">
        <v>81</v>
      </c>
      <c r="N5" s="186" t="s">
        <v>78</v>
      </c>
      <c r="O5" s="186" t="s">
        <v>81</v>
      </c>
      <c r="P5" s="186" t="s">
        <v>78</v>
      </c>
      <c r="Q5" s="186" t="s">
        <v>81</v>
      </c>
      <c r="R5" s="186" t="s">
        <v>81</v>
      </c>
      <c r="S5" s="186" t="s">
        <v>78</v>
      </c>
      <c r="T5" s="184" t="str">
        <f>'Estad servicio Realiz Muestreo '!A2</f>
        <v>Corresponde al identificador único que identifica cada estado posible de un servicio realizado en el sistema</v>
      </c>
      <c r="U5" s="1148" t="s">
        <v>467</v>
      </c>
      <c r="V5" s="1151" t="s">
        <v>468</v>
      </c>
    </row>
    <row r="6" spans="1:22" ht="77.25" customHeight="1">
      <c r="A6" s="184" t="str">
        <f>'TipoSede Muestreo'!B3</f>
        <v>nombre</v>
      </c>
      <c r="B6" s="184" t="s">
        <v>75</v>
      </c>
      <c r="C6" s="184">
        <v>1</v>
      </c>
      <c r="D6" s="184">
        <v>100</v>
      </c>
      <c r="E6" s="184"/>
      <c r="F6" s="184"/>
      <c r="G6" s="184"/>
      <c r="H6" s="184" t="s">
        <v>410</v>
      </c>
      <c r="I6" s="794" t="s">
        <v>411</v>
      </c>
      <c r="J6" s="184"/>
      <c r="K6" s="185"/>
      <c r="L6" s="186" t="s">
        <v>78</v>
      </c>
      <c r="M6" s="186" t="s">
        <v>78</v>
      </c>
      <c r="N6" s="186" t="s">
        <v>81</v>
      </c>
      <c r="O6" s="186" t="s">
        <v>81</v>
      </c>
      <c r="P6" s="186" t="s">
        <v>78</v>
      </c>
      <c r="Q6" s="186" t="s">
        <v>81</v>
      </c>
      <c r="R6" s="186" t="s">
        <v>81</v>
      </c>
      <c r="S6" s="186" t="s">
        <v>81</v>
      </c>
      <c r="T6" s="185" t="str">
        <f>'Estad servicio Realiz Muestreo '!B2</f>
        <v>Corresponde al atributo que indica el nombre del estado que puede tener un servicio realizado</v>
      </c>
      <c r="U6" s="1149" t="s">
        <v>467</v>
      </c>
      <c r="V6" s="1151" t="s">
        <v>1897</v>
      </c>
    </row>
    <row r="7" spans="1:22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9"/>
      <c r="L7" s="180"/>
      <c r="M7" s="180"/>
      <c r="N7" s="180"/>
      <c r="O7" s="180"/>
      <c r="P7" s="180"/>
      <c r="Q7" s="180"/>
      <c r="R7" s="180"/>
      <c r="S7" s="180"/>
      <c r="T7" s="179"/>
      <c r="U7" s="178"/>
    </row>
    <row r="8" spans="1:22" ht="15" customHeight="1"/>
    <row r="9" spans="1:22" ht="35.25" customHeight="1">
      <c r="A9" s="1211" t="s">
        <v>414</v>
      </c>
      <c r="B9" s="1212"/>
      <c r="C9" s="1213"/>
      <c r="G9" s="1" t="s">
        <v>418</v>
      </c>
    </row>
    <row r="10" spans="1:22">
      <c r="A10" s="193" t="s">
        <v>415</v>
      </c>
      <c r="B10" s="193" t="s">
        <v>2</v>
      </c>
      <c r="C10" s="193" t="s">
        <v>416</v>
      </c>
    </row>
    <row r="11" spans="1:22" ht="40.5" customHeight="1">
      <c r="A11" s="1214" t="s">
        <v>1898</v>
      </c>
      <c r="B11" s="1299" t="str">
        <f>'TipoSede Muestreo'!C2</f>
        <v>El tipo de establecimiento no debe tener duplicidad en el nombre.</v>
      </c>
      <c r="C11" s="1252" t="str">
        <f>A6</f>
        <v>nombre</v>
      </c>
    </row>
    <row r="12" spans="1:22" ht="36" customHeight="1">
      <c r="A12" s="1215"/>
      <c r="B12" s="1300"/>
      <c r="C12" s="1253"/>
    </row>
    <row r="18" spans="1:22" ht="43.5" customHeight="1">
      <c r="A18" s="723" t="s">
        <v>419</v>
      </c>
      <c r="B18" s="724"/>
      <c r="C18" s="724" t="s">
        <v>2</v>
      </c>
      <c r="D18" s="724"/>
      <c r="E18" s="725"/>
      <c r="F18" s="726"/>
      <c r="G18" s="724" t="s">
        <v>420</v>
      </c>
      <c r="H18" s="727"/>
      <c r="I18" s="726"/>
      <c r="J18" s="726" t="s">
        <v>421</v>
      </c>
      <c r="K18" s="726"/>
      <c r="L18" s="726"/>
      <c r="M18" s="725"/>
      <c r="N18" s="726" t="s">
        <v>422</v>
      </c>
      <c r="O18" s="726"/>
      <c r="P18" s="726"/>
      <c r="Q18" s="725"/>
      <c r="R18" s="726" t="s">
        <v>474</v>
      </c>
      <c r="S18" s="723"/>
      <c r="T18" s="290"/>
      <c r="U18" s="290"/>
      <c r="V18" s="290"/>
    </row>
    <row r="19" spans="1:22">
      <c r="A19" s="728"/>
      <c r="B19" s="729"/>
      <c r="C19" s="729"/>
      <c r="D19" s="730"/>
      <c r="E19" s="731" t="s">
        <v>423</v>
      </c>
      <c r="F19" s="732" t="s">
        <v>424</v>
      </c>
      <c r="G19" s="733"/>
      <c r="H19" s="727" t="s">
        <v>2</v>
      </c>
      <c r="I19" s="729" t="s">
        <v>66</v>
      </c>
      <c r="J19" s="735"/>
      <c r="K19" s="729" t="s">
        <v>2</v>
      </c>
      <c r="L19" s="730"/>
      <c r="M19" s="732" t="s">
        <v>425</v>
      </c>
      <c r="N19" s="735"/>
      <c r="O19" s="729" t="s">
        <v>2</v>
      </c>
      <c r="P19" s="729"/>
      <c r="Q19" s="1315" t="s">
        <v>426</v>
      </c>
      <c r="R19" s="1316"/>
      <c r="S19" s="723" t="s">
        <v>427</v>
      </c>
      <c r="T19" s="290"/>
      <c r="U19" s="290"/>
      <c r="V19" s="290"/>
    </row>
    <row r="20" spans="1:22" ht="94.5" customHeight="1">
      <c r="A20" s="1143" t="s">
        <v>1899</v>
      </c>
      <c r="B20" s="653"/>
      <c r="C20" s="942" t="s">
        <v>1900</v>
      </c>
      <c r="D20" s="942"/>
      <c r="E20" s="787" t="s">
        <v>441</v>
      </c>
      <c r="F20" s="519" t="s">
        <v>165</v>
      </c>
      <c r="G20" s="1517" t="s">
        <v>1901</v>
      </c>
      <c r="H20" s="1518"/>
      <c r="I20" s="1144"/>
      <c r="J20" s="942"/>
      <c r="K20" s="942"/>
      <c r="L20" s="1119"/>
      <c r="M20" s="787" t="s">
        <v>1902</v>
      </c>
      <c r="N20" s="1361" t="s">
        <v>495</v>
      </c>
      <c r="O20" s="1275"/>
      <c r="P20" s="1362"/>
      <c r="Q20" s="1275" t="s">
        <v>1903</v>
      </c>
      <c r="R20" s="1275"/>
      <c r="S20" s="519" t="s">
        <v>438</v>
      </c>
    </row>
    <row r="21" spans="1:22" ht="103.5" customHeight="1">
      <c r="A21" s="1143"/>
      <c r="B21" s="1143"/>
      <c r="C21" s="578"/>
      <c r="D21" s="578"/>
      <c r="E21" s="782"/>
      <c r="F21" s="774"/>
      <c r="G21" s="601"/>
      <c r="H21" s="1145"/>
      <c r="I21" s="1145"/>
      <c r="J21" s="578"/>
      <c r="K21" s="578"/>
      <c r="L21" s="1146"/>
      <c r="M21" s="782"/>
      <c r="N21" s="1276"/>
      <c r="O21" s="1277"/>
      <c r="P21" s="1519"/>
      <c r="Q21" s="1277"/>
      <c r="R21" s="1277"/>
      <c r="S21" s="774"/>
      <c r="T21" s="291"/>
      <c r="U21" s="291"/>
    </row>
    <row r="22" spans="1:22" ht="117.75" customHeight="1">
      <c r="A22" s="1143"/>
      <c r="B22" s="1143"/>
      <c r="C22" s="578"/>
      <c r="D22" s="578"/>
      <c r="E22" s="782"/>
      <c r="F22" s="774"/>
      <c r="G22" s="601"/>
      <c r="H22" s="1145"/>
      <c r="I22" s="1145"/>
      <c r="J22" s="578"/>
      <c r="K22" s="578"/>
      <c r="L22" s="1146"/>
      <c r="M22" s="782"/>
      <c r="N22" s="1276"/>
      <c r="O22" s="1277"/>
      <c r="P22" s="1519"/>
      <c r="Q22" s="1277"/>
      <c r="R22" s="1277"/>
      <c r="S22" s="774"/>
    </row>
    <row r="23" spans="1:22" ht="96" customHeight="1">
      <c r="A23" s="977" t="s">
        <v>1904</v>
      </c>
      <c r="B23" s="977"/>
      <c r="C23" s="941" t="s">
        <v>1905</v>
      </c>
      <c r="D23" s="941"/>
      <c r="E23" s="1117" t="s">
        <v>499</v>
      </c>
      <c r="F23" s="910" t="s">
        <v>165</v>
      </c>
      <c r="G23" s="1236" t="s">
        <v>1906</v>
      </c>
      <c r="H23" s="1236"/>
      <c r="I23" s="910" t="s">
        <v>1907</v>
      </c>
      <c r="J23" s="1236" t="s">
        <v>1908</v>
      </c>
      <c r="K23" s="1236"/>
      <c r="L23" s="1309"/>
      <c r="M23" s="941" t="s">
        <v>1909</v>
      </c>
      <c r="N23" s="1308" t="s">
        <v>436</v>
      </c>
      <c r="O23" s="1236"/>
      <c r="P23" s="1236"/>
      <c r="Q23" s="1308" t="s">
        <v>437</v>
      </c>
      <c r="R23" s="1309"/>
      <c r="S23" s="1118" t="s">
        <v>480</v>
      </c>
    </row>
    <row r="24" spans="1:22" ht="94.5" customHeight="1">
      <c r="A24" s="927"/>
      <c r="B24" s="940"/>
      <c r="C24" s="940"/>
      <c r="D24" s="940"/>
      <c r="E24" s="927"/>
      <c r="F24" s="928"/>
      <c r="G24" s="931"/>
      <c r="H24" s="940"/>
      <c r="I24" s="928"/>
      <c r="J24" s="940"/>
      <c r="K24" s="940"/>
      <c r="L24" s="1142"/>
      <c r="M24" s="940"/>
      <c r="N24" s="1310"/>
      <c r="O24" s="1233"/>
      <c r="P24" s="1233"/>
      <c r="Q24" s="1310"/>
      <c r="R24" s="1516"/>
      <c r="S24" s="1142"/>
    </row>
  </sheetData>
  <mergeCells count="21">
    <mergeCell ref="N24:P24"/>
    <mergeCell ref="Q24:R24"/>
    <mergeCell ref="J23:L23"/>
    <mergeCell ref="G20:H20"/>
    <mergeCell ref="G23:H23"/>
    <mergeCell ref="N22:P22"/>
    <mergeCell ref="Q22:R22"/>
    <mergeCell ref="N21:P21"/>
    <mergeCell ref="Q21:R21"/>
    <mergeCell ref="Q19:R19"/>
    <mergeCell ref="N20:P20"/>
    <mergeCell ref="Q20:R20"/>
    <mergeCell ref="N23:P23"/>
    <mergeCell ref="A1:T1"/>
    <mergeCell ref="B2:T2"/>
    <mergeCell ref="B3:T3"/>
    <mergeCell ref="A9:C9"/>
    <mergeCell ref="A11:A12"/>
    <mergeCell ref="B11:B12"/>
    <mergeCell ref="C11:C12"/>
    <mergeCell ref="Q23:R23"/>
  </mergeCells>
  <conditionalFormatting sqref="M20:N22">
    <cfRule type="colorScale" priority="5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" xr:uid="{E8FBA48C-B967-4DB7-A720-B30708857614}"/>
  </dataValidations>
  <hyperlinks>
    <hyperlink ref="V4" location="'Objeto Dominio 2'!A17" display="'Objeto Dominio 2'!A17" xr:uid="{687D2780-9994-4DB8-8E9A-1FF78EDA70ED}"/>
    <hyperlink ref="U4" location="'Objeto Dominio 2'!A16" display="'Objeto Dominio 2'!A16" xr:uid="{B15FE5FB-18D1-403A-8106-96EB40BA3B57}"/>
    <hyperlink ref="C11" location="'Dia Caracterización'!A6" display="=A6" xr:uid="{6083736C-95CB-4C95-A2B1-474BB4D00D36}"/>
    <hyperlink ref="C11" location="'Calificación Caracterización'!A6" display="=A6" xr:uid="{14958484-C8AA-4019-B6AA-5A9C02DC9253}"/>
    <hyperlink ref="C11:C12" location="'tipoEstableciemiento Caracteriz'!A6" display="=A6" xr:uid="{9E6E2300-720F-4A7F-BDC1-E397CDE90A0C}"/>
    <hyperlink ref="A23:B23" location="'Objeto Dominio 2'!R4" display="Reponsabilidad 2" xr:uid="{C58195D1-4F59-4ED4-870A-BA3B5EE7139F}"/>
    <hyperlink ref="A20:B20" location="'Objeto Dominio 2'!Q4" display="Reponsabilidad 1" xr:uid="{B73A0196-CF24-4FE8-880E-B74739D4649D}"/>
    <hyperlink ref="A1" location="'Objetos de Dominio'!A1" display="Volver al inicio" xr:uid="{A55AA913-D3A0-4E24-9FA8-8ABBD4CF64BA}"/>
    <hyperlink ref="A1:T1" location="'Listado Objetos de Dominio'!A1" display="&lt;-Volver al inicio" xr:uid="{A3DBDEBB-8278-4A20-BB50-1301312DFA2F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custom" allowBlank="1" showInputMessage="1" showErrorMessage="1" xr:uid="{4C0B3116-E394-42B8-B51E-613A0BC5035A}">
          <x14:formula1>
            <xm:f>Caracterizacion!$F$3</xm:f>
          </x14:formula1>
          <xm:sqref>J5</xm:sqref>
        </x14:dataValidation>
        <x14:dataValidation type="list" allowBlank="1" showInputMessage="1" showErrorMessage="1" xr:uid="{DFE3C3BD-CA91-45A0-8D7B-C7EF7BFE260F}">
          <x14:formula1>
            <xm:f>Caracterizacion!$A$3:$A$14</xm:f>
          </x14:formula1>
          <xm:sqref>B5</xm:sqref>
        </x14:dataValidation>
        <x14:dataValidation type="list" allowBlank="1" showInputMessage="1" showErrorMessage="1" xr:uid="{50EC78BC-F9E0-4133-8C02-2CD42F3ADD44}">
          <x14:formula1>
            <xm:f>Caracterizacion!$A$3:$A$40</xm:f>
          </x14:formula1>
          <xm:sqref>B6:B7</xm:sqref>
        </x14:dataValidation>
        <x14:dataValidation type="list" allowBlank="1" showInputMessage="1" showErrorMessage="1" xr:uid="{68B8DD5B-6F70-48E3-98DC-0D4CA1779838}">
          <x14:formula1>
            <xm:f>Caracterizacion!$H$3:$H$4</xm:f>
          </x14:formula1>
          <xm:sqref>L5:S7</xm:sqref>
        </x14:dataValidation>
        <x14:dataValidation type="list" allowBlank="1" showInputMessage="1" showErrorMessage="1" xr:uid="{944465B8-900D-445B-9858-6F825DCE0F9B}">
          <x14:formula1>
            <xm:f>Caracterizacion!$C$3:$C$18</xm:f>
          </x14:formula1>
          <xm:sqref>E5:E7</xm:sqref>
        </x14:dataValidation>
        <x14:dataValidation type="list" allowBlank="1" showInputMessage="1" showErrorMessage="1" xr:uid="{76E77EBC-ABE9-4A46-8CCB-A3B107A29AD3}">
          <x14:formula1>
            <xm:f>Caracterizacion!$B$4:$B$506</xm:f>
          </x14:formula1>
          <xm:sqref>C5:D7</xm:sqref>
        </x14:dataValidation>
        <x14:dataValidation type="list" allowBlank="1" showInputMessage="1" showErrorMessage="1" xr:uid="{FD93A7DC-0E8F-4203-9251-3D025B1F25D7}">
          <x14:formula1>
            <xm:f>Caracterizacion!$B$3:$B$515</xm:f>
          </x14:formula1>
          <xm:sqref>F5:G7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00DD-E5A8-4FC3-816A-80A1D1042B60}">
  <dimension ref="A1:H14"/>
  <sheetViews>
    <sheetView workbookViewId="0">
      <selection activeCell="F7" sqref="F7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29" bestFit="1" customWidth="1"/>
    <col min="5" max="5" width="18.5703125" customWidth="1"/>
    <col min="6" max="6" width="26.140625" bestFit="1" customWidth="1"/>
    <col min="7" max="7" width="36.7109375" bestFit="1" customWidth="1"/>
    <col min="8" max="8" width="58" bestFit="1" customWidth="1"/>
  </cols>
  <sheetData>
    <row r="1" spans="1:8">
      <c r="A1" t="s">
        <v>1910</v>
      </c>
    </row>
    <row r="2" spans="1:8" ht="34.5">
      <c r="A2" s="99" t="s">
        <v>1911</v>
      </c>
      <c r="B2" s="99" t="s">
        <v>1912</v>
      </c>
      <c r="C2" s="157" t="s">
        <v>1913</v>
      </c>
      <c r="D2" s="125" t="s">
        <v>1914</v>
      </c>
      <c r="E2" s="125" t="s">
        <v>1915</v>
      </c>
      <c r="F2" s="125" t="s">
        <v>1916</v>
      </c>
      <c r="G2" s="125" t="s">
        <v>1917</v>
      </c>
      <c r="H2" s="125" t="s">
        <v>1918</v>
      </c>
    </row>
    <row r="3" spans="1:8">
      <c r="A3" s="56" t="s">
        <v>369</v>
      </c>
      <c r="B3" s="56" t="s">
        <v>1919</v>
      </c>
      <c r="C3" s="82" t="s">
        <v>1920</v>
      </c>
      <c r="D3" s="56" t="s">
        <v>1921</v>
      </c>
      <c r="E3" s="63" t="s">
        <v>113</v>
      </c>
      <c r="F3" s="63" t="s">
        <v>169</v>
      </c>
      <c r="G3" s="254" t="s">
        <v>509</v>
      </c>
      <c r="H3" s="161" t="s">
        <v>509</v>
      </c>
    </row>
    <row r="4" spans="1:8">
      <c r="A4" s="135" t="s">
        <v>184</v>
      </c>
      <c r="B4" s="190" t="s">
        <v>1922</v>
      </c>
      <c r="C4" s="258" t="s">
        <v>1923</v>
      </c>
      <c r="D4" s="56" t="s">
        <v>1924</v>
      </c>
      <c r="E4" s="255" t="s">
        <v>650</v>
      </c>
      <c r="F4" s="63" t="s">
        <v>928</v>
      </c>
      <c r="G4" s="254" t="str">
        <f>B4&amp; "  "&amp;C4&amp; " - "&amp;E4</f>
        <v>6.152.091  -75.374.989 - Rionegro</v>
      </c>
      <c r="H4" s="161" t="str">
        <f>F4 &amp;"  -  "&amp;B4&amp;"  "&amp;C4</f>
        <v>Sede A - Baike universe  -  6.152.091  -75.374.989</v>
      </c>
    </row>
    <row r="5" spans="1:8" ht="20.25" customHeight="1">
      <c r="A5" s="135" t="s">
        <v>186</v>
      </c>
      <c r="B5" s="259" t="s">
        <v>1925</v>
      </c>
      <c r="C5" s="260" t="s">
        <v>1926</v>
      </c>
      <c r="D5" s="56" t="s">
        <v>1927</v>
      </c>
      <c r="E5" s="257" t="s">
        <v>515</v>
      </c>
      <c r="F5" s="63" t="s">
        <v>1609</v>
      </c>
      <c r="G5" s="254" t="str">
        <f t="shared" ref="G5:G8" si="0">B5&amp; "  "&amp;C5&amp; " - "&amp;E5</f>
        <v xml:space="preserve">
6.25184  -7.556.359 - Medellín</v>
      </c>
      <c r="H5" s="161" t="str">
        <f t="shared" ref="H5:H8" si="1">F5 &amp;"  -  "&amp;B5&amp;"  "&amp;C5</f>
        <v>Sede B - Baike universe  -  
6.25184  -7.556.359</v>
      </c>
    </row>
    <row r="6" spans="1:8">
      <c r="A6" s="135" t="s">
        <v>188</v>
      </c>
      <c r="B6" s="190" t="s">
        <v>1928</v>
      </c>
      <c r="C6" s="258" t="s">
        <v>1929</v>
      </c>
      <c r="D6" s="56" t="s">
        <v>1930</v>
      </c>
      <c r="E6" s="255" t="s">
        <v>515</v>
      </c>
      <c r="F6" s="63" t="s">
        <v>932</v>
      </c>
      <c r="G6" s="254" t="str">
        <f t="shared" si="0"/>
        <v>6.217.475  -75.576.275 - Medellín</v>
      </c>
      <c r="H6" s="161" t="str">
        <f t="shared" si="1"/>
        <v>Sede A - Dos Ruedas  -  6.217.475  -75.576.275</v>
      </c>
    </row>
    <row r="7" spans="1:8">
      <c r="A7" s="135" t="s">
        <v>190</v>
      </c>
      <c r="B7" s="191" t="s">
        <v>1931</v>
      </c>
      <c r="C7" s="260" t="s">
        <v>1932</v>
      </c>
      <c r="D7" s="256" t="s">
        <v>1933</v>
      </c>
      <c r="E7" s="255" t="s">
        <v>515</v>
      </c>
      <c r="F7" s="63" t="s">
        <v>1610</v>
      </c>
      <c r="G7" s="254" t="str">
        <f t="shared" si="0"/>
        <v>876.175.876  -75.583.739 - Medellín</v>
      </c>
      <c r="H7" s="161" t="str">
        <f t="shared" si="1"/>
        <v>Sede A - MotoLand  -  876.175.876  -75.583.739</v>
      </c>
    </row>
    <row r="8" spans="1:8">
      <c r="A8" s="135" t="s">
        <v>1934</v>
      </c>
      <c r="B8" s="192">
        <v>6528888889</v>
      </c>
      <c r="C8" s="192">
        <v>7581361111</v>
      </c>
      <c r="D8" s="256" t="s">
        <v>1935</v>
      </c>
      <c r="E8" s="255" t="s">
        <v>511</v>
      </c>
      <c r="F8" s="63" t="s">
        <v>1611</v>
      </c>
      <c r="G8" s="254" t="str">
        <f t="shared" si="0"/>
        <v>6528888889  7581361111 - Bogotá</v>
      </c>
      <c r="H8" s="161" t="str">
        <f t="shared" si="1"/>
        <v>Sede A - Todo Motos  -  6528888889  7581361111</v>
      </c>
    </row>
    <row r="9" spans="1:8">
      <c r="B9" s="59"/>
      <c r="C9" s="59"/>
      <c r="D9" s="130"/>
    </row>
    <row r="10" spans="1:8">
      <c r="B10" s="59"/>
      <c r="C10" s="59"/>
      <c r="D10" s="130"/>
    </row>
    <row r="11" spans="1:8">
      <c r="B11" s="132"/>
      <c r="C11" s="131"/>
      <c r="D11" s="130"/>
    </row>
    <row r="12" spans="1:8">
      <c r="A12" t="s">
        <v>905</v>
      </c>
      <c r="B12" s="132"/>
      <c r="C12" s="131"/>
      <c r="D12" s="130"/>
    </row>
    <row r="14" spans="1:8">
      <c r="G14" t="s">
        <v>1936</v>
      </c>
    </row>
  </sheetData>
  <hyperlinks>
    <hyperlink ref="E3" location="Ciudad!A2" display="ciudad" xr:uid="{532F00DB-EBDB-46E0-88ED-8BDE09C082C9}"/>
    <hyperlink ref="F3" location="Sede!A2" display="sede" xr:uid="{B8076F69-2D57-462D-B96A-D1D6379FEF21}"/>
    <hyperlink ref="E4" location="Ciudad!D42" display="Rionegro" xr:uid="{01A1933E-7E8B-4674-8216-A461DD2115D1}"/>
    <hyperlink ref="F4" location="Sede!D3" display="Sede A - Baike universe" xr:uid="{A1C0DD5A-0625-4296-B510-BDC94C088CC5}"/>
    <hyperlink ref="F5" location="Sede!D3" display="Sede B - Baike universe" xr:uid="{43B8CD58-1029-4545-ADA1-351E95AA2D72}"/>
    <hyperlink ref="E6" location="Ciudad!D4" display="Medellín" xr:uid="{47E695C0-5A5D-4AFD-BE31-6FCBCAF37BE0}"/>
    <hyperlink ref="F6" location="Sede!D3" display="Sede A - Dos Ruedas" xr:uid="{1AFD7188-C4E7-4344-89D1-C46FDDFAB6CE}"/>
    <hyperlink ref="E7" location="Ciudad!D4" display="Medellín" xr:uid="{A821E930-AAF7-4CBC-8DDA-B22B8930EE65}"/>
    <hyperlink ref="F7" location="Sede!D3" display="Sede A - MotoLand" xr:uid="{D0DFEBBB-DC30-433B-957D-60ABAF049F67}"/>
    <hyperlink ref="E8" location="Ciudad!D3" display="Bogotá" xr:uid="{9271A4CE-72AE-4106-82E0-D934B3E18789}"/>
    <hyperlink ref="F8" location="Sede!D3" display="Sede A - Todo Motos" xr:uid="{92A888F6-90B0-4D99-ADB0-5B203B8B33D1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BC10-80A5-484D-AC7E-C2A8A31A6778}">
  <dimension ref="A1:X41"/>
  <sheetViews>
    <sheetView zoomScale="85" zoomScaleNormal="85" workbookViewId="0">
      <pane xSplit="1" topLeftCell="G4" activePane="topRight" state="frozen"/>
      <selection pane="topRight" activeCell="H5" sqref="H5"/>
    </sheetView>
  </sheetViews>
  <sheetFormatPr defaultColWidth="11.42578125" defaultRowHeight="15"/>
  <cols>
    <col min="1" max="1" width="40.28515625" style="1" bestFit="1" customWidth="1"/>
    <col min="2" max="2" width="23.140625" style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52.28515625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27.7109375" style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70.7109375" style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16384" width="11.42578125" style="1"/>
  </cols>
  <sheetData>
    <row r="1" spans="1:24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4">
      <c r="A2" s="4" t="s">
        <v>391</v>
      </c>
      <c r="B2" s="1209" t="str">
        <f>'Listado Objetos de Dominio'!$A$28</f>
        <v>Ubicación</v>
      </c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09"/>
      <c r="R2" s="1209"/>
      <c r="S2" s="1209"/>
      <c r="T2" s="1209"/>
    </row>
    <row r="3" spans="1:24">
      <c r="A3" s="4" t="s">
        <v>392</v>
      </c>
      <c r="B3" s="1187" t="str">
        <f>'Listado Objetos de Dominio'!$B$28</f>
        <v>Objeto de dominio que representa las coordenadas geográficas de una sede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4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127" t="s">
        <v>399</v>
      </c>
      <c r="M4" s="128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A27</f>
        <v>Crear Información de la Ubicación</v>
      </c>
      <c r="V4" s="35" t="str">
        <f>A32</f>
        <v>Modificar Información de la Ubicación</v>
      </c>
      <c r="W4" s="36" t="str">
        <f>A36</f>
        <v>Eliminar Información Ubicación</v>
      </c>
      <c r="X4" s="2" t="str">
        <f>A40</f>
        <v>Consultar Información Ubicación</v>
      </c>
    </row>
    <row r="5" spans="1:24">
      <c r="A5" s="11" t="str">
        <f>'Ubicación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7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'Ubicación Muestreo'!A2</f>
        <v>Corresponde al identificador único que identifica cada ubicación en el sistema.</v>
      </c>
      <c r="U5" s="401" t="s">
        <v>467</v>
      </c>
      <c r="V5" s="39" t="s">
        <v>409</v>
      </c>
      <c r="W5" s="43" t="s">
        <v>467</v>
      </c>
      <c r="X5" s="32" t="s">
        <v>468</v>
      </c>
    </row>
    <row r="6" spans="1:24" ht="58.5" customHeight="1">
      <c r="A6" s="11" t="str">
        <f>'Ubicación Muestreo'!B3</f>
        <v>latitud</v>
      </c>
      <c r="B6" s="5" t="s">
        <v>83</v>
      </c>
      <c r="C6" s="5"/>
      <c r="D6" s="5"/>
      <c r="E6" s="5">
        <v>6</v>
      </c>
      <c r="F6" s="5">
        <v>-90</v>
      </c>
      <c r="G6" s="5">
        <v>90</v>
      </c>
      <c r="H6" s="5" t="s">
        <v>410</v>
      </c>
      <c r="I6" s="5"/>
      <c r="J6" s="5"/>
      <c r="K6" s="7"/>
      <c r="L6" s="13" t="s">
        <v>78</v>
      </c>
      <c r="M6" s="13" t="s">
        <v>78</v>
      </c>
      <c r="N6" s="13" t="s">
        <v>81</v>
      </c>
      <c r="O6" s="13" t="s">
        <v>81</v>
      </c>
      <c r="P6" s="13" t="s">
        <v>78</v>
      </c>
      <c r="Q6" s="13" t="s">
        <v>78</v>
      </c>
      <c r="R6" s="13" t="s">
        <v>81</v>
      </c>
      <c r="S6" s="13" t="s">
        <v>81</v>
      </c>
      <c r="T6" s="7" t="str">
        <f>'Ubicación Muestreo'!B2</f>
        <v>Corresponde al atributo que indica la latitud geográfica de la ubicación.</v>
      </c>
      <c r="U6" s="401" t="s">
        <v>467</v>
      </c>
      <c r="V6" s="39" t="s">
        <v>413</v>
      </c>
      <c r="W6" s="43" t="s">
        <v>933</v>
      </c>
      <c r="X6" s="32" t="s">
        <v>934</v>
      </c>
    </row>
    <row r="7" spans="1:24" ht="54" customHeight="1">
      <c r="A7" s="11" t="str">
        <f>'Ubicación Muestreo'!C3</f>
        <v>longitud</v>
      </c>
      <c r="B7" s="5" t="s">
        <v>83</v>
      </c>
      <c r="C7" s="5"/>
      <c r="D7" s="5"/>
      <c r="E7" s="5">
        <v>6</v>
      </c>
      <c r="F7" s="5">
        <v>-180</v>
      </c>
      <c r="G7" s="5">
        <v>180</v>
      </c>
      <c r="H7" s="5"/>
      <c r="I7" s="5"/>
      <c r="J7" s="5"/>
      <c r="K7" s="7"/>
      <c r="L7" s="13" t="s">
        <v>78</v>
      </c>
      <c r="M7" s="13" t="s">
        <v>78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7" t="str">
        <f>'Ubicación Muestreo'!C2</f>
        <v>Corresponde al atributo que indica la longitud geográfica de la ubicación.</v>
      </c>
      <c r="U7" s="401" t="s">
        <v>467</v>
      </c>
      <c r="V7" s="39" t="s">
        <v>413</v>
      </c>
      <c r="W7" s="43" t="s">
        <v>933</v>
      </c>
      <c r="X7" s="32" t="s">
        <v>934</v>
      </c>
    </row>
    <row r="8" spans="1:24" ht="49.5" customHeight="1">
      <c r="A8" s="11" t="str">
        <f>'Ubicación Muestreo'!D3</f>
        <v>dirección</v>
      </c>
      <c r="B8" s="5" t="s">
        <v>75</v>
      </c>
      <c r="C8" s="5">
        <v>1</v>
      </c>
      <c r="D8" s="5">
        <v>100</v>
      </c>
      <c r="E8" s="5"/>
      <c r="F8" s="5">
        <v>1</v>
      </c>
      <c r="G8" s="5"/>
      <c r="H8" s="5" t="s">
        <v>1937</v>
      </c>
      <c r="I8" s="5" t="s">
        <v>1938</v>
      </c>
      <c r="J8" s="5"/>
      <c r="K8" s="7"/>
      <c r="L8" s="13" t="s">
        <v>78</v>
      </c>
      <c r="M8" s="13" t="s">
        <v>78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'Ubicación Muestreo'!D2</f>
        <v>Corresponde al atributo que indica la dirección física de la ubicación.</v>
      </c>
      <c r="U8" s="401" t="s">
        <v>467</v>
      </c>
      <c r="V8" s="39" t="s">
        <v>413</v>
      </c>
      <c r="W8" s="43" t="s">
        <v>933</v>
      </c>
      <c r="X8" s="32" t="s">
        <v>1939</v>
      </c>
    </row>
    <row r="9" spans="1:24" ht="45.75">
      <c r="A9" s="11" t="str">
        <f>'Ubicación Muestreo'!E3</f>
        <v>ciudad</v>
      </c>
      <c r="B9" s="5" t="s">
        <v>113</v>
      </c>
      <c r="C9" s="5"/>
      <c r="D9" s="5"/>
      <c r="E9" s="5"/>
      <c r="F9" s="5"/>
      <c r="G9" s="5"/>
      <c r="H9" s="5"/>
      <c r="I9" s="5"/>
      <c r="J9" s="5"/>
      <c r="K9" s="7"/>
      <c r="L9" s="13" t="s">
        <v>81</v>
      </c>
      <c r="M9" s="13" t="s">
        <v>81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'Ubicación Muestreo'!E2</f>
        <v>Corresponde a la ciudad donde se encuentra la ubicación.</v>
      </c>
      <c r="U9" s="401" t="s">
        <v>467</v>
      </c>
      <c r="V9" s="39" t="s">
        <v>413</v>
      </c>
      <c r="W9" s="43" t="s">
        <v>933</v>
      </c>
      <c r="X9" s="32" t="s">
        <v>1940</v>
      </c>
    </row>
    <row r="10" spans="1:24" ht="62.25" customHeight="1">
      <c r="A10" s="11" t="str">
        <f>'Ubicación Muestreo'!F3</f>
        <v>sede</v>
      </c>
      <c r="B10" s="5" t="s">
        <v>169</v>
      </c>
      <c r="C10" s="5"/>
      <c r="D10" s="5"/>
      <c r="E10" s="5"/>
      <c r="F10" s="5"/>
      <c r="G10" s="5"/>
      <c r="H10" s="5"/>
      <c r="I10" s="5"/>
      <c r="J10" s="5"/>
      <c r="K10" s="7"/>
      <c r="L10" s="13" t="s">
        <v>81</v>
      </c>
      <c r="M10" s="13" t="s">
        <v>81</v>
      </c>
      <c r="N10" s="13" t="s">
        <v>81</v>
      </c>
      <c r="O10" s="13" t="s">
        <v>81</v>
      </c>
      <c r="P10" s="13" t="s">
        <v>78</v>
      </c>
      <c r="Q10" s="13" t="s">
        <v>78</v>
      </c>
      <c r="R10" s="13" t="s">
        <v>81</v>
      </c>
      <c r="S10" s="13" t="s">
        <v>81</v>
      </c>
      <c r="T10" s="7" t="str">
        <f>'Ubicación Muestreo'!F2</f>
        <v>Corresponde al atributo que indica la sede asociado a la ubicación.</v>
      </c>
      <c r="U10" s="401" t="s">
        <v>467</v>
      </c>
      <c r="V10" s="39" t="s">
        <v>413</v>
      </c>
      <c r="W10" s="43" t="s">
        <v>933</v>
      </c>
      <c r="X10" s="32" t="s">
        <v>1941</v>
      </c>
    </row>
    <row r="15" spans="1:24">
      <c r="A15" s="1254" t="s">
        <v>414</v>
      </c>
      <c r="B15" s="1254"/>
      <c r="C15" s="1254"/>
      <c r="G15" s="1" t="s">
        <v>418</v>
      </c>
    </row>
    <row r="16" spans="1:24">
      <c r="A16" s="193" t="s">
        <v>415</v>
      </c>
      <c r="B16" s="193" t="s">
        <v>2</v>
      </c>
      <c r="C16" s="193" t="s">
        <v>416</v>
      </c>
    </row>
    <row r="17" spans="1:22" ht="27" customHeight="1">
      <c r="A17" s="1214" t="s">
        <v>1942</v>
      </c>
      <c r="B17" s="1214" t="str">
        <f>'Ubicación Muestreo'!G2</f>
        <v>La ubicación no debe tener duplicidad en la combinación de coordenadas y ciudad.</v>
      </c>
      <c r="C17" s="232" t="str">
        <f>A6</f>
        <v>latitud</v>
      </c>
    </row>
    <row r="18" spans="1:22" ht="50.25" customHeight="1">
      <c r="A18" s="1421"/>
      <c r="B18" s="1421"/>
      <c r="C18" s="232" t="str">
        <f>A7</f>
        <v>longitud</v>
      </c>
    </row>
    <row r="19" spans="1:22" ht="50.25" customHeight="1">
      <c r="A19" s="1215"/>
      <c r="B19" s="1215"/>
      <c r="C19" s="232" t="str">
        <f>A9</f>
        <v>ciudad</v>
      </c>
    </row>
    <row r="20" spans="1:22" ht="41.25" customHeight="1">
      <c r="A20" s="1250" t="s">
        <v>1943</v>
      </c>
      <c r="B20" s="1255" t="str">
        <f>'Ubicación Muestreo'!H2</f>
        <v>La ubicación no debe tener duplicidad en la combinación de sede y coordenadas.</v>
      </c>
      <c r="C20" s="232" t="str">
        <f>A6</f>
        <v>latitud</v>
      </c>
    </row>
    <row r="21" spans="1:22" ht="45" customHeight="1">
      <c r="A21" s="1251"/>
      <c r="B21" s="1256"/>
      <c r="C21" s="232" t="str">
        <f>A7</f>
        <v>longitud</v>
      </c>
    </row>
    <row r="22" spans="1:22" ht="48" customHeight="1">
      <c r="A22" s="1251"/>
      <c r="B22" s="1256"/>
      <c r="C22" s="232" t="str">
        <f>A10</f>
        <v>sede</v>
      </c>
    </row>
    <row r="25" spans="1:22">
      <c r="A25" s="358" t="s">
        <v>419</v>
      </c>
      <c r="B25" s="317"/>
      <c r="C25" s="317" t="s">
        <v>2</v>
      </c>
      <c r="D25" s="317"/>
      <c r="E25" s="318"/>
      <c r="F25" s="319"/>
      <c r="G25" s="317" t="s">
        <v>420</v>
      </c>
      <c r="H25" s="333"/>
      <c r="I25" s="319"/>
      <c r="J25" s="319" t="s">
        <v>421</v>
      </c>
      <c r="K25" s="319"/>
      <c r="L25" s="319"/>
      <c r="M25" s="318"/>
      <c r="N25" s="319" t="s">
        <v>422</v>
      </c>
      <c r="O25" s="319"/>
      <c r="P25" s="319"/>
      <c r="Q25" s="318"/>
      <c r="R25" s="319" t="s">
        <v>474</v>
      </c>
      <c r="S25" s="333"/>
      <c r="T25" s="290"/>
      <c r="U25" s="290"/>
      <c r="V25" s="290"/>
    </row>
    <row r="26" spans="1:22">
      <c r="A26" s="312"/>
      <c r="B26" s="346"/>
      <c r="C26" s="346"/>
      <c r="D26" s="340"/>
      <c r="E26" s="341" t="s">
        <v>423</v>
      </c>
      <c r="F26" s="337" t="s">
        <v>424</v>
      </c>
      <c r="G26" s="316"/>
      <c r="H26" s="333" t="s">
        <v>2</v>
      </c>
      <c r="I26" s="346" t="s">
        <v>66</v>
      </c>
      <c r="J26" s="339"/>
      <c r="K26" s="346" t="s">
        <v>2</v>
      </c>
      <c r="L26" s="340"/>
      <c r="M26" s="337" t="s">
        <v>425</v>
      </c>
      <c r="N26" s="334"/>
      <c r="O26" s="335" t="s">
        <v>2</v>
      </c>
      <c r="P26" s="335"/>
      <c r="Q26" s="1178" t="s">
        <v>426</v>
      </c>
      <c r="R26" s="1179"/>
      <c r="S26" s="333" t="s">
        <v>427</v>
      </c>
      <c r="T26" s="290"/>
      <c r="U26" s="290"/>
      <c r="V26" s="290"/>
    </row>
    <row r="27" spans="1:22" ht="62.25" customHeight="1">
      <c r="A27" s="665" t="s">
        <v>1944</v>
      </c>
      <c r="B27" s="593"/>
      <c r="C27" s="594" t="s">
        <v>1945</v>
      </c>
      <c r="D27" s="594"/>
      <c r="E27" s="344" t="s">
        <v>441</v>
      </c>
      <c r="F27" s="680" t="s">
        <v>1946</v>
      </c>
      <c r="G27" s="683" t="s">
        <v>1947</v>
      </c>
      <c r="H27" s="428"/>
      <c r="I27" s="595"/>
      <c r="J27" s="594"/>
      <c r="K27" s="594"/>
      <c r="L27" s="595"/>
      <c r="M27" s="365" t="s">
        <v>1948</v>
      </c>
      <c r="N27" s="1264" t="s">
        <v>1949</v>
      </c>
      <c r="O27" s="1258"/>
      <c r="P27" s="1258"/>
      <c r="Q27" s="1260" t="s">
        <v>1950</v>
      </c>
      <c r="R27" s="1257"/>
      <c r="S27" s="552" t="s">
        <v>1951</v>
      </c>
    </row>
    <row r="28" spans="1:22" ht="60" customHeight="1">
      <c r="A28" s="665"/>
      <c r="B28" s="596"/>
      <c r="C28" s="597"/>
      <c r="D28" s="597"/>
      <c r="E28" s="396"/>
      <c r="F28" s="681"/>
      <c r="G28" s="679"/>
      <c r="H28" s="430"/>
      <c r="I28" s="599"/>
      <c r="J28" s="597"/>
      <c r="K28" s="597"/>
      <c r="L28" s="599"/>
      <c r="M28" s="365" t="s">
        <v>1952</v>
      </c>
      <c r="N28" s="1257" t="s">
        <v>869</v>
      </c>
      <c r="O28" s="1219"/>
      <c r="P28" s="1219"/>
      <c r="Q28" s="1260" t="s">
        <v>1953</v>
      </c>
      <c r="R28" s="1257"/>
      <c r="S28" s="552" t="s">
        <v>1951</v>
      </c>
      <c r="T28" s="291"/>
      <c r="U28" s="291"/>
    </row>
    <row r="29" spans="1:22" ht="68.25" customHeight="1">
      <c r="A29" s="665"/>
      <c r="B29" s="596"/>
      <c r="C29" s="597"/>
      <c r="D29" s="597"/>
      <c r="E29" s="396"/>
      <c r="F29" s="681"/>
      <c r="G29" s="679"/>
      <c r="H29" s="430"/>
      <c r="I29" s="599"/>
      <c r="J29" s="597"/>
      <c r="K29" s="597"/>
      <c r="L29" s="599"/>
      <c r="M29" s="365" t="s">
        <v>1954</v>
      </c>
      <c r="N29" s="1257" t="s">
        <v>1955</v>
      </c>
      <c r="O29" s="1219"/>
      <c r="P29" s="1219"/>
      <c r="Q29" s="1260" t="s">
        <v>1956</v>
      </c>
      <c r="R29" s="1257"/>
      <c r="S29" s="552" t="s">
        <v>1951</v>
      </c>
      <c r="T29" s="291"/>
      <c r="U29" s="291"/>
    </row>
    <row r="30" spans="1:22" ht="63" customHeight="1">
      <c r="A30" s="665"/>
      <c r="B30" s="596"/>
      <c r="C30" s="597"/>
      <c r="D30" s="597"/>
      <c r="E30" s="396"/>
      <c r="F30" s="681"/>
      <c r="G30" s="679"/>
      <c r="H30" s="430"/>
      <c r="I30" s="599"/>
      <c r="J30" s="597"/>
      <c r="K30" s="597"/>
      <c r="L30" s="599"/>
      <c r="M30" s="365" t="s">
        <v>1957</v>
      </c>
      <c r="N30" s="1261" t="s">
        <v>1958</v>
      </c>
      <c r="O30" s="1262"/>
      <c r="P30" s="1263"/>
      <c r="Q30" s="1257" t="s">
        <v>483</v>
      </c>
      <c r="R30" s="1259"/>
      <c r="S30" s="553" t="s">
        <v>1951</v>
      </c>
      <c r="T30" s="291"/>
      <c r="U30" s="291"/>
    </row>
    <row r="31" spans="1:22" ht="90" customHeight="1">
      <c r="A31" s="665"/>
      <c r="B31" s="596"/>
      <c r="C31" s="597"/>
      <c r="D31" s="597"/>
      <c r="E31" s="396"/>
      <c r="F31" s="681"/>
      <c r="G31" s="679"/>
      <c r="H31" s="430"/>
      <c r="I31" s="599"/>
      <c r="J31" s="597"/>
      <c r="K31" s="597"/>
      <c r="L31" s="599"/>
      <c r="M31" s="365" t="s">
        <v>1959</v>
      </c>
      <c r="N31" s="1466" t="s">
        <v>495</v>
      </c>
      <c r="O31" s="1467"/>
      <c r="P31" s="1468"/>
      <c r="Q31" s="1218" t="s">
        <v>870</v>
      </c>
      <c r="R31" s="1220"/>
      <c r="S31" s="553" t="s">
        <v>1951</v>
      </c>
    </row>
    <row r="32" spans="1:22" ht="123" customHeight="1">
      <c r="A32" s="342" t="s">
        <v>1960</v>
      </c>
      <c r="B32" s="600"/>
      <c r="C32" s="580" t="s">
        <v>1961</v>
      </c>
      <c r="D32" s="580"/>
      <c r="E32" s="517" t="s">
        <v>441</v>
      </c>
      <c r="F32" s="696" t="s">
        <v>1946</v>
      </c>
      <c r="G32" s="550" t="s">
        <v>1962</v>
      </c>
      <c r="H32" s="551"/>
      <c r="I32" s="361"/>
      <c r="J32" s="580"/>
      <c r="K32" s="580"/>
      <c r="L32" s="773"/>
      <c r="M32" s="517" t="s">
        <v>1963</v>
      </c>
      <c r="N32" s="1272" t="s">
        <v>495</v>
      </c>
      <c r="O32" s="1273"/>
      <c r="P32" s="1274"/>
      <c r="Q32" s="1275" t="s">
        <v>881</v>
      </c>
      <c r="R32" s="1275"/>
      <c r="S32" s="519" t="s">
        <v>1951</v>
      </c>
    </row>
    <row r="33" spans="1:19" ht="78" customHeight="1">
      <c r="A33" s="372"/>
      <c r="B33" s="601"/>
      <c r="C33" s="601"/>
      <c r="D33" s="601"/>
      <c r="E33" s="487" t="s">
        <v>369</v>
      </c>
      <c r="F33" s="369" t="s">
        <v>75</v>
      </c>
      <c r="G33" s="623" t="s">
        <v>1964</v>
      </c>
      <c r="H33" s="624"/>
      <c r="I33" s="602"/>
      <c r="J33" s="601"/>
      <c r="K33" s="601"/>
      <c r="L33" s="601"/>
      <c r="M33" s="768"/>
      <c r="N33" s="1228"/>
      <c r="O33" s="1229"/>
      <c r="P33" s="1337"/>
      <c r="Q33" s="1229"/>
      <c r="R33" s="1229"/>
      <c r="S33" s="774"/>
    </row>
    <row r="34" spans="1:19" ht="66.75" customHeight="1">
      <c r="A34" s="372"/>
      <c r="B34" s="601"/>
      <c r="C34" s="601"/>
      <c r="D34" s="601"/>
      <c r="E34" s="372"/>
      <c r="F34" s="369"/>
      <c r="G34" s="431"/>
      <c r="H34" s="432"/>
      <c r="I34" s="602"/>
      <c r="J34" s="601"/>
      <c r="K34" s="601"/>
      <c r="L34" s="601"/>
      <c r="M34" s="768"/>
      <c r="N34" s="1228"/>
      <c r="O34" s="1229"/>
      <c r="P34" s="1337"/>
      <c r="Q34" s="1277"/>
      <c r="R34" s="1277"/>
      <c r="S34" s="774"/>
    </row>
    <row r="35" spans="1:19" ht="27" customHeight="1">
      <c r="A35" s="372"/>
      <c r="B35" s="603"/>
      <c r="C35" s="603"/>
      <c r="D35" s="603"/>
      <c r="E35" s="489"/>
      <c r="F35" s="370"/>
      <c r="G35" s="625"/>
      <c r="H35" s="626"/>
      <c r="I35" s="604"/>
      <c r="J35" s="603"/>
      <c r="K35" s="603"/>
      <c r="L35" s="603"/>
      <c r="M35" s="769"/>
      <c r="N35" s="1265"/>
      <c r="O35" s="1266"/>
      <c r="P35" s="1339"/>
      <c r="Q35" s="1268"/>
      <c r="R35" s="1268"/>
      <c r="S35" s="529"/>
    </row>
    <row r="36" spans="1:19" ht="84" customHeight="1">
      <c r="A36" s="772" t="s">
        <v>1965</v>
      </c>
      <c r="B36" s="606"/>
      <c r="C36" s="382" t="s">
        <v>1966</v>
      </c>
      <c r="D36" s="382"/>
      <c r="E36" s="470" t="s">
        <v>885</v>
      </c>
      <c r="F36" s="398" t="s">
        <v>75</v>
      </c>
      <c r="G36" s="486" t="s">
        <v>1967</v>
      </c>
      <c r="H36" s="386"/>
      <c r="I36" s="354"/>
      <c r="J36" s="470"/>
      <c r="K36" s="382"/>
      <c r="L36" s="354"/>
      <c r="M36" s="470" t="s">
        <v>1963</v>
      </c>
      <c r="N36" s="1269" t="s">
        <v>495</v>
      </c>
      <c r="O36" s="1270"/>
      <c r="P36" s="1271"/>
      <c r="Q36" s="1281" t="s">
        <v>1950</v>
      </c>
      <c r="R36" s="1282"/>
      <c r="S36" s="402" t="s">
        <v>1951</v>
      </c>
    </row>
    <row r="37" spans="1:19" ht="84" customHeight="1">
      <c r="A37" s="772"/>
      <c r="B37" s="606"/>
      <c r="C37" s="382"/>
      <c r="D37" s="382"/>
      <c r="E37" s="470"/>
      <c r="F37" s="398"/>
      <c r="G37" s="486"/>
      <c r="H37" s="386"/>
      <c r="I37" s="354"/>
      <c r="J37" s="470"/>
      <c r="K37" s="382"/>
      <c r="L37" s="354"/>
      <c r="M37" s="500" t="s">
        <v>1968</v>
      </c>
      <c r="N37" s="1281" t="s">
        <v>1969</v>
      </c>
      <c r="O37" s="1283"/>
      <c r="P37" s="1282" t="s">
        <v>480</v>
      </c>
      <c r="Q37" s="1283" t="s">
        <v>1970</v>
      </c>
      <c r="R37" s="1283"/>
      <c r="S37" s="402" t="s">
        <v>1951</v>
      </c>
    </row>
    <row r="38" spans="1:19">
      <c r="A38" s="772"/>
      <c r="B38" s="606"/>
      <c r="C38" s="382"/>
      <c r="D38" s="382"/>
      <c r="E38" s="470"/>
      <c r="F38" s="398"/>
      <c r="G38" s="486"/>
      <c r="H38" s="386"/>
      <c r="I38" s="354"/>
      <c r="J38" s="470"/>
      <c r="K38" s="382"/>
      <c r="L38" s="354"/>
      <c r="M38" s="470"/>
      <c r="N38" s="1269"/>
      <c r="O38" s="1270"/>
      <c r="P38" s="1271"/>
      <c r="Q38" s="382"/>
      <c r="R38" s="354"/>
      <c r="S38" s="403"/>
    </row>
    <row r="39" spans="1:19">
      <c r="A39" s="772"/>
      <c r="B39" s="606"/>
      <c r="C39" s="382"/>
      <c r="D39" s="382"/>
      <c r="E39" s="470"/>
      <c r="F39" s="398"/>
      <c r="G39" s="486"/>
      <c r="H39" s="386"/>
      <c r="I39" s="354"/>
      <c r="J39" s="470"/>
      <c r="K39" s="382"/>
      <c r="L39" s="354"/>
      <c r="M39" s="501"/>
      <c r="N39" s="1284"/>
      <c r="O39" s="1285"/>
      <c r="P39" s="1341"/>
      <c r="Q39" s="771"/>
      <c r="R39" s="776"/>
      <c r="S39" s="777"/>
    </row>
    <row r="40" spans="1:19" ht="113.25" customHeight="1">
      <c r="A40" s="609" t="s">
        <v>1971</v>
      </c>
      <c r="B40" s="609"/>
      <c r="C40" s="583" t="s">
        <v>1972</v>
      </c>
      <c r="D40" s="583"/>
      <c r="E40" s="518" t="s">
        <v>499</v>
      </c>
      <c r="F40" s="518" t="s">
        <v>1973</v>
      </c>
      <c r="G40" s="389" t="s">
        <v>501</v>
      </c>
      <c r="H40" s="395"/>
      <c r="I40" s="391" t="s">
        <v>1577</v>
      </c>
      <c r="J40" s="392" t="s">
        <v>1974</v>
      </c>
      <c r="K40" s="583"/>
      <c r="L40" s="539"/>
      <c r="M40" s="778" t="s">
        <v>1975</v>
      </c>
      <c r="N40" s="1279" t="s">
        <v>436</v>
      </c>
      <c r="O40" s="1279"/>
      <c r="P40" s="1279"/>
      <c r="Q40" s="1280" t="s">
        <v>436</v>
      </c>
      <c r="R40" s="1279"/>
      <c r="S40" s="778" t="s">
        <v>1951</v>
      </c>
    </row>
    <row r="41" spans="1:19" ht="47.25" customHeight="1">
      <c r="A41" s="775"/>
      <c r="B41" s="775"/>
      <c r="C41" s="770"/>
      <c r="D41" s="770"/>
      <c r="E41" s="388"/>
      <c r="F41" s="388"/>
      <c r="G41" s="364"/>
      <c r="H41" s="353"/>
      <c r="I41" s="393"/>
      <c r="J41" s="1278"/>
      <c r="K41" s="1278"/>
      <c r="L41" s="1278"/>
      <c r="M41" s="540"/>
      <c r="N41" s="1278"/>
      <c r="O41" s="1278"/>
      <c r="P41" s="1278"/>
      <c r="Q41" s="1292"/>
      <c r="R41" s="1278"/>
      <c r="S41" s="540"/>
    </row>
  </sheetData>
  <mergeCells count="38">
    <mergeCell ref="B20:B22"/>
    <mergeCell ref="A20:A22"/>
    <mergeCell ref="A1:T1"/>
    <mergeCell ref="B2:T2"/>
    <mergeCell ref="B3:T3"/>
    <mergeCell ref="A15:C15"/>
    <mergeCell ref="B17:B19"/>
    <mergeCell ref="A17:A19"/>
    <mergeCell ref="Q26:R26"/>
    <mergeCell ref="N27:P27"/>
    <mergeCell ref="Q27:R27"/>
    <mergeCell ref="N28:P28"/>
    <mergeCell ref="Q28:R28"/>
    <mergeCell ref="N29:P29"/>
    <mergeCell ref="Q29:R29"/>
    <mergeCell ref="N30:P30"/>
    <mergeCell ref="Q30:R30"/>
    <mergeCell ref="N31:P31"/>
    <mergeCell ref="Q31:R31"/>
    <mergeCell ref="N33:P33"/>
    <mergeCell ref="Q33:R33"/>
    <mergeCell ref="N34:P34"/>
    <mergeCell ref="Q34:R34"/>
    <mergeCell ref="N32:P32"/>
    <mergeCell ref="Q32:R32"/>
    <mergeCell ref="N36:P36"/>
    <mergeCell ref="N35:P35"/>
    <mergeCell ref="Q35:R35"/>
    <mergeCell ref="N37:P37"/>
    <mergeCell ref="Q37:R37"/>
    <mergeCell ref="Q36:R36"/>
    <mergeCell ref="N38:P38"/>
    <mergeCell ref="N39:P39"/>
    <mergeCell ref="N40:P40"/>
    <mergeCell ref="Q40:R40"/>
    <mergeCell ref="J41:L41"/>
    <mergeCell ref="N41:P41"/>
    <mergeCell ref="Q41:R41"/>
  </mergeCells>
  <conditionalFormatting sqref="N27:N29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5 H6" xr:uid="{70E9C079-64FC-4921-B85A-DE18D7082FE9}"/>
  </dataValidations>
  <hyperlinks>
    <hyperlink ref="A1" location="'Objetos de Dominio'!A1" display="Volver al inicio" xr:uid="{25EFCCD1-428C-40A7-A42C-897A49537AC0}"/>
    <hyperlink ref="V4" location="'Objeto Dominio 2'!A17" display="'Objeto Dominio 2'!A17" xr:uid="{AE1F92CA-2A4E-4742-886D-445E6951AB92}"/>
    <hyperlink ref="W4" location="'Objeto Dominio 2'!A18" display="'Objeto Dominio 2'!A18" xr:uid="{DA5A1940-31D7-4CAD-A087-03E945733A46}"/>
    <hyperlink ref="X4" location="'Objeto Dominio 2'!A19" display="'Objeto Dominio 2'!A19" xr:uid="{C4D5092C-EDF3-4B50-B727-758160B3D0B5}"/>
    <hyperlink ref="U4" location="'Objeto Dominio 2'!A16" display="'Objeto Dominio 2'!A16" xr:uid="{AE511846-9D11-4E63-8B7F-C3F458C2DB09}"/>
    <hyperlink ref="A1:T1" location="'Listado Objetos de Dominio'!A1" display="&lt;-Volver al inicio" xr:uid="{74EB428F-4547-4680-8050-DAE60AC9B69C}"/>
    <hyperlink ref="C17" location="'Ubicación Caracterización'!A6" display="=A6" xr:uid="{67A2D4DF-B1C9-4C60-AEFF-C677842DA106}"/>
    <hyperlink ref="C18" location="'Ubicación Caracterización'!A7" display="=A7" xr:uid="{B07859E6-DF5A-4C78-9FF9-90C4F82802EC}"/>
    <hyperlink ref="C20" location="'Ubicación Caracterización'!A6" display="=A6" xr:uid="{6985DBCD-AC6F-47E8-B2FA-F4B2B1697D0C}"/>
    <hyperlink ref="C21" location="'Ubicación Caracterización'!A7" display="=A7" xr:uid="{17CF8694-9EB6-453B-AB26-B0AE3C0BCCB3}"/>
    <hyperlink ref="B2:T2" location="'Listado Objetos de Dominio'!A27" display="='Listado Objetos de Dominio'!$A$27" xr:uid="{C0BB6FD2-84B3-451A-89A5-1247735EACD0}"/>
    <hyperlink ref="C19" location="'Ubicación Caracterización'!A9" display="=A9" xr:uid="{9424AD72-8E02-4691-915B-6258B1E58197}"/>
    <hyperlink ref="C22" location="'Ubicación Caracterización'!A10" display="=A10" xr:uid="{75DD6352-C204-4AEA-A44C-1D7005DB1A89}"/>
    <hyperlink ref="H40" location="'Tipo Relación Institución'!A6" display="'Tipo Relación Institución'!A6" xr:uid="{D3824922-51BD-4176-9B31-91CC52022FD9}"/>
    <hyperlink ref="A32:B32" location="'Objeto Dominio 2'!R4" display="Reponsabilidad 2" xr:uid="{87449800-9C50-42BA-B9AE-9F5A5F049491}"/>
    <hyperlink ref="A27:B27" location="'Objeto Dominio 2'!Q4" display="Reponsabilidad 1" xr:uid="{E0EC239C-10A8-4BF5-B164-344A3605E7DE}"/>
    <hyperlink ref="A36:B36" location="'Objeto Dominio 2'!S4" display="Reponsabilidad 3" xr:uid="{1EF156FF-5FE8-4EF7-A35E-7B1ECF84BA87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6A20722-B6E1-44BA-9E99-D4B91078DCB5}">
          <x14:formula1>
            <xm:f>Caracterizacion!$A$3:$A$14</xm:f>
          </x14:formula1>
          <xm:sqref>B5</xm:sqref>
        </x14:dataValidation>
        <x14:dataValidation type="list" allowBlank="1" showInputMessage="1" showErrorMessage="1" xr:uid="{DD5D5EEB-F138-424E-95A5-C72FD6081345}">
          <x14:formula1>
            <xm:f>Caracterizacion!$A$3:$A$40</xm:f>
          </x14:formula1>
          <xm:sqref>B6:B9</xm:sqref>
        </x14:dataValidation>
        <x14:dataValidation type="list" allowBlank="1" showInputMessage="1" showErrorMessage="1" xr:uid="{AF017AB8-04E9-4374-B050-9D2805EFF904}">
          <x14:formula1>
            <xm:f>Caracterizacion!$D$3:$D$13</xm:f>
          </x14:formula1>
          <xm:sqref>F5:G5</xm:sqref>
        </x14:dataValidation>
        <x14:dataValidation type="custom" allowBlank="1" showInputMessage="1" showErrorMessage="1" xr:uid="{0CA5DC74-9E67-4596-9DD9-04F23ED88DA2}">
          <x14:formula1>
            <xm:f>Caracterizacion!$F$3</xm:f>
          </x14:formula1>
          <xm:sqref>J5</xm:sqref>
        </x14:dataValidation>
        <x14:dataValidation type="list" allowBlank="1" showInputMessage="1" showErrorMessage="1" xr:uid="{22CA4B5B-AF4A-4242-8E62-279B7B9129BA}">
          <x14:formula1>
            <xm:f>Caracterizacion!$H$3:$H$4</xm:f>
          </x14:formula1>
          <xm:sqref>L5:S10</xm:sqref>
        </x14:dataValidation>
        <x14:dataValidation type="list" allowBlank="1" showInputMessage="1" showErrorMessage="1" xr:uid="{FC3051F4-92DD-485A-B8B7-0C5994DC8AB6}">
          <x14:formula1>
            <xm:f>Caracterizacion!$C$3:$C$18</xm:f>
          </x14:formula1>
          <xm:sqref>E5:E10 F8</xm:sqref>
        </x14:dataValidation>
        <x14:dataValidation type="list" allowBlank="1" showInputMessage="1" showErrorMessage="1" xr:uid="{342DA216-86F2-416D-B6F5-100800116F2D}">
          <x14:formula1>
            <xm:f>Caracterizacion!$C$3:$C$32</xm:f>
          </x14:formula1>
          <xm:sqref>F6:G7</xm:sqref>
        </x14:dataValidation>
        <x14:dataValidation type="list" allowBlank="1" showInputMessage="1" showErrorMessage="1" xr:uid="{025EDEDE-070B-423B-B011-20D8EFC8167D}">
          <x14:formula1>
            <xm:f>Caracterizacion!$B$4:$B$506</xm:f>
          </x14:formula1>
          <xm:sqref>C5:D10</xm:sqref>
        </x14:dataValidation>
        <x14:dataValidation type="list" allowBlank="1" showInputMessage="1" showErrorMessage="1" xr:uid="{545005E4-FC6F-4C4C-BF94-2795B7766895}">
          <x14:formula1>
            <xm:f>Caracterizacion!$A$3:$A$52</xm:f>
          </x14:formula1>
          <xm:sqref>B10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A431-7144-4793-A916-B9E1FCEB9A34}">
  <dimension ref="A2:M12"/>
  <sheetViews>
    <sheetView topLeftCell="E1" workbookViewId="0">
      <selection activeCell="J3" sqref="J3"/>
    </sheetView>
  </sheetViews>
  <sheetFormatPr defaultRowHeight="15"/>
  <cols>
    <col min="1" max="1" width="40.140625" bestFit="1" customWidth="1"/>
    <col min="2" max="2" width="34" customWidth="1"/>
    <col min="3" max="3" width="32.5703125" customWidth="1"/>
    <col min="4" max="4" width="32.140625" customWidth="1"/>
    <col min="5" max="5" width="25.85546875" customWidth="1"/>
    <col min="6" max="6" width="21" bestFit="1" customWidth="1"/>
    <col min="7" max="7" width="18.5703125" customWidth="1"/>
    <col min="8" max="8" width="26.140625" bestFit="1" customWidth="1"/>
    <col min="9" max="9" width="24.85546875" bestFit="1" customWidth="1"/>
    <col min="10" max="10" width="69.85546875" bestFit="1" customWidth="1"/>
    <col min="11" max="11" width="18.42578125" bestFit="1" customWidth="1"/>
    <col min="12" max="13" width="18" bestFit="1" customWidth="1"/>
  </cols>
  <sheetData>
    <row r="2" spans="1:13" ht="46.5">
      <c r="A2" s="99" t="s">
        <v>1976</v>
      </c>
      <c r="B2" s="99" t="s">
        <v>1977</v>
      </c>
      <c r="C2" s="99" t="s">
        <v>1978</v>
      </c>
      <c r="D2" s="148" t="s">
        <v>1979</v>
      </c>
      <c r="E2" s="99" t="s">
        <v>1980</v>
      </c>
      <c r="F2" s="99" t="s">
        <v>1981</v>
      </c>
      <c r="G2" s="99" t="s">
        <v>1982</v>
      </c>
      <c r="H2" s="99" t="s">
        <v>1983</v>
      </c>
      <c r="I2" s="99" t="s">
        <v>1984</v>
      </c>
      <c r="J2" s="157" t="s">
        <v>1985</v>
      </c>
      <c r="K2" s="150" t="s">
        <v>1986</v>
      </c>
      <c r="L2" s="99" t="s">
        <v>1987</v>
      </c>
      <c r="M2" s="99" t="s">
        <v>1988</v>
      </c>
    </row>
    <row r="3" spans="1:13">
      <c r="A3" s="56" t="s">
        <v>369</v>
      </c>
      <c r="B3" s="56" t="s">
        <v>1506</v>
      </c>
      <c r="C3" s="56" t="s">
        <v>370</v>
      </c>
      <c r="D3" s="56" t="s">
        <v>1507</v>
      </c>
      <c r="E3" s="94" t="s">
        <v>1508</v>
      </c>
      <c r="F3" s="94" t="s">
        <v>1509</v>
      </c>
      <c r="G3" s="153" t="s">
        <v>1510</v>
      </c>
      <c r="H3" s="154" t="s">
        <v>1511</v>
      </c>
      <c r="I3" s="155" t="s">
        <v>1512</v>
      </c>
      <c r="J3" s="58" t="s">
        <v>1989</v>
      </c>
      <c r="K3" s="151" t="s">
        <v>509</v>
      </c>
      <c r="L3" s="57" t="s">
        <v>509</v>
      </c>
      <c r="M3" s="115" t="s">
        <v>371</v>
      </c>
    </row>
    <row r="4" spans="1:13">
      <c r="A4" s="119" t="s">
        <v>1342</v>
      </c>
      <c r="B4" s="56">
        <v>1036956621</v>
      </c>
      <c r="C4" s="56" t="s">
        <v>1990</v>
      </c>
      <c r="D4" s="56" t="s">
        <v>1991</v>
      </c>
      <c r="E4" s="56" t="s">
        <v>1992</v>
      </c>
      <c r="F4" s="63" t="s">
        <v>1993</v>
      </c>
      <c r="G4" s="149">
        <v>3217858550</v>
      </c>
      <c r="H4" s="58" t="s">
        <v>461</v>
      </c>
      <c r="I4" s="156" t="s">
        <v>1994</v>
      </c>
      <c r="J4" s="58" t="s">
        <v>1518</v>
      </c>
      <c r="K4" s="151" t="s">
        <v>1993</v>
      </c>
      <c r="L4" s="57">
        <v>3217858550</v>
      </c>
      <c r="M4" s="115">
        <v>1036956621</v>
      </c>
    </row>
    <row r="5" spans="1:13">
      <c r="A5" s="119" t="s">
        <v>1345</v>
      </c>
      <c r="B5" s="56">
        <v>1036958823</v>
      </c>
      <c r="C5" s="56" t="s">
        <v>1995</v>
      </c>
      <c r="D5" s="56" t="s">
        <v>1521</v>
      </c>
      <c r="E5" s="56" t="s">
        <v>1996</v>
      </c>
      <c r="F5" s="63" t="s">
        <v>1997</v>
      </c>
      <c r="G5" s="149">
        <v>3122123037</v>
      </c>
      <c r="H5" s="58" t="s">
        <v>461</v>
      </c>
      <c r="I5" s="156" t="s">
        <v>1994</v>
      </c>
      <c r="J5" s="58" t="s">
        <v>1524</v>
      </c>
      <c r="K5" s="151" t="s">
        <v>1997</v>
      </c>
      <c r="L5" s="57">
        <v>3122123037</v>
      </c>
      <c r="M5" s="115">
        <v>1036958823</v>
      </c>
    </row>
    <row r="6" spans="1:13">
      <c r="A6" s="119" t="s">
        <v>1348</v>
      </c>
      <c r="B6" s="56">
        <v>1036961199</v>
      </c>
      <c r="C6" s="56" t="s">
        <v>1998</v>
      </c>
      <c r="D6" s="56" t="s">
        <v>1999</v>
      </c>
      <c r="E6" s="56" t="s">
        <v>2000</v>
      </c>
      <c r="F6" s="63" t="s">
        <v>2001</v>
      </c>
      <c r="G6" s="149">
        <v>3168254795</v>
      </c>
      <c r="H6" s="58" t="s">
        <v>461</v>
      </c>
      <c r="I6" s="156" t="s">
        <v>461</v>
      </c>
      <c r="J6" s="152" t="s">
        <v>1530</v>
      </c>
      <c r="K6" s="151" t="s">
        <v>2001</v>
      </c>
      <c r="L6" s="57">
        <v>3168254795</v>
      </c>
      <c r="M6" s="115">
        <v>1036961199</v>
      </c>
    </row>
    <row r="7" spans="1:13">
      <c r="A7" s="119" t="s">
        <v>1352</v>
      </c>
      <c r="B7" s="56">
        <v>1037651168</v>
      </c>
      <c r="C7" s="56" t="s">
        <v>2002</v>
      </c>
      <c r="D7" s="56" t="s">
        <v>2003</v>
      </c>
      <c r="E7" s="56" t="s">
        <v>2004</v>
      </c>
      <c r="F7" s="63" t="s">
        <v>1535</v>
      </c>
      <c r="G7" s="149">
        <v>3016546782</v>
      </c>
      <c r="H7" s="58" t="s">
        <v>1994</v>
      </c>
      <c r="I7" s="156" t="s">
        <v>1994</v>
      </c>
      <c r="J7" s="58" t="s">
        <v>2005</v>
      </c>
      <c r="K7" s="151" t="s">
        <v>1535</v>
      </c>
      <c r="L7" s="57">
        <v>3016546782</v>
      </c>
      <c r="M7" s="115">
        <v>1037651168</v>
      </c>
    </row>
    <row r="8" spans="1:13">
      <c r="B8" s="116"/>
      <c r="C8" s="117"/>
      <c r="D8" s="59"/>
      <c r="E8" s="118"/>
      <c r="F8" s="59"/>
    </row>
    <row r="9" spans="1:13">
      <c r="B9" s="116"/>
      <c r="C9" s="117"/>
      <c r="D9" s="59"/>
      <c r="E9" s="118"/>
      <c r="F9" s="59"/>
    </row>
    <row r="10" spans="1:13">
      <c r="B10" s="116"/>
      <c r="C10" s="117"/>
      <c r="D10" s="59"/>
      <c r="E10" s="118"/>
      <c r="F10" s="59"/>
    </row>
    <row r="11" spans="1:13">
      <c r="B11" s="116"/>
      <c r="C11" s="117"/>
      <c r="D11" s="59"/>
      <c r="E11" s="118"/>
      <c r="F11" s="59"/>
    </row>
    <row r="12" spans="1:13">
      <c r="B12" s="116"/>
      <c r="C12" s="117"/>
      <c r="D12" s="59"/>
      <c r="E12" s="118"/>
      <c r="F12" s="59"/>
    </row>
  </sheetData>
  <hyperlinks>
    <hyperlink ref="F4" r:id="rId1" xr:uid="{3FEFA2E7-C10A-4BE8-9194-C9B74CCABA24}"/>
    <hyperlink ref="F5" r:id="rId2" xr:uid="{45F1EBB7-08F5-4B87-9631-780C74E74A8B}"/>
    <hyperlink ref="F6" r:id="rId3" xr:uid="{12FD93D2-4752-4A6A-A739-6C5FE1A4E774}"/>
    <hyperlink ref="F7" r:id="rId4" xr:uid="{E34E6783-102B-42CE-B0EE-6332315BC052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5BD4-00DC-4C0B-9C93-2AEB61DF0ACD}">
  <dimension ref="A1:AB48"/>
  <sheetViews>
    <sheetView zoomScale="85" zoomScaleNormal="85" workbookViewId="0">
      <pane xSplit="1" topLeftCell="B12" activePane="topRight" state="frozen"/>
      <selection pane="topRight" activeCell="A24" sqref="A24"/>
    </sheetView>
  </sheetViews>
  <sheetFormatPr defaultColWidth="11.42578125" defaultRowHeight="15"/>
  <cols>
    <col min="1" max="1" width="23.85546875" style="1" bestFit="1" customWidth="1"/>
    <col min="2" max="2" width="28.7109375" style="1" customWidth="1"/>
    <col min="3" max="3" width="18.7109375" style="1" bestFit="1" customWidth="1"/>
    <col min="4" max="4" width="18.85546875" style="1" bestFit="1" customWidth="1"/>
    <col min="5" max="5" width="28.5703125" style="1" customWidth="1"/>
    <col min="6" max="6" width="15.28515625" style="1" bestFit="1" customWidth="1"/>
    <col min="7" max="7" width="28.5703125" style="1" bestFit="1" customWidth="1"/>
    <col min="8" max="8" width="56" style="1" customWidth="1"/>
    <col min="9" max="9" width="112.42578125" style="1" bestFit="1" customWidth="1"/>
    <col min="10" max="10" width="14.7109375" style="1" bestFit="1" customWidth="1"/>
    <col min="11" max="11" width="18.140625" style="1" bestFit="1" customWidth="1"/>
    <col min="12" max="12" width="29.5703125" style="1" bestFit="1" customWidth="1"/>
    <col min="13" max="13" width="28.85546875" style="1" bestFit="1" customWidth="1"/>
    <col min="14" max="14" width="19.28515625" style="1" bestFit="1" customWidth="1"/>
    <col min="15" max="15" width="14.42578125" style="1" bestFit="1" customWidth="1"/>
    <col min="16" max="16" width="15.7109375" style="1" bestFit="1" customWidth="1"/>
    <col min="17" max="17" width="15.7109375" style="1" customWidth="1"/>
    <col min="18" max="18" width="12.85546875" style="1" bestFit="1" customWidth="1"/>
    <col min="19" max="19" width="25" style="1" bestFit="1" customWidth="1"/>
    <col min="20" max="20" width="113.140625" style="1" customWidth="1"/>
    <col min="21" max="21" width="132.5703125" style="1" bestFit="1" customWidth="1"/>
    <col min="22" max="22" width="46.42578125" style="1" bestFit="1" customWidth="1"/>
    <col min="23" max="23" width="50.140625" style="1" bestFit="1" customWidth="1"/>
    <col min="24" max="24" width="66.85546875" style="1" bestFit="1" customWidth="1"/>
    <col min="25" max="25" width="52.28515625" style="1" bestFit="1" customWidth="1"/>
    <col min="26" max="26" width="65.7109375" style="1" customWidth="1"/>
    <col min="27" max="27" width="33.42578125" style="1" customWidth="1"/>
    <col min="28" max="28" width="25.7109375" style="1" customWidth="1"/>
    <col min="29" max="16384" width="11.42578125" style="1"/>
  </cols>
  <sheetData>
    <row r="1" spans="1:28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  <c r="Q1" s="1185"/>
      <c r="R1" s="1185"/>
      <c r="S1" s="1185"/>
      <c r="T1" s="1185"/>
    </row>
    <row r="2" spans="1:28">
      <c r="A2" s="4" t="s">
        <v>391</v>
      </c>
      <c r="B2" s="1186" t="str">
        <f>'Listado Objetos de Dominio'!$A$29</f>
        <v>Usuario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</row>
    <row r="3" spans="1:28">
      <c r="A3" s="4" t="s">
        <v>392</v>
      </c>
      <c r="B3" s="1187" t="str">
        <f>'Listado Objetos de Dominio'!$B$29</f>
        <v>Objeto de dominio que representa la persona registrada que puede buscar o calificar servicios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</row>
    <row r="4" spans="1:28" ht="30.75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398</v>
      </c>
      <c r="J4" s="9" t="s">
        <v>71</v>
      </c>
      <c r="K4" s="9" t="s">
        <v>72</v>
      </c>
      <c r="L4" s="60" t="s">
        <v>399</v>
      </c>
      <c r="M4" s="61" t="s">
        <v>400</v>
      </c>
      <c r="N4" s="9" t="s">
        <v>401</v>
      </c>
      <c r="O4" s="9" t="s">
        <v>402</v>
      </c>
      <c r="P4" s="9" t="s">
        <v>403</v>
      </c>
      <c r="Q4" s="114" t="s">
        <v>466</v>
      </c>
      <c r="R4" s="9" t="s">
        <v>404</v>
      </c>
      <c r="S4" s="9" t="s">
        <v>405</v>
      </c>
      <c r="T4" s="10" t="s">
        <v>2</v>
      </c>
      <c r="U4" s="37" t="str">
        <f>A24</f>
        <v>Registrar Información del  Usuario</v>
      </c>
      <c r="V4" s="35" t="str">
        <f>A29</f>
        <v>Modificar Información del Usuario</v>
      </c>
      <c r="W4" s="36" t="str">
        <f>A33</f>
        <v>Eliminar Información del Usuario</v>
      </c>
      <c r="X4" s="2" t="str">
        <f>A37</f>
        <v>Consultar Información Detallada  del Usuario</v>
      </c>
      <c r="Y4" s="2" t="str">
        <f>A39</f>
        <v>Consultar Información  general de un usuario</v>
      </c>
      <c r="Z4" s="456" t="str">
        <f>A41</f>
        <v>Restablecer la Clave del Usuario</v>
      </c>
      <c r="AA4" s="454" t="str">
        <f>A44</f>
        <v>Modificar la Clave del Usuario</v>
      </c>
      <c r="AB4" s="455" t="str">
        <f>A47</f>
        <v>Autenticar el Usuario</v>
      </c>
    </row>
    <row r="5" spans="1:28">
      <c r="A5" s="11" t="str">
        <f>'Usuario Muestreo'!A3</f>
        <v>id</v>
      </c>
      <c r="B5" s="5" t="s">
        <v>75</v>
      </c>
      <c r="C5" s="5">
        <v>36</v>
      </c>
      <c r="D5" s="5">
        <v>36</v>
      </c>
      <c r="E5" s="5"/>
      <c r="F5" s="5"/>
      <c r="G5" s="5"/>
      <c r="H5" s="5" t="s">
        <v>406</v>
      </c>
      <c r="I5" s="5" t="s">
        <v>407</v>
      </c>
      <c r="J5" s="5"/>
      <c r="K5" s="13"/>
      <c r="L5" s="13" t="s">
        <v>81</v>
      </c>
      <c r="M5" s="13" t="s">
        <v>81</v>
      </c>
      <c r="N5" s="13" t="s">
        <v>78</v>
      </c>
      <c r="O5" s="13" t="s">
        <v>81</v>
      </c>
      <c r="P5" s="13" t="s">
        <v>78</v>
      </c>
      <c r="Q5" s="13" t="s">
        <v>81</v>
      </c>
      <c r="R5" s="13" t="s">
        <v>81</v>
      </c>
      <c r="S5" s="13" t="s">
        <v>78</v>
      </c>
      <c r="T5" s="5" t="str">
        <f>'Usuario Muestreo'!A2</f>
        <v xml:space="preserve"> Corresponde al identificador único que va a permitir diferenciar cada uno de los usuarios dentro del sistema.</v>
      </c>
      <c r="U5" s="401" t="s">
        <v>467</v>
      </c>
      <c r="V5" s="39" t="s">
        <v>2006</v>
      </c>
      <c r="W5" s="43" t="s">
        <v>467</v>
      </c>
      <c r="X5" s="32" t="s">
        <v>468</v>
      </c>
      <c r="Y5" s="32" t="s">
        <v>468</v>
      </c>
      <c r="Z5" s="453" t="s">
        <v>467</v>
      </c>
      <c r="AA5" s="457" t="s">
        <v>409</v>
      </c>
      <c r="AB5" s="458" t="s">
        <v>467</v>
      </c>
    </row>
    <row r="6" spans="1:28" ht="20.25" customHeight="1">
      <c r="A6" s="11" t="str">
        <f>'Usuario Muestreo'!B3</f>
        <v>cedula</v>
      </c>
      <c r="B6" s="5" t="s">
        <v>75</v>
      </c>
      <c r="C6" s="5">
        <v>7</v>
      </c>
      <c r="D6" s="5">
        <v>10</v>
      </c>
      <c r="E6" s="5"/>
      <c r="F6" s="5"/>
      <c r="G6" s="5"/>
      <c r="H6" s="5" t="s">
        <v>410</v>
      </c>
      <c r="I6" s="5" t="s">
        <v>1538</v>
      </c>
      <c r="J6" s="5"/>
      <c r="K6" s="13"/>
      <c r="L6" s="13" t="s">
        <v>78</v>
      </c>
      <c r="M6" s="13" t="s">
        <v>78</v>
      </c>
      <c r="N6" s="13" t="s">
        <v>81</v>
      </c>
      <c r="O6" s="13" t="s">
        <v>81</v>
      </c>
      <c r="P6" s="13" t="s">
        <v>78</v>
      </c>
      <c r="Q6" s="13" t="s">
        <v>81</v>
      </c>
      <c r="R6" s="13" t="s">
        <v>78</v>
      </c>
      <c r="S6" s="13" t="s">
        <v>81</v>
      </c>
      <c r="T6" s="7" t="str">
        <f>'Usuario Muestreo'!B2</f>
        <v>Corresponde al atributo cedula es el número de documento de identidad de la persona.</v>
      </c>
      <c r="U6" s="401" t="s">
        <v>467</v>
      </c>
      <c r="V6" s="39" t="s">
        <v>1539</v>
      </c>
      <c r="W6" s="43" t="s">
        <v>933</v>
      </c>
      <c r="X6" s="32" t="s">
        <v>408</v>
      </c>
      <c r="Y6" s="32" t="s">
        <v>408</v>
      </c>
      <c r="Z6" s="453" t="s">
        <v>933</v>
      </c>
      <c r="AA6" s="457" t="s">
        <v>933</v>
      </c>
      <c r="AB6" s="458" t="s">
        <v>933</v>
      </c>
    </row>
    <row r="7" spans="1:28" ht="30.75">
      <c r="A7" s="11" t="str">
        <f>'Usuario Muestreo'!C3</f>
        <v>nombre</v>
      </c>
      <c r="B7" s="5" t="s">
        <v>75</v>
      </c>
      <c r="C7" s="5">
        <v>1</v>
      </c>
      <c r="D7" s="5">
        <v>40</v>
      </c>
      <c r="E7" s="5"/>
      <c r="F7" s="5"/>
      <c r="G7" s="5"/>
      <c r="H7" s="5" t="s">
        <v>410</v>
      </c>
      <c r="I7" s="5" t="s">
        <v>1202</v>
      </c>
      <c r="J7" s="5"/>
      <c r="K7" s="13"/>
      <c r="L7" s="13" t="s">
        <v>78</v>
      </c>
      <c r="M7" s="13" t="s">
        <v>78</v>
      </c>
      <c r="N7" s="13" t="s">
        <v>81</v>
      </c>
      <c r="O7" s="13" t="s">
        <v>81</v>
      </c>
      <c r="P7" s="13" t="s">
        <v>78</v>
      </c>
      <c r="Q7" s="13" t="s">
        <v>78</v>
      </c>
      <c r="R7" s="13" t="s">
        <v>81</v>
      </c>
      <c r="S7" s="13" t="s">
        <v>81</v>
      </c>
      <c r="T7" s="5" t="str">
        <f>'Usuario Muestreo'!C2</f>
        <v>Corresponde al atributo nombre de la persona.</v>
      </c>
      <c r="U7" s="401" t="s">
        <v>467</v>
      </c>
      <c r="V7" s="39" t="s">
        <v>1540</v>
      </c>
      <c r="W7" s="43" t="s">
        <v>933</v>
      </c>
      <c r="X7" s="32" t="s">
        <v>2007</v>
      </c>
      <c r="Y7" s="32" t="s">
        <v>2008</v>
      </c>
      <c r="Z7" s="453" t="s">
        <v>933</v>
      </c>
      <c r="AA7" s="457" t="s">
        <v>933</v>
      </c>
      <c r="AB7" s="458" t="s">
        <v>933</v>
      </c>
    </row>
    <row r="8" spans="1:28" ht="30.75">
      <c r="A8" s="11" t="str">
        <f>'Usuario Muestreo'!D3</f>
        <v>primerApellido</v>
      </c>
      <c r="B8" s="5" t="s">
        <v>75</v>
      </c>
      <c r="C8" s="5">
        <v>1</v>
      </c>
      <c r="D8" s="5">
        <v>40</v>
      </c>
      <c r="E8" s="5"/>
      <c r="F8" s="5"/>
      <c r="G8" s="5"/>
      <c r="H8" s="5" t="s">
        <v>410</v>
      </c>
      <c r="I8" s="5" t="s">
        <v>1202</v>
      </c>
      <c r="J8" s="5"/>
      <c r="K8" s="13"/>
      <c r="L8" s="13" t="s">
        <v>78</v>
      </c>
      <c r="M8" s="13" t="s">
        <v>78</v>
      </c>
      <c r="N8" s="13" t="s">
        <v>81</v>
      </c>
      <c r="O8" s="13" t="s">
        <v>81</v>
      </c>
      <c r="P8" s="13" t="s">
        <v>78</v>
      </c>
      <c r="Q8" s="13" t="s">
        <v>78</v>
      </c>
      <c r="R8" s="13" t="s">
        <v>81</v>
      </c>
      <c r="S8" s="13" t="s">
        <v>81</v>
      </c>
      <c r="T8" s="7" t="str">
        <f>'Usuario Muestreo'!D2</f>
        <v>Corresponde al atributo que indica el segundo apellido de la persona.</v>
      </c>
      <c r="U8" s="401" t="s">
        <v>467</v>
      </c>
      <c r="V8" s="39" t="s">
        <v>1540</v>
      </c>
      <c r="W8" s="43" t="s">
        <v>933</v>
      </c>
      <c r="X8" s="32" t="s">
        <v>470</v>
      </c>
      <c r="Y8" s="32" t="s">
        <v>2009</v>
      </c>
      <c r="Z8" s="453" t="s">
        <v>933</v>
      </c>
      <c r="AA8" s="457" t="s">
        <v>933</v>
      </c>
      <c r="AB8" s="458" t="s">
        <v>933</v>
      </c>
    </row>
    <row r="9" spans="1:28" ht="30.75">
      <c r="A9" s="11" t="str">
        <f>'Usuario Muestreo'!E3</f>
        <v>segundoApellido</v>
      </c>
      <c r="B9" s="5" t="s">
        <v>75</v>
      </c>
      <c r="C9" s="5">
        <v>1</v>
      </c>
      <c r="D9" s="5">
        <v>40</v>
      </c>
      <c r="E9" s="5"/>
      <c r="F9" s="5"/>
      <c r="G9" s="5"/>
      <c r="H9" s="5" t="s">
        <v>410</v>
      </c>
      <c r="I9" s="5" t="s">
        <v>1202</v>
      </c>
      <c r="J9" s="5"/>
      <c r="K9" s="13"/>
      <c r="L9" s="13" t="s">
        <v>78</v>
      </c>
      <c r="M9" s="13" t="s">
        <v>78</v>
      </c>
      <c r="N9" s="13" t="s">
        <v>81</v>
      </c>
      <c r="O9" s="13" t="s">
        <v>81</v>
      </c>
      <c r="P9" s="13" t="s">
        <v>78</v>
      </c>
      <c r="Q9" s="13" t="s">
        <v>78</v>
      </c>
      <c r="R9" s="13" t="s">
        <v>81</v>
      </c>
      <c r="S9" s="13" t="s">
        <v>81</v>
      </c>
      <c r="T9" s="7" t="str">
        <f>'Usuario Muestreo'!E2</f>
        <v>Corresponde al rango del cilindraje que clasifica el modelo de una motocicleta.</v>
      </c>
      <c r="U9" s="401" t="s">
        <v>467</v>
      </c>
      <c r="V9" s="39" t="s">
        <v>1540</v>
      </c>
      <c r="W9" s="43" t="s">
        <v>933</v>
      </c>
      <c r="X9" s="32" t="s">
        <v>863</v>
      </c>
      <c r="Y9" s="32" t="s">
        <v>2010</v>
      </c>
      <c r="Z9" s="453" t="s">
        <v>933</v>
      </c>
      <c r="AA9" s="457" t="s">
        <v>933</v>
      </c>
      <c r="AB9" s="458" t="s">
        <v>933</v>
      </c>
    </row>
    <row r="10" spans="1:28" ht="30.75">
      <c r="A10" s="11" t="str">
        <f>'Usuario Muestreo'!F3</f>
        <v>email</v>
      </c>
      <c r="B10" s="5" t="s">
        <v>75</v>
      </c>
      <c r="C10" s="5">
        <v>1</v>
      </c>
      <c r="D10" s="5">
        <v>250</v>
      </c>
      <c r="E10" s="5"/>
      <c r="F10" s="5"/>
      <c r="G10" s="5"/>
      <c r="H10" s="144" t="s">
        <v>1541</v>
      </c>
      <c r="I10" s="7"/>
      <c r="J10" s="5"/>
      <c r="K10" s="13"/>
      <c r="L10" s="13" t="s">
        <v>78</v>
      </c>
      <c r="M10" s="13" t="s">
        <v>78</v>
      </c>
      <c r="N10" s="13" t="s">
        <v>81</v>
      </c>
      <c r="O10" s="13" t="s">
        <v>81</v>
      </c>
      <c r="P10" s="13" t="s">
        <v>78</v>
      </c>
      <c r="Q10" s="13" t="s">
        <v>78</v>
      </c>
      <c r="R10" s="13" t="s">
        <v>78</v>
      </c>
      <c r="S10" s="13" t="s">
        <v>81</v>
      </c>
      <c r="T10" s="7" t="str">
        <f>'Usuario Muestreo'!F2</f>
        <v>Corresponde al atributo que indica el correo electrónico de la persona.</v>
      </c>
      <c r="U10" s="401" t="s">
        <v>467</v>
      </c>
      <c r="V10" s="39" t="s">
        <v>1540</v>
      </c>
      <c r="W10" s="43" t="s">
        <v>933</v>
      </c>
      <c r="X10" s="32" t="s">
        <v>472</v>
      </c>
      <c r="Y10" s="32" t="s">
        <v>468</v>
      </c>
      <c r="Z10" s="453" t="s">
        <v>467</v>
      </c>
      <c r="AA10" s="457" t="s">
        <v>409</v>
      </c>
      <c r="AB10" s="458" t="s">
        <v>467</v>
      </c>
    </row>
    <row r="11" spans="1:28" ht="30.75">
      <c r="A11" s="11" t="str">
        <f>'Usuario Muestreo'!G3</f>
        <v>celular</v>
      </c>
      <c r="B11" s="5" t="s">
        <v>75</v>
      </c>
      <c r="C11" s="5">
        <v>10</v>
      </c>
      <c r="D11" s="5">
        <v>10</v>
      </c>
      <c r="E11" s="5"/>
      <c r="F11" s="5"/>
      <c r="G11" s="5"/>
      <c r="H11" s="5" t="s">
        <v>1543</v>
      </c>
      <c r="I11" s="5" t="s">
        <v>1544</v>
      </c>
      <c r="J11" s="5"/>
      <c r="K11" s="13"/>
      <c r="L11" s="13" t="s">
        <v>78</v>
      </c>
      <c r="M11" s="13" t="s">
        <v>78</v>
      </c>
      <c r="N11" s="13" t="s">
        <v>81</v>
      </c>
      <c r="O11" s="13" t="s">
        <v>81</v>
      </c>
      <c r="P11" s="13" t="s">
        <v>78</v>
      </c>
      <c r="Q11" s="13" t="s">
        <v>78</v>
      </c>
      <c r="R11" s="13" t="s">
        <v>78</v>
      </c>
      <c r="S11" s="13" t="s">
        <v>81</v>
      </c>
      <c r="T11" s="7" t="str">
        <f>'Usuario Muestreo'!G2</f>
        <v>Corresponde al atributo que indica el número de teléfono celular de la persona.</v>
      </c>
      <c r="U11" s="401" t="s">
        <v>467</v>
      </c>
      <c r="V11" s="39" t="s">
        <v>1540</v>
      </c>
      <c r="W11" s="43" t="s">
        <v>933</v>
      </c>
      <c r="X11" s="32" t="s">
        <v>472</v>
      </c>
      <c r="Y11" s="32" t="s">
        <v>934</v>
      </c>
      <c r="Z11" s="453" t="s">
        <v>467</v>
      </c>
      <c r="AA11" s="457" t="s">
        <v>409</v>
      </c>
      <c r="AB11" s="458" t="s">
        <v>933</v>
      </c>
    </row>
    <row r="12" spans="1:28">
      <c r="A12" s="11" t="str">
        <f>'Usuario Muestreo'!H3</f>
        <v>emailConfirmado</v>
      </c>
      <c r="B12" s="5" t="s">
        <v>89</v>
      </c>
      <c r="C12" s="5">
        <v>2</v>
      </c>
      <c r="D12" s="5">
        <v>2</v>
      </c>
      <c r="E12" s="5"/>
      <c r="F12" s="5"/>
      <c r="G12" s="5"/>
      <c r="H12" s="5" t="s">
        <v>2011</v>
      </c>
      <c r="I12" s="5"/>
      <c r="J12" s="5"/>
      <c r="K12" s="13"/>
      <c r="L12" s="13" t="s">
        <v>81</v>
      </c>
      <c r="M12" s="13" t="s">
        <v>81</v>
      </c>
      <c r="N12" s="13" t="s">
        <v>81</v>
      </c>
      <c r="O12" s="13" t="s">
        <v>81</v>
      </c>
      <c r="P12" s="13" t="s">
        <v>78</v>
      </c>
      <c r="Q12" s="13" t="s">
        <v>78</v>
      </c>
      <c r="R12" s="13" t="s">
        <v>78</v>
      </c>
      <c r="S12" s="13" t="s">
        <v>81</v>
      </c>
      <c r="T12" s="7" t="str">
        <f>'Usuario Muestreo'!H2</f>
        <v>Corresponde al atributo de Indica si el correo electrónico del usuario ha sido verificado mediante el proceso de confirmación.</v>
      </c>
      <c r="U12" s="401" t="s">
        <v>467</v>
      </c>
      <c r="V12" s="39" t="s">
        <v>1540</v>
      </c>
      <c r="W12" s="43" t="s">
        <v>933</v>
      </c>
      <c r="X12" s="32" t="s">
        <v>468</v>
      </c>
      <c r="Y12" s="32" t="s">
        <v>468</v>
      </c>
      <c r="Z12" s="453" t="s">
        <v>467</v>
      </c>
      <c r="AA12" s="457" t="s">
        <v>409</v>
      </c>
      <c r="AB12" s="458" t="s">
        <v>933</v>
      </c>
    </row>
    <row r="13" spans="1:28">
      <c r="A13" s="11" t="str">
        <f>'Usuario Muestreo'!I3</f>
        <v>numeroCelularConfirmado</v>
      </c>
      <c r="B13" s="5" t="s">
        <v>89</v>
      </c>
      <c r="C13" s="5">
        <v>2</v>
      </c>
      <c r="D13" s="5">
        <v>2</v>
      </c>
      <c r="E13" s="5"/>
      <c r="F13" s="5"/>
      <c r="G13" s="5"/>
      <c r="H13" s="5" t="s">
        <v>2011</v>
      </c>
      <c r="I13" s="5"/>
      <c r="J13" s="5"/>
      <c r="K13" s="13"/>
      <c r="L13" s="13" t="s">
        <v>81</v>
      </c>
      <c r="M13" s="13" t="s">
        <v>81</v>
      </c>
      <c r="N13" s="13" t="s">
        <v>81</v>
      </c>
      <c r="O13" s="13" t="s">
        <v>81</v>
      </c>
      <c r="P13" s="13" t="s">
        <v>78</v>
      </c>
      <c r="Q13" s="13" t="s">
        <v>78</v>
      </c>
      <c r="R13" s="13" t="s">
        <v>78</v>
      </c>
      <c r="S13" s="13" t="s">
        <v>81</v>
      </c>
      <c r="T13" s="7" t="str">
        <f>'Usuario Muestreo'!I2</f>
        <v xml:space="preserve">Corresponde al atributo Indica si el número de teléfono celular del usuario ha sido verificado mediante el proceso de confirmación. </v>
      </c>
      <c r="U13" s="401" t="s">
        <v>467</v>
      </c>
      <c r="V13" s="39" t="s">
        <v>1540</v>
      </c>
      <c r="W13" s="43" t="s">
        <v>933</v>
      </c>
      <c r="X13" s="32" t="s">
        <v>468</v>
      </c>
      <c r="Y13" s="32" t="s">
        <v>468</v>
      </c>
      <c r="Z13" s="453" t="s">
        <v>467</v>
      </c>
      <c r="AA13" s="457" t="s">
        <v>409</v>
      </c>
      <c r="AB13" s="458" t="s">
        <v>933</v>
      </c>
    </row>
    <row r="14" spans="1:28">
      <c r="A14" s="11" t="s">
        <v>1513</v>
      </c>
      <c r="B14" s="5" t="s">
        <v>75</v>
      </c>
      <c r="C14" s="5">
        <v>8</v>
      </c>
      <c r="D14" s="5">
        <v>200</v>
      </c>
      <c r="E14" s="5"/>
      <c r="F14" s="5"/>
      <c r="G14" s="5"/>
      <c r="H14" s="5" t="s">
        <v>410</v>
      </c>
      <c r="I14" s="5" t="s">
        <v>1202</v>
      </c>
      <c r="J14" s="5"/>
      <c r="K14" s="13"/>
      <c r="L14" s="13" t="s">
        <v>81</v>
      </c>
      <c r="M14" s="13" t="s">
        <v>81</v>
      </c>
      <c r="N14" s="13" t="s">
        <v>81</v>
      </c>
      <c r="O14" s="13" t="s">
        <v>81</v>
      </c>
      <c r="P14" s="13" t="s">
        <v>78</v>
      </c>
      <c r="Q14" s="13" t="s">
        <v>78</v>
      </c>
      <c r="R14" s="13" t="s">
        <v>78</v>
      </c>
      <c r="S14" s="13" t="s">
        <v>81</v>
      </c>
      <c r="T14" s="7" t="str">
        <f>'Usuario Muestreo'!J2</f>
        <v>Corresponde al atributo que almacena la contraseña del usuario de forma segura y encriptada.</v>
      </c>
      <c r="U14" s="401" t="s">
        <v>467</v>
      </c>
      <c r="V14" s="39" t="s">
        <v>1540</v>
      </c>
      <c r="W14" s="43" t="s">
        <v>467</v>
      </c>
      <c r="X14" s="32" t="s">
        <v>468</v>
      </c>
      <c r="Y14" s="32" t="s">
        <v>468</v>
      </c>
      <c r="Z14" s="453" t="s">
        <v>467</v>
      </c>
      <c r="AA14" s="457" t="s">
        <v>413</v>
      </c>
      <c r="AB14" s="458" t="s">
        <v>467</v>
      </c>
    </row>
    <row r="16" spans="1:28">
      <c r="A16" s="1254" t="s">
        <v>414</v>
      </c>
      <c r="B16" s="1254"/>
      <c r="C16" s="1254"/>
      <c r="G16" s="1" t="s">
        <v>418</v>
      </c>
    </row>
    <row r="17" spans="1:22">
      <c r="A17" s="113" t="s">
        <v>415</v>
      </c>
      <c r="B17" s="113" t="s">
        <v>2</v>
      </c>
      <c r="C17" s="113" t="s">
        <v>416</v>
      </c>
    </row>
    <row r="18" spans="1:22" ht="47.25" customHeight="1">
      <c r="A18" s="108" t="s">
        <v>1545</v>
      </c>
      <c r="B18" s="108" t="str">
        <f>'Usuario Muestreo'!K2</f>
        <v>La persona no debe tener duplicidad en el email.</v>
      </c>
      <c r="C18" s="232" t="str">
        <f>A10</f>
        <v>email</v>
      </c>
    </row>
    <row r="19" spans="1:22" ht="54" customHeight="1">
      <c r="A19" s="108" t="s">
        <v>1546</v>
      </c>
      <c r="B19" s="108" t="s">
        <v>1987</v>
      </c>
      <c r="C19" s="232" t="str">
        <f>A11</f>
        <v>celular</v>
      </c>
      <c r="R19" s="245"/>
    </row>
    <row r="20" spans="1:22" ht="54.75" customHeight="1">
      <c r="A20" s="108" t="s">
        <v>1547</v>
      </c>
      <c r="B20" s="108" t="s">
        <v>1988</v>
      </c>
      <c r="C20" s="232" t="str">
        <f>A6</f>
        <v>cedula</v>
      </c>
    </row>
    <row r="22" spans="1:22">
      <c r="A22" s="358" t="s">
        <v>419</v>
      </c>
      <c r="B22" s="317"/>
      <c r="C22" s="317" t="s">
        <v>2</v>
      </c>
      <c r="D22" s="317"/>
      <c r="E22" s="318"/>
      <c r="F22" s="319"/>
      <c r="G22" s="317" t="s">
        <v>420</v>
      </c>
      <c r="H22" s="333"/>
      <c r="I22" s="319"/>
      <c r="J22" s="319" t="s">
        <v>421</v>
      </c>
      <c r="K22" s="319"/>
      <c r="L22" s="319"/>
      <c r="M22" s="318"/>
      <c r="N22" s="319" t="s">
        <v>422</v>
      </c>
      <c r="O22" s="319"/>
      <c r="P22" s="319"/>
      <c r="Q22" s="318"/>
      <c r="R22" s="319" t="s">
        <v>474</v>
      </c>
      <c r="S22" s="333"/>
      <c r="T22" s="290"/>
      <c r="U22" s="290"/>
      <c r="V22" s="290"/>
    </row>
    <row r="23" spans="1:22">
      <c r="A23" s="312"/>
      <c r="B23" s="346"/>
      <c r="C23" s="346"/>
      <c r="D23" s="340"/>
      <c r="E23" s="341" t="s">
        <v>423</v>
      </c>
      <c r="F23" s="337" t="s">
        <v>424</v>
      </c>
      <c r="G23" s="316"/>
      <c r="H23" s="359" t="s">
        <v>2</v>
      </c>
      <c r="I23" s="346" t="s">
        <v>66</v>
      </c>
      <c r="J23" s="339"/>
      <c r="K23" s="346" t="s">
        <v>2</v>
      </c>
      <c r="L23" s="340"/>
      <c r="M23" s="337" t="s">
        <v>425</v>
      </c>
      <c r="N23" s="334"/>
      <c r="O23" s="335" t="s">
        <v>2</v>
      </c>
      <c r="P23" s="335"/>
      <c r="Q23" s="1178" t="s">
        <v>426</v>
      </c>
      <c r="R23" s="1179"/>
      <c r="S23" s="333" t="s">
        <v>427</v>
      </c>
      <c r="T23" s="290"/>
      <c r="U23" s="290"/>
      <c r="V23" s="290"/>
    </row>
    <row r="24" spans="1:22" ht="79.5" customHeight="1">
      <c r="A24" s="842" t="s">
        <v>2012</v>
      </c>
      <c r="B24" s="1000"/>
      <c r="C24" s="355" t="s">
        <v>2013</v>
      </c>
      <c r="D24" s="355"/>
      <c r="E24" s="1001" t="s">
        <v>441</v>
      </c>
      <c r="F24" s="1002" t="s">
        <v>163</v>
      </c>
      <c r="G24" s="1003" t="s">
        <v>2014</v>
      </c>
      <c r="H24" s="351"/>
      <c r="I24" s="351"/>
      <c r="J24" s="355"/>
      <c r="K24" s="355"/>
      <c r="L24" s="351"/>
      <c r="M24" s="1004" t="s">
        <v>2015</v>
      </c>
      <c r="N24" s="1526" t="s">
        <v>2016</v>
      </c>
      <c r="O24" s="1527"/>
      <c r="P24" s="1528"/>
      <c r="Q24" s="1529" t="s">
        <v>2017</v>
      </c>
      <c r="R24" s="1530"/>
      <c r="S24" s="1101" t="s">
        <v>438</v>
      </c>
    </row>
    <row r="25" spans="1:22" ht="125.25" customHeight="1">
      <c r="A25" s="842"/>
      <c r="B25" s="1005"/>
      <c r="C25" s="375"/>
      <c r="D25" s="375"/>
      <c r="E25" s="1006"/>
      <c r="F25" s="1007"/>
      <c r="G25" s="1008"/>
      <c r="H25" s="376"/>
      <c r="I25" s="376"/>
      <c r="J25" s="375"/>
      <c r="K25" s="375"/>
      <c r="L25" s="376"/>
      <c r="M25" s="1009" t="s">
        <v>2018</v>
      </c>
      <c r="N25" s="1531" t="s">
        <v>2019</v>
      </c>
      <c r="O25" s="1532"/>
      <c r="P25" s="1533"/>
      <c r="Q25" s="1534" t="s">
        <v>2020</v>
      </c>
      <c r="R25" s="1530"/>
      <c r="S25" s="1101" t="s">
        <v>438</v>
      </c>
      <c r="T25" s="291"/>
      <c r="U25" s="291"/>
    </row>
    <row r="26" spans="1:22" ht="83.25" customHeight="1">
      <c r="A26" s="842"/>
      <c r="B26" s="1005"/>
      <c r="C26" s="375"/>
      <c r="D26" s="375"/>
      <c r="E26" s="1006"/>
      <c r="F26" s="1007"/>
      <c r="G26" s="1008"/>
      <c r="H26" s="376"/>
      <c r="I26" s="376"/>
      <c r="J26" s="375"/>
      <c r="K26" s="375"/>
      <c r="L26" s="376"/>
      <c r="M26" s="355" t="s">
        <v>2021</v>
      </c>
      <c r="N26" s="1535" t="s">
        <v>2022</v>
      </c>
      <c r="O26" s="1536"/>
      <c r="P26" s="1537"/>
      <c r="Q26" s="1534" t="s">
        <v>2023</v>
      </c>
      <c r="R26" s="1530"/>
      <c r="S26" s="1101" t="s">
        <v>438</v>
      </c>
      <c r="T26" s="291"/>
      <c r="U26" s="291"/>
    </row>
    <row r="27" spans="1:22" ht="94.5" customHeight="1">
      <c r="A27" s="842"/>
      <c r="B27" s="1005"/>
      <c r="C27" s="375"/>
      <c r="D27" s="375"/>
      <c r="E27" s="1006"/>
      <c r="F27" s="1007"/>
      <c r="G27" s="1008"/>
      <c r="H27" s="376"/>
      <c r="I27" s="376"/>
      <c r="J27" s="375"/>
      <c r="K27" s="375"/>
      <c r="L27" s="376"/>
      <c r="M27" s="1001" t="s">
        <v>2024</v>
      </c>
      <c r="N27" s="1538" t="s">
        <v>2025</v>
      </c>
      <c r="O27" s="1539"/>
      <c r="P27" s="1540"/>
      <c r="Q27" s="1541" t="s">
        <v>483</v>
      </c>
      <c r="R27" s="1542"/>
      <c r="S27" s="1102" t="s">
        <v>1005</v>
      </c>
      <c r="T27" s="291"/>
      <c r="U27" s="291"/>
    </row>
    <row r="28" spans="1:22" ht="114" customHeight="1">
      <c r="A28" s="842"/>
      <c r="B28" s="1005"/>
      <c r="C28" s="375"/>
      <c r="D28" s="375"/>
      <c r="E28" s="1006"/>
      <c r="F28" s="1010"/>
      <c r="G28" s="1008"/>
      <c r="H28" s="376"/>
      <c r="I28" s="376"/>
      <c r="J28" s="375"/>
      <c r="K28" s="375"/>
      <c r="L28" s="376"/>
      <c r="M28" s="1001" t="s">
        <v>2026</v>
      </c>
      <c r="N28" s="1531" t="s">
        <v>495</v>
      </c>
      <c r="O28" s="1532"/>
      <c r="P28" s="1533"/>
      <c r="Q28" s="1530" t="s">
        <v>437</v>
      </c>
      <c r="R28" s="1534"/>
      <c r="S28" s="1102" t="s">
        <v>438</v>
      </c>
      <c r="T28" s="291"/>
      <c r="U28" s="291"/>
    </row>
    <row r="29" spans="1:22" ht="102.75" customHeight="1">
      <c r="A29" s="843" t="s">
        <v>2027</v>
      </c>
      <c r="B29" s="1011"/>
      <c r="C29" s="1012" t="s">
        <v>2028</v>
      </c>
      <c r="D29" s="1012"/>
      <c r="E29" s="1013" t="s">
        <v>441</v>
      </c>
      <c r="F29" s="1014" t="s">
        <v>163</v>
      </c>
      <c r="G29" s="1015" t="s">
        <v>2029</v>
      </c>
      <c r="H29" s="1016"/>
      <c r="I29" s="1017"/>
      <c r="J29" s="1012"/>
      <c r="K29" s="1012"/>
      <c r="L29" s="1017"/>
      <c r="M29" s="1018" t="s">
        <v>2030</v>
      </c>
      <c r="N29" s="1543" t="s">
        <v>2031</v>
      </c>
      <c r="O29" s="1544"/>
      <c r="P29" s="1544"/>
      <c r="Q29" s="1545" t="s">
        <v>2032</v>
      </c>
      <c r="R29" s="1543"/>
      <c r="S29" s="1019" t="s">
        <v>438</v>
      </c>
    </row>
    <row r="30" spans="1:22" ht="87.75" customHeight="1">
      <c r="A30" s="407"/>
      <c r="B30" s="366"/>
      <c r="C30" s="366"/>
      <c r="D30" s="366"/>
      <c r="E30" s="407" t="s">
        <v>369</v>
      </c>
      <c r="F30" s="656" t="s">
        <v>75</v>
      </c>
      <c r="G30" s="366" t="s">
        <v>2033</v>
      </c>
      <c r="H30" s="367"/>
      <c r="I30" s="367"/>
      <c r="J30" s="366"/>
      <c r="K30" s="366"/>
      <c r="L30" s="367"/>
      <c r="M30" s="1020" t="s">
        <v>2034</v>
      </c>
      <c r="N30" s="1543" t="s">
        <v>2035</v>
      </c>
      <c r="O30" s="1544"/>
      <c r="P30" s="1544"/>
      <c r="Q30" s="1545" t="s">
        <v>2020</v>
      </c>
      <c r="R30" s="1545"/>
      <c r="S30" s="745" t="s">
        <v>438</v>
      </c>
    </row>
    <row r="31" spans="1:22" ht="75.75" customHeight="1">
      <c r="A31" s="407"/>
      <c r="B31" s="366"/>
      <c r="C31" s="366"/>
      <c r="D31" s="366"/>
      <c r="E31" s="1021" t="s">
        <v>1509</v>
      </c>
      <c r="F31" s="1022" t="s">
        <v>75</v>
      </c>
      <c r="G31" s="366"/>
      <c r="H31" s="367"/>
      <c r="I31" s="367"/>
      <c r="J31" s="366"/>
      <c r="K31" s="366"/>
      <c r="L31" s="367"/>
      <c r="M31" s="1020" t="s">
        <v>2036</v>
      </c>
      <c r="N31" s="1543" t="s">
        <v>2037</v>
      </c>
      <c r="O31" s="1544"/>
      <c r="P31" s="1544"/>
      <c r="Q31" s="1546" t="s">
        <v>2038</v>
      </c>
      <c r="R31" s="1547"/>
      <c r="S31" s="1019" t="s">
        <v>438</v>
      </c>
    </row>
    <row r="32" spans="1:22" ht="121.5" customHeight="1">
      <c r="A32" s="407"/>
      <c r="B32" s="363"/>
      <c r="C32" s="363"/>
      <c r="D32" s="363"/>
      <c r="E32" s="689"/>
      <c r="F32" s="688"/>
      <c r="G32" s="366"/>
      <c r="H32" s="367"/>
      <c r="I32" s="362"/>
      <c r="J32" s="363"/>
      <c r="K32" s="363"/>
      <c r="L32" s="362"/>
      <c r="M32" s="1018" t="s">
        <v>2039</v>
      </c>
      <c r="N32" s="1548" t="s">
        <v>495</v>
      </c>
      <c r="O32" s="1549"/>
      <c r="P32" s="1549"/>
      <c r="Q32" s="1550" t="s">
        <v>881</v>
      </c>
      <c r="R32" s="1550"/>
      <c r="S32" s="745" t="s">
        <v>438</v>
      </c>
    </row>
    <row r="33" spans="1:19" ht="74.25" customHeight="1">
      <c r="A33" s="845" t="s">
        <v>2040</v>
      </c>
      <c r="B33" s="1023"/>
      <c r="C33" s="502" t="s">
        <v>2041</v>
      </c>
      <c r="D33" s="502"/>
      <c r="E33" s="1024" t="s">
        <v>885</v>
      </c>
      <c r="F33" s="502" t="s">
        <v>75</v>
      </c>
      <c r="G33" s="1025" t="s">
        <v>2042</v>
      </c>
      <c r="H33" s="1026"/>
      <c r="I33" s="405"/>
      <c r="J33" s="356"/>
      <c r="K33" s="502"/>
      <c r="L33" s="405"/>
      <c r="M33" s="1027"/>
      <c r="N33" s="1551"/>
      <c r="O33" s="1551"/>
      <c r="P33" s="1551"/>
      <c r="Q33" s="387"/>
      <c r="R33" s="404"/>
      <c r="S33" s="1028"/>
    </row>
    <row r="34" spans="1:19" ht="96" customHeight="1">
      <c r="A34" s="845"/>
      <c r="B34" s="1023"/>
      <c r="C34" s="502"/>
      <c r="D34" s="502"/>
      <c r="E34" s="1027" t="s">
        <v>1509</v>
      </c>
      <c r="F34" s="1029" t="s">
        <v>75</v>
      </c>
      <c r="G34" s="405"/>
      <c r="H34" s="1030"/>
      <c r="I34" s="405"/>
      <c r="J34" s="356"/>
      <c r="K34" s="502"/>
      <c r="L34" s="405"/>
      <c r="M34" s="1024" t="s">
        <v>2043</v>
      </c>
      <c r="N34" s="1551" t="s">
        <v>2044</v>
      </c>
      <c r="O34" s="1551"/>
      <c r="P34" s="1551" t="s">
        <v>480</v>
      </c>
      <c r="Q34" s="1552" t="s">
        <v>2045</v>
      </c>
      <c r="R34" s="1551"/>
      <c r="S34" s="1031" t="s">
        <v>438</v>
      </c>
    </row>
    <row r="35" spans="1:19">
      <c r="A35" s="845"/>
      <c r="B35" s="1023"/>
      <c r="C35" s="502"/>
      <c r="D35" s="502"/>
      <c r="E35" s="1024"/>
      <c r="F35" s="1032"/>
      <c r="G35" s="405"/>
      <c r="H35" s="1030"/>
      <c r="I35" s="405"/>
      <c r="J35" s="356"/>
      <c r="K35" s="502"/>
      <c r="L35" s="405"/>
      <c r="M35" s="1024"/>
      <c r="N35" s="1551"/>
      <c r="O35" s="1551"/>
      <c r="P35" s="1551"/>
      <c r="Q35" s="356"/>
      <c r="R35" s="405"/>
      <c r="S35" s="1031"/>
    </row>
    <row r="36" spans="1:19">
      <c r="A36" s="845"/>
      <c r="B36" s="1023"/>
      <c r="C36" s="502"/>
      <c r="D36" s="502"/>
      <c r="E36" s="1033"/>
      <c r="F36" s="1034"/>
      <c r="G36" s="405"/>
      <c r="H36" s="1030"/>
      <c r="I36" s="405"/>
      <c r="J36" s="356"/>
      <c r="K36" s="502"/>
      <c r="L36" s="405"/>
      <c r="M36" s="1024"/>
      <c r="N36" s="1551"/>
      <c r="O36" s="1551"/>
      <c r="P36" s="1551"/>
      <c r="Q36" s="356"/>
      <c r="R36" s="405"/>
      <c r="S36" s="1031"/>
    </row>
    <row r="37" spans="1:19" ht="118.5" customHeight="1">
      <c r="A37" s="1035" t="s">
        <v>2046</v>
      </c>
      <c r="B37" s="1035"/>
      <c r="C37" s="1036" t="s">
        <v>2047</v>
      </c>
      <c r="D37" s="1036"/>
      <c r="E37" s="1037" t="s">
        <v>499</v>
      </c>
      <c r="F37" s="1037" t="s">
        <v>2048</v>
      </c>
      <c r="G37" s="1038" t="s">
        <v>501</v>
      </c>
      <c r="H37" s="1039"/>
      <c r="I37" s="1040" t="s">
        <v>2048</v>
      </c>
      <c r="J37" s="1041" t="s">
        <v>2049</v>
      </c>
      <c r="K37" s="1036"/>
      <c r="L37" s="1041"/>
      <c r="M37" s="1042" t="s">
        <v>2050</v>
      </c>
      <c r="N37" s="1520" t="s">
        <v>436</v>
      </c>
      <c r="O37" s="1520"/>
      <c r="P37" s="1553"/>
      <c r="Q37" s="1520" t="s">
        <v>437</v>
      </c>
      <c r="R37" s="1520"/>
      <c r="S37" s="1042" t="s">
        <v>438</v>
      </c>
    </row>
    <row r="38" spans="1:19" ht="90.75" customHeight="1">
      <c r="A38" s="847"/>
      <c r="B38" s="847"/>
      <c r="C38" s="1043"/>
      <c r="D38" s="1043"/>
      <c r="E38" s="1037"/>
      <c r="F38" s="1037"/>
      <c r="G38" s="1044"/>
      <c r="H38" s="1045"/>
      <c r="I38" s="1046"/>
      <c r="J38" s="1521"/>
      <c r="K38" s="1521"/>
      <c r="L38" s="1521"/>
      <c r="M38" s="1047"/>
      <c r="N38" s="1522"/>
      <c r="O38" s="1522"/>
      <c r="P38" s="1523"/>
      <c r="Q38" s="1522"/>
      <c r="R38" s="1522"/>
      <c r="S38" s="1047"/>
    </row>
    <row r="39" spans="1:19" ht="90.75" customHeight="1">
      <c r="A39" s="1524" t="s">
        <v>2051</v>
      </c>
      <c r="B39" s="1035"/>
      <c r="C39" s="1036" t="s">
        <v>2052</v>
      </c>
      <c r="D39" s="1036"/>
      <c r="E39" s="1152" t="s">
        <v>499</v>
      </c>
      <c r="F39" s="1153" t="s">
        <v>2048</v>
      </c>
      <c r="G39" s="1041" t="s">
        <v>501</v>
      </c>
      <c r="H39" s="1039"/>
      <c r="I39" s="1040" t="s">
        <v>2048</v>
      </c>
      <c r="J39" s="1041" t="s">
        <v>2049</v>
      </c>
      <c r="K39" s="1036"/>
      <c r="L39" s="1041"/>
      <c r="M39" s="1042" t="s">
        <v>2050</v>
      </c>
      <c r="N39" s="1520" t="s">
        <v>436</v>
      </c>
      <c r="O39" s="1520"/>
      <c r="P39" s="1553"/>
      <c r="Q39" s="1520" t="s">
        <v>437</v>
      </c>
      <c r="R39" s="1520"/>
      <c r="S39" s="1042" t="s">
        <v>438</v>
      </c>
    </row>
    <row r="40" spans="1:19" ht="90.75" customHeight="1">
      <c r="A40" s="1525"/>
      <c r="B40" s="847"/>
      <c r="C40" s="1043"/>
      <c r="D40" s="1043"/>
      <c r="E40" s="1154"/>
      <c r="F40" s="1155"/>
      <c r="G40" s="1156"/>
      <c r="H40" s="1045"/>
      <c r="I40" s="1046"/>
      <c r="J40" s="1521"/>
      <c r="K40" s="1521"/>
      <c r="L40" s="1521"/>
      <c r="M40" s="1047"/>
      <c r="N40" s="1522"/>
      <c r="O40" s="1522"/>
      <c r="P40" s="1523"/>
      <c r="Q40" s="1522"/>
      <c r="R40" s="1522"/>
      <c r="S40" s="1047"/>
    </row>
    <row r="41" spans="1:19" ht="117" customHeight="1">
      <c r="A41" s="849" t="s">
        <v>2053</v>
      </c>
      <c r="B41" s="1048"/>
      <c r="C41" s="1049" t="s">
        <v>2054</v>
      </c>
      <c r="D41" s="1050"/>
      <c r="E41" s="1056" t="s">
        <v>2055</v>
      </c>
      <c r="F41" s="1157" t="s">
        <v>75</v>
      </c>
      <c r="G41" s="1052" t="s">
        <v>1584</v>
      </c>
      <c r="H41" s="1053"/>
      <c r="I41" s="1052"/>
      <c r="J41" s="1051"/>
      <c r="K41" s="1050"/>
      <c r="L41" s="1054"/>
      <c r="M41" s="1055" t="s">
        <v>2026</v>
      </c>
      <c r="N41" s="1565" t="s">
        <v>495</v>
      </c>
      <c r="O41" s="1566"/>
      <c r="P41" s="1566"/>
      <c r="Q41" s="1565" t="s">
        <v>437</v>
      </c>
      <c r="R41" s="1568"/>
      <c r="S41" s="1058" t="s">
        <v>438</v>
      </c>
    </row>
    <row r="42" spans="1:19" ht="108.75" customHeight="1">
      <c r="A42" s="850"/>
      <c r="B42" s="1059"/>
      <c r="C42" s="1057"/>
      <c r="D42" s="1057"/>
      <c r="E42" s="1060"/>
      <c r="F42" s="1061"/>
      <c r="G42" s="1062"/>
      <c r="H42" s="1063"/>
      <c r="I42" s="1055"/>
      <c r="J42" s="1056"/>
      <c r="K42" s="1057"/>
      <c r="L42" s="1057"/>
      <c r="M42" s="1064" t="s">
        <v>2056</v>
      </c>
      <c r="N42" s="1563" t="s">
        <v>2057</v>
      </c>
      <c r="O42" s="1567"/>
      <c r="P42" s="1567"/>
      <c r="Q42" s="1563" t="s">
        <v>437</v>
      </c>
      <c r="R42" s="1564"/>
      <c r="S42" s="1065" t="s">
        <v>438</v>
      </c>
    </row>
    <row r="43" spans="1:19" ht="108.75" customHeight="1">
      <c r="A43" s="851"/>
      <c r="B43" s="1066"/>
      <c r="C43" s="1067"/>
      <c r="D43" s="1068"/>
      <c r="E43" s="1055" t="s">
        <v>1509</v>
      </c>
      <c r="F43" s="1069" t="s">
        <v>75</v>
      </c>
      <c r="G43" s="1060" t="s">
        <v>2058</v>
      </c>
      <c r="H43" s="1063"/>
      <c r="I43" s="1055"/>
      <c r="J43" s="1056"/>
      <c r="K43" s="1057"/>
      <c r="L43" s="1057"/>
      <c r="M43" s="1060"/>
      <c r="N43" s="1070"/>
      <c r="O43" s="1067"/>
      <c r="P43" s="1067"/>
      <c r="Q43" s="1070"/>
      <c r="R43" s="1068"/>
      <c r="S43" s="1063"/>
    </row>
    <row r="44" spans="1:19" ht="126" customHeight="1">
      <c r="A44" s="853" t="s">
        <v>2059</v>
      </c>
      <c r="B44" s="1071"/>
      <c r="C44" s="1072" t="s">
        <v>2060</v>
      </c>
      <c r="D44" s="1072"/>
      <c r="E44" s="1073" t="s">
        <v>1583</v>
      </c>
      <c r="F44" s="1074" t="s">
        <v>75</v>
      </c>
      <c r="G44" s="476" t="s">
        <v>2061</v>
      </c>
      <c r="H44" s="477"/>
      <c r="I44" s="475"/>
      <c r="J44" s="1075"/>
      <c r="K44" s="1076"/>
      <c r="L44" s="764"/>
      <c r="M44" s="1077" t="s">
        <v>2026</v>
      </c>
      <c r="N44" s="1569" t="s">
        <v>495</v>
      </c>
      <c r="O44" s="1569"/>
      <c r="P44" s="1569"/>
      <c r="Q44" s="1570" t="s">
        <v>437</v>
      </c>
      <c r="R44" s="1571"/>
      <c r="S44" s="1077" t="s">
        <v>438</v>
      </c>
    </row>
    <row r="45" spans="1:19" ht="147" customHeight="1">
      <c r="A45" s="853"/>
      <c r="B45" s="1071"/>
      <c r="C45" s="1072"/>
      <c r="D45" s="766"/>
      <c r="E45" s="1079" t="s">
        <v>1593</v>
      </c>
      <c r="F45" s="475" t="s">
        <v>75</v>
      </c>
      <c r="G45" s="474" t="s">
        <v>2062</v>
      </c>
      <c r="H45" s="475"/>
      <c r="I45" s="765"/>
      <c r="J45" s="1078"/>
      <c r="K45" s="1072"/>
      <c r="L45" s="1072"/>
      <c r="M45" s="475" t="s">
        <v>2056</v>
      </c>
      <c r="N45" s="1561" t="s">
        <v>2057</v>
      </c>
      <c r="O45" s="1562"/>
      <c r="P45" s="1562"/>
      <c r="Q45" s="1561" t="s">
        <v>437</v>
      </c>
      <c r="R45" s="1562"/>
      <c r="S45" s="474" t="s">
        <v>438</v>
      </c>
    </row>
    <row r="46" spans="1:19" ht="147" customHeight="1">
      <c r="A46" s="854"/>
      <c r="B46" s="1080"/>
      <c r="C46" s="1081"/>
      <c r="D46" s="1082"/>
      <c r="E46" s="1083" t="s">
        <v>1509</v>
      </c>
      <c r="F46" s="1084" t="s">
        <v>75</v>
      </c>
      <c r="G46" s="475" t="s">
        <v>2063</v>
      </c>
      <c r="H46" s="1084"/>
      <c r="I46" s="477"/>
      <c r="J46" s="1085"/>
      <c r="K46" s="1081"/>
      <c r="L46" s="1081"/>
      <c r="M46" s="477"/>
      <c r="N46" s="1085"/>
      <c r="O46" s="1081"/>
      <c r="P46" s="1081"/>
      <c r="Q46" s="1085"/>
      <c r="R46" s="1081"/>
      <c r="S46" s="476"/>
    </row>
    <row r="47" spans="1:19" ht="108.75" customHeight="1">
      <c r="A47" s="1086" t="s">
        <v>2064</v>
      </c>
      <c r="B47" s="1087"/>
      <c r="C47" s="560" t="s">
        <v>2065</v>
      </c>
      <c r="D47" s="1088"/>
      <c r="E47" s="1089" t="s">
        <v>1509</v>
      </c>
      <c r="F47" s="447" t="s">
        <v>75</v>
      </c>
      <c r="G47" s="446" t="s">
        <v>2066</v>
      </c>
      <c r="H47" s="448"/>
      <c r="I47" s="1090"/>
      <c r="J47" s="560"/>
      <c r="K47" s="560"/>
      <c r="L47" s="560"/>
      <c r="M47" s="1091" t="s">
        <v>2067</v>
      </c>
      <c r="N47" s="1554" t="s">
        <v>495</v>
      </c>
      <c r="O47" s="1554"/>
      <c r="P47" s="1555"/>
      <c r="Q47" s="1556" t="s">
        <v>437</v>
      </c>
      <c r="R47" s="1557"/>
      <c r="S47" s="1089" t="s">
        <v>438</v>
      </c>
    </row>
    <row r="48" spans="1:19" ht="120" customHeight="1">
      <c r="A48" s="1094"/>
      <c r="B48" s="1095"/>
      <c r="C48" s="1092"/>
      <c r="D48" s="1093"/>
      <c r="E48" s="1096" t="s">
        <v>1513</v>
      </c>
      <c r="F48" s="447" t="s">
        <v>75</v>
      </c>
      <c r="G48" s="447" t="s">
        <v>2068</v>
      </c>
      <c r="H48" s="449"/>
      <c r="I48" s="1097"/>
      <c r="J48" s="1098"/>
      <c r="K48" s="1098"/>
      <c r="L48" s="1099"/>
      <c r="M48" s="1096" t="s">
        <v>2056</v>
      </c>
      <c r="N48" s="1558" t="s">
        <v>2057</v>
      </c>
      <c r="O48" s="1558"/>
      <c r="P48" s="1558"/>
      <c r="Q48" s="1559" t="s">
        <v>437</v>
      </c>
      <c r="R48" s="1560"/>
      <c r="S48" s="1100" t="s">
        <v>438</v>
      </c>
    </row>
  </sheetData>
  <mergeCells count="51">
    <mergeCell ref="N47:P47"/>
    <mergeCell ref="Q47:R47"/>
    <mergeCell ref="N48:P48"/>
    <mergeCell ref="Q48:R48"/>
    <mergeCell ref="J38:L38"/>
    <mergeCell ref="N38:P38"/>
    <mergeCell ref="Q38:R38"/>
    <mergeCell ref="N45:P45"/>
    <mergeCell ref="Q42:R42"/>
    <mergeCell ref="Q45:R45"/>
    <mergeCell ref="N41:P41"/>
    <mergeCell ref="N42:P42"/>
    <mergeCell ref="Q41:R41"/>
    <mergeCell ref="N44:P44"/>
    <mergeCell ref="Q44:R44"/>
    <mergeCell ref="N39:P39"/>
    <mergeCell ref="N34:P34"/>
    <mergeCell ref="Q34:R34"/>
    <mergeCell ref="N35:P35"/>
    <mergeCell ref="N36:P36"/>
    <mergeCell ref="N37:P37"/>
    <mergeCell ref="Q37:R37"/>
    <mergeCell ref="N31:P31"/>
    <mergeCell ref="Q31:R31"/>
    <mergeCell ref="N32:P32"/>
    <mergeCell ref="Q32:R32"/>
    <mergeCell ref="N33:P33"/>
    <mergeCell ref="N27:P27"/>
    <mergeCell ref="Q27:R27"/>
    <mergeCell ref="N29:P29"/>
    <mergeCell ref="Q29:R29"/>
    <mergeCell ref="N30:P30"/>
    <mergeCell ref="Q30:R30"/>
    <mergeCell ref="Q28:R28"/>
    <mergeCell ref="N28:P28"/>
    <mergeCell ref="N24:P24"/>
    <mergeCell ref="Q24:R24"/>
    <mergeCell ref="N25:P25"/>
    <mergeCell ref="Q25:R25"/>
    <mergeCell ref="N26:P26"/>
    <mergeCell ref="Q26:R26"/>
    <mergeCell ref="A1:T1"/>
    <mergeCell ref="B2:T2"/>
    <mergeCell ref="B3:T3"/>
    <mergeCell ref="A16:C16"/>
    <mergeCell ref="Q23:R23"/>
    <mergeCell ref="Q39:R39"/>
    <mergeCell ref="J40:L40"/>
    <mergeCell ref="N40:P40"/>
    <mergeCell ref="Q40:R40"/>
    <mergeCell ref="A39:A40"/>
  </mergeCells>
  <conditionalFormatting sqref="M24:N28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allowBlank="1" showInputMessage="1" showErrorMessage="1" sqref="H5:I6 I11:I13 H7:H13" xr:uid="{C9F2FBFD-5FFB-4B66-85A2-CEC982F6E3F0}"/>
  </dataValidations>
  <hyperlinks>
    <hyperlink ref="A1" location="'Objetos de Dominio'!A1" display="Volver al inicio" xr:uid="{BCC566C5-ABCF-49DE-816C-BDD0610A133B}"/>
    <hyperlink ref="A1:T1" location="'Listado Objetos de Dominio'!A1" display="&lt;-Volver al inicio" xr:uid="{49B3DF28-7241-499B-9F45-387BDC249F46}"/>
    <hyperlink ref="C18" location="'Usuario Caracterización '!A10" display="=A10" xr:uid="{3C457C87-EE0F-4C2B-AD82-7AA4E9968CB1}"/>
    <hyperlink ref="A18" location="'Rango Cilindaje Caracterización'!A6" display="=A6" xr:uid="{AA404C22-2B69-449E-BF73-71CD18096E58}"/>
    <hyperlink ref="B7" location="'Linea Caracterización'!B2" display="Alfanumérico" xr:uid="{089F90BB-8B6F-4595-9DA5-C260F8FD20C2}"/>
    <hyperlink ref="B9" location="'Rango Cilindaje Caracterización'!B2" display="Alfanumérico" xr:uid="{51205CFA-04BB-44DB-8C9C-A865BF691CBF}"/>
    <hyperlink ref="C19" location="'Usuario Caracterización '!A11" display="=A11" xr:uid="{ADEC3723-9D8C-40DA-8319-EF668E2CF8C7}"/>
    <hyperlink ref="B10:B11" location="'Rango Cilindaje Caracterización'!B2" display="Alfanumérico" xr:uid="{4F6F52D5-91F1-4BB6-A5FB-D248B036FC61}"/>
    <hyperlink ref="C20" location="'Usuario Caracterización '!A6" display="=A6" xr:uid="{A75A807E-8133-4DEC-9934-5C9D9CA1CF81}"/>
    <hyperlink ref="H10" r:id="rId1" xr:uid="{16064DD3-6C70-4C42-AFAA-099AF21D6280}"/>
    <hyperlink ref="B12" location="'Rango Cilindaje Caracterización'!B2" display="Alfanumérico" xr:uid="{94CF44A7-61A0-4639-87C6-0FB4A047A8D2}"/>
    <hyperlink ref="B13" location="'Rango Cilindaje Caracterización'!B2" display="Alfanumérico" xr:uid="{B7BB3C29-14D5-40F6-A08D-58CFBEA32E79}"/>
    <hyperlink ref="B14" location="'Rango Cilindaje Caracterización'!B2" display="Alfanumérico" xr:uid="{C6B96842-E3BA-4542-8B42-9D6E069AC48B}"/>
    <hyperlink ref="H37" location="'Tipo Relación Institución'!A6" display="'Tipo Relación Institución'!A6" xr:uid="{D7675D6A-588D-4CD5-AB9B-C95D2C8CB1F8}"/>
    <hyperlink ref="A29:B29" location="'Objeto Dominio 2'!R4" display="Reponsabilidad 2" xr:uid="{888D8E32-2092-4CA0-AACB-7A2B996013FD}"/>
    <hyperlink ref="A24:B24" location="'Objeto Dominio 2'!Q4" display="Reponsabilidad 1" xr:uid="{B8AE08D4-F94B-4AF6-AA66-A4DD67231350}"/>
    <hyperlink ref="A37:B37" location="'Objeto Dominio 2'!T4" display="Reponsabilidad 4" xr:uid="{4A48D525-6C18-4887-8E01-8209807130FA}"/>
    <hyperlink ref="A33:B33" location="'Objeto Dominio 2'!S4" display="Reponsabilidad 3" xr:uid="{B8B7C15D-38A9-4423-B6B9-48ABFC33CF70}"/>
    <hyperlink ref="V4" location="'Objeto Dominio 2'!A17" display="'Objeto Dominio 2'!A17" xr:uid="{766AA490-5CBC-4D9B-B75C-7CB3BF34D14F}"/>
    <hyperlink ref="W4" location="'Objeto Dominio 2'!A18" display="'Objeto Dominio 2'!A18" xr:uid="{CE43F789-6985-4254-84A0-CF85F913EFA7}"/>
    <hyperlink ref="X4" location="'Objeto Dominio 2'!A19" display="'Objeto Dominio 2'!A19" xr:uid="{297AA470-8069-4B16-B9D2-3693FC4FE4FE}"/>
    <hyperlink ref="U4" location="'Objeto Dominio 2'!A16" display="'Objeto Dominio 2'!A16" xr:uid="{0997CB9E-F3AC-4B33-A904-B8005937FD52}"/>
    <hyperlink ref="Z4" location="'Representante Sede Caracterizac'!A40" display="=A40" xr:uid="{74B2004D-B3BA-4523-8B91-2F340959C3E0}"/>
    <hyperlink ref="H39" location="'Tipo Relación Institución'!A6" display="'Tipo Relación Institución'!A6" xr:uid="{83547A1C-B9CA-4B5E-BB16-CF93FCC623E6}"/>
    <hyperlink ref="A39:B39" location="'Objeto Dominio 2'!T4" display="Reponsabilidad 4" xr:uid="{5DD24AAD-D61A-47B9-B9BD-639F62B9153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custom" allowBlank="1" showInputMessage="1" showErrorMessage="1" xr:uid="{AD2A4CFB-5196-4257-A74E-B1A5768ED0C2}">
          <x14:formula1>
            <xm:f>Caracterizacion!$F$3</xm:f>
          </x14:formula1>
          <xm:sqref>J5</xm:sqref>
        </x14:dataValidation>
        <x14:dataValidation type="list" allowBlank="1" showInputMessage="1" showErrorMessage="1" xr:uid="{E29A8F71-9B9E-4819-AB58-E6EA091AE60A}">
          <x14:formula1>
            <xm:f>Caracterizacion!$H$3:$H$4</xm:f>
          </x14:formula1>
          <xm:sqref>L5:S14</xm:sqref>
        </x14:dataValidation>
        <x14:dataValidation type="list" allowBlank="1" showInputMessage="1" showErrorMessage="1" xr:uid="{C8CEE602-936E-4736-BEF4-316D7526A2A7}">
          <x14:formula1>
            <xm:f>Caracterizacion!$D$3:$D$8</xm:f>
          </x14:formula1>
          <xm:sqref>F5:G14</xm:sqref>
        </x14:dataValidation>
        <x14:dataValidation type="list" allowBlank="1" showInputMessage="1" showErrorMessage="1" xr:uid="{6450E3E3-DB38-4DAB-95E4-6E7860E28D19}">
          <x14:formula1>
            <xm:f>Caracterizacion!$C$3:$C$18</xm:f>
          </x14:formula1>
          <xm:sqref>E5:E14</xm:sqref>
        </x14:dataValidation>
        <x14:dataValidation type="list" allowBlank="1" showInputMessage="1" showErrorMessage="1" xr:uid="{F89776EF-1B2A-43E9-938D-379E60A1AD65}">
          <x14:formula1>
            <xm:f>Caracterizacion!$A$3:$A$14</xm:f>
          </x14:formula1>
          <xm:sqref>B5</xm:sqref>
        </x14:dataValidation>
        <x14:dataValidation type="list" allowBlank="1" showInputMessage="1" showErrorMessage="1" xr:uid="{5435D6FE-6CDD-46D7-ACF9-344D73A983C9}">
          <x14:formula1>
            <xm:f>Caracterizacion!$A$3:$A$40</xm:f>
          </x14:formula1>
          <xm:sqref>B6:B14</xm:sqref>
        </x14:dataValidation>
        <x14:dataValidation type="list" allowBlank="1" showInputMessage="1" showErrorMessage="1" xr:uid="{69DA3B96-623A-4A3E-B170-A150F5FB0B1D}">
          <x14:formula1>
            <xm:f>Caracterizacion!$B$4:$B$505</xm:f>
          </x14:formula1>
          <xm:sqref>C5:D14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dimension ref="A1:T19"/>
  <sheetViews>
    <sheetView zoomScale="70" zoomScaleNormal="70" workbookViewId="0">
      <selection activeCell="S29" sqref="S29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16.85546875" style="1" bestFit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0.140625" style="1" bestFit="1" customWidth="1"/>
    <col min="20" max="20" width="66.85546875" style="1" bestFit="1" customWidth="1"/>
    <col min="21" max="21" width="52.28515625" style="1" bestFit="1" customWidth="1"/>
    <col min="22" max="16384" width="11.42578125" style="1"/>
  </cols>
  <sheetData>
    <row r="1" spans="1:20">
      <c r="A1" s="1185" t="s">
        <v>390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5"/>
    </row>
    <row r="2" spans="1:20">
      <c r="A2" s="4" t="s">
        <v>391</v>
      </c>
      <c r="B2" s="1186" t="str">
        <f>'Listado Objetos de Dominio'!$A$4</f>
        <v>Categoría</v>
      </c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</row>
    <row r="3" spans="1:20" ht="15.75" thickBot="1">
      <c r="A3" s="4" t="s">
        <v>392</v>
      </c>
      <c r="B3" s="1187">
        <f>'Listado Objetos de Dominio'!$E$13</f>
        <v>11</v>
      </c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</row>
    <row r="4" spans="1:20">
      <c r="A4" s="8" t="s">
        <v>393</v>
      </c>
      <c r="B4" s="9" t="s">
        <v>66</v>
      </c>
      <c r="C4" s="9" t="s">
        <v>394</v>
      </c>
      <c r="D4" s="9" t="s">
        <v>395</v>
      </c>
      <c r="E4" s="9" t="s">
        <v>68</v>
      </c>
      <c r="F4" s="9" t="s">
        <v>396</v>
      </c>
      <c r="G4" s="9" t="s">
        <v>397</v>
      </c>
      <c r="H4" s="9" t="s">
        <v>70</v>
      </c>
      <c r="I4" s="9" t="s">
        <v>71</v>
      </c>
      <c r="J4" s="9" t="s">
        <v>72</v>
      </c>
      <c r="K4" s="9" t="s">
        <v>401</v>
      </c>
      <c r="L4" s="9" t="s">
        <v>402</v>
      </c>
      <c r="M4" s="9" t="s">
        <v>403</v>
      </c>
      <c r="N4" s="9" t="s">
        <v>404</v>
      </c>
      <c r="O4" s="9" t="s">
        <v>405</v>
      </c>
      <c r="P4" s="10" t="s">
        <v>2</v>
      </c>
      <c r="Q4" s="37" t="str">
        <f>A16</f>
        <v>Reponsabilidad 1</v>
      </c>
      <c r="R4" s="35" t="str">
        <f>A17</f>
        <v>Reponsabilidad 2</v>
      </c>
      <c r="S4" s="36" t="str">
        <f>A18</f>
        <v>Reponsabilidad 3</v>
      </c>
      <c r="T4" s="2" t="str">
        <f>A19</f>
        <v>Reponsabilidad 4</v>
      </c>
    </row>
    <row r="5" spans="1:20">
      <c r="A5" s="11"/>
      <c r="B5" s="5"/>
      <c r="C5" s="5"/>
      <c r="D5" s="5"/>
      <c r="E5" s="5"/>
      <c r="F5" s="5"/>
      <c r="G5" s="5"/>
      <c r="H5" s="5"/>
      <c r="I5" s="5"/>
      <c r="J5" s="13"/>
      <c r="K5" s="12"/>
      <c r="L5" s="5"/>
      <c r="M5" s="5"/>
      <c r="N5" s="5"/>
      <c r="O5" s="5"/>
      <c r="P5" s="7"/>
      <c r="Q5" s="34"/>
      <c r="R5" s="23"/>
      <c r="S5" s="28"/>
      <c r="T5" s="31"/>
    </row>
    <row r="6" spans="1:20">
      <c r="A6" s="11"/>
      <c r="B6" s="5"/>
      <c r="C6" s="5"/>
      <c r="D6" s="5"/>
      <c r="E6" s="5"/>
      <c r="F6" s="5"/>
      <c r="G6" s="5"/>
      <c r="H6" s="5"/>
      <c r="I6" s="5"/>
      <c r="J6" s="13"/>
      <c r="K6" s="12"/>
      <c r="L6" s="5"/>
      <c r="M6" s="5"/>
      <c r="N6" s="5"/>
      <c r="O6" s="5"/>
      <c r="P6" s="7"/>
      <c r="Q6" s="34"/>
      <c r="R6" s="23"/>
      <c r="S6" s="28"/>
      <c r="T6" s="31"/>
    </row>
    <row r="7" spans="1:20">
      <c r="A7" s="11"/>
      <c r="B7" s="5"/>
      <c r="C7" s="5"/>
      <c r="D7" s="5"/>
      <c r="E7" s="5"/>
      <c r="F7" s="5"/>
      <c r="G7" s="5"/>
      <c r="H7" s="5"/>
      <c r="I7" s="5"/>
      <c r="J7" s="6"/>
      <c r="K7" s="5"/>
      <c r="L7" s="5"/>
      <c r="M7" s="5"/>
      <c r="N7" s="5"/>
      <c r="O7" s="5"/>
      <c r="P7" s="7"/>
      <c r="Q7" s="34"/>
      <c r="R7" s="23"/>
      <c r="S7" s="28"/>
      <c r="T7" s="31"/>
    </row>
    <row r="8" spans="1:20">
      <c r="A8" s="11"/>
      <c r="B8" s="5"/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7"/>
      <c r="Q8" s="34"/>
      <c r="R8" s="23"/>
      <c r="S8" s="28"/>
      <c r="T8" s="31"/>
    </row>
    <row r="9" spans="1:20" ht="15.75" thickBot="1"/>
    <row r="10" spans="1:20">
      <c r="A10" s="1188" t="s">
        <v>414</v>
      </c>
      <c r="B10" s="1189"/>
      <c r="C10" s="1190"/>
    </row>
    <row r="11" spans="1:20">
      <c r="A11" s="17" t="s">
        <v>415</v>
      </c>
      <c r="B11" s="16" t="s">
        <v>2</v>
      </c>
      <c r="C11" s="18" t="s">
        <v>416</v>
      </c>
    </row>
    <row r="12" spans="1:20" ht="39" customHeight="1" thickBot="1">
      <c r="A12" s="14"/>
      <c r="B12" s="15"/>
      <c r="C12" s="38"/>
    </row>
    <row r="13" spans="1:20" ht="15.75" thickBot="1"/>
    <row r="14" spans="1:20">
      <c r="A14" s="1581" t="s">
        <v>419</v>
      </c>
      <c r="B14" s="1572"/>
      <c r="C14" s="1572" t="s">
        <v>2</v>
      </c>
      <c r="D14" s="1572"/>
      <c r="E14" s="1572"/>
      <c r="F14" s="1572"/>
      <c r="G14" s="1572" t="s">
        <v>420</v>
      </c>
      <c r="H14" s="1572"/>
      <c r="I14" s="1572"/>
      <c r="J14" s="1572" t="s">
        <v>421</v>
      </c>
      <c r="K14" s="1572"/>
      <c r="L14" s="1572"/>
      <c r="M14" s="1572"/>
      <c r="N14" s="1572"/>
      <c r="O14" s="1572" t="s">
        <v>422</v>
      </c>
      <c r="P14" s="1572"/>
      <c r="Q14" s="1572" t="s">
        <v>474</v>
      </c>
      <c r="R14" s="1573"/>
    </row>
    <row r="15" spans="1:20">
      <c r="A15" s="1582"/>
      <c r="B15" s="1574"/>
      <c r="C15" s="1574"/>
      <c r="D15" s="1574"/>
      <c r="E15" s="1574"/>
      <c r="F15" s="1574"/>
      <c r="G15" s="19" t="s">
        <v>423</v>
      </c>
      <c r="H15" s="19" t="s">
        <v>424</v>
      </c>
      <c r="I15" s="19" t="s">
        <v>2</v>
      </c>
      <c r="J15" s="19" t="s">
        <v>66</v>
      </c>
      <c r="K15" s="1574" t="s">
        <v>2</v>
      </c>
      <c r="L15" s="1574"/>
      <c r="M15" s="1574"/>
      <c r="N15" s="1574"/>
      <c r="O15" s="19" t="s">
        <v>425</v>
      </c>
      <c r="P15" s="19" t="s">
        <v>2</v>
      </c>
      <c r="Q15" s="19" t="s">
        <v>426</v>
      </c>
      <c r="R15" s="25" t="s">
        <v>427</v>
      </c>
    </row>
    <row r="16" spans="1:20">
      <c r="A16" s="1575" t="s">
        <v>2069</v>
      </c>
      <c r="B16" s="1209"/>
      <c r="C16" s="1576"/>
      <c r="D16" s="1576"/>
      <c r="E16" s="1576"/>
      <c r="F16" s="1576"/>
      <c r="G16" s="20"/>
      <c r="H16" s="21"/>
      <c r="I16" s="22"/>
      <c r="J16" s="21"/>
      <c r="K16" s="1576"/>
      <c r="L16" s="1576"/>
      <c r="M16" s="1576"/>
      <c r="N16" s="1576"/>
      <c r="O16" s="20"/>
      <c r="P16" s="20"/>
      <c r="Q16" s="20"/>
      <c r="R16" s="26"/>
    </row>
    <row r="17" spans="1:18">
      <c r="A17" s="1577" t="s">
        <v>2070</v>
      </c>
      <c r="B17" s="1578"/>
      <c r="C17" s="1579"/>
      <c r="D17" s="1579"/>
      <c r="E17" s="1579"/>
      <c r="F17" s="1579"/>
      <c r="G17" s="46"/>
      <c r="H17" s="44"/>
      <c r="I17" s="45"/>
      <c r="J17" s="39"/>
      <c r="K17" s="1580"/>
      <c r="L17" s="1580"/>
      <c r="M17" s="1580"/>
      <c r="N17" s="1580"/>
      <c r="O17" s="23"/>
      <c r="P17" s="24"/>
      <c r="Q17" s="24"/>
      <c r="R17" s="27"/>
    </row>
    <row r="18" spans="1:18">
      <c r="A18" s="1588" t="s">
        <v>2071</v>
      </c>
      <c r="B18" s="1589"/>
      <c r="C18" s="1590"/>
      <c r="D18" s="1590"/>
      <c r="E18" s="1590"/>
      <c r="F18" s="1590"/>
      <c r="G18" s="42"/>
      <c r="H18" s="40"/>
      <c r="I18" s="41"/>
      <c r="J18" s="43"/>
      <c r="K18" s="1583"/>
      <c r="L18" s="1583"/>
      <c r="M18" s="1583"/>
      <c r="N18" s="1583"/>
      <c r="O18" s="28"/>
      <c r="P18" s="29"/>
      <c r="Q18" s="29"/>
      <c r="R18" s="30"/>
    </row>
    <row r="19" spans="1:18">
      <c r="A19" s="1584" t="s">
        <v>2072</v>
      </c>
      <c r="B19" s="1585"/>
      <c r="C19" s="1586"/>
      <c r="D19" s="1586"/>
      <c r="E19" s="1586"/>
      <c r="F19" s="1586"/>
      <c r="G19" s="48"/>
      <c r="H19" s="49"/>
      <c r="I19" s="47"/>
      <c r="J19" s="48"/>
      <c r="K19" s="1587"/>
      <c r="L19" s="1587"/>
      <c r="M19" s="1587"/>
      <c r="N19" s="1587"/>
      <c r="O19" s="31"/>
      <c r="P19" s="32"/>
      <c r="Q19" s="32"/>
      <c r="R19" s="33"/>
    </row>
  </sheetData>
  <mergeCells count="23">
    <mergeCell ref="K18:N18"/>
    <mergeCell ref="A19:B19"/>
    <mergeCell ref="C19:F19"/>
    <mergeCell ref="K19:N19"/>
    <mergeCell ref="A18:B18"/>
    <mergeCell ref="C18:F18"/>
    <mergeCell ref="A17:B17"/>
    <mergeCell ref="C17:F17"/>
    <mergeCell ref="K17:N17"/>
    <mergeCell ref="A14:B15"/>
    <mergeCell ref="C14:F15"/>
    <mergeCell ref="G14:I14"/>
    <mergeCell ref="J14:N14"/>
    <mergeCell ref="Q14:R14"/>
    <mergeCell ref="K15:N15"/>
    <mergeCell ref="A16:B16"/>
    <mergeCell ref="C16:F16"/>
    <mergeCell ref="K16:N16"/>
    <mergeCell ref="A1:P1"/>
    <mergeCell ref="B2:P2"/>
    <mergeCell ref="B3:P3"/>
    <mergeCell ref="A10:C10"/>
    <mergeCell ref="O14:P14"/>
  </mergeCells>
  <hyperlinks>
    <hyperlink ref="A1" location="'Objetos de Dominio'!A1" display="Volver al inicio" xr:uid="{0B6B7A21-4F42-4461-B988-DE8CBBB8B21F}"/>
    <hyperlink ref="H19" location="'Tipo Relación Institución'!A6" display="'Tipo Relación Institución'!A6" xr:uid="{A29B7F90-D824-4DAD-9FA9-495F9A36C796}"/>
    <hyperlink ref="R4" location="'Objeto Dominio N'!A17" display="'Objeto Dominio N'!A17" xr:uid="{E9D8D2B5-1A04-41BF-9815-B2A1291CEA12}"/>
    <hyperlink ref="S4" location="'Objeto Dominio N'!A18" display="'Objeto Dominio N'!A18" xr:uid="{43D6E7D0-C1EE-421C-81D4-88BA062E1DD3}"/>
    <hyperlink ref="T4" location="'Objeto Dominio N'!A19" display="'Objeto Dominio N'!A19" xr:uid="{DFFE25A9-85CA-4C20-92B1-340B3519D7CB}"/>
    <hyperlink ref="A17:B17" location="'Objeto Dominio N'!R4" display="Reponsabilidad 2" xr:uid="{CC437FE8-5439-4F9D-A213-37CD4CE40D61}"/>
    <hyperlink ref="A16:B16" location="'Objeto Dominio N'!Q4" display="Reponsabilidad 1" xr:uid="{569A762E-ABC8-4F9E-B1BC-206CEE185870}"/>
    <hyperlink ref="A19:B19" location="'Objeto Dominio N'!T4" display="Reponsabilidad 4" xr:uid="{8F16CC7B-78EA-40A1-B4A4-EFB8DF25A1CD}"/>
    <hyperlink ref="Q4" location="'Objeto Dominio N'!A16" display="'Objeto Dominio N'!A16" xr:uid="{1669EBF2-84DE-4EDB-8C3B-38EB8B625A26}"/>
    <hyperlink ref="A1:P1" location="'Listado Objetos de Dominio'!A1" display="&lt;-Volver al inicio" xr:uid="{BCAD9F6E-1607-4E0B-B462-EB54499EDC59}"/>
    <hyperlink ref="A18:B18" location="'Objeto Dominio N'!S4" display="Reponsabilidad 3" xr:uid="{4AEC65EE-67F5-4704-BC31-8B093F6B432C}"/>
  </hyperlinks>
  <pageMargins left="0.7" right="0.7" top="0.75" bottom="0.75" header="0.3" footer="0.3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1736-F7EB-4414-835D-FB99EB3EABE9}">
  <dimension ref="A1"/>
  <sheetViews>
    <sheetView topLeftCell="A16" workbookViewId="0"/>
  </sheetViews>
  <sheetFormatPr defaultRowHeight="15"/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B56C-50AF-4622-AF15-7BA47DFE3D56}">
  <dimension ref="A1"/>
  <sheetViews>
    <sheetView workbookViewId="0">
      <selection activeCell="AB21" sqref="AB21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38022-656B-4A1B-A485-51A1972238BD}"/>
</file>

<file path=customXml/itemProps2.xml><?xml version="1.0" encoding="utf-8"?>
<ds:datastoreItem xmlns:ds="http://schemas.openxmlformats.org/officeDocument/2006/customXml" ds:itemID="{F22F25C1-E14D-4C75-BD49-F16090FCD083}"/>
</file>

<file path=customXml/itemProps3.xml><?xml version="1.0" encoding="utf-8"?>
<ds:datastoreItem xmlns:ds="http://schemas.openxmlformats.org/officeDocument/2006/customXml" ds:itemID="{6724C681-8A04-4D66-BB1C-57F7466573C0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2023-03-15T04:00:09Z</dcterms:created>
  <dcterms:modified xsi:type="dcterms:W3CDTF">2026-02-08T16:05:08Z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