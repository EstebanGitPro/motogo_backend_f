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202" documentId="13_ncr:1_{DA4F7EDE-002B-447A-9232-E45CAE8BFCA8}" xr6:coauthVersionLast="47" xr6:coauthVersionMax="47" xr10:uidLastSave="{C9E7740C-4B6E-42BB-AC5B-015569E992CA}"/>
  <bookViews>
    <workbookView xWindow="-120" yWindow="-120" windowWidth="20640" windowHeight="11160" firstSheet="2" activeTab="24" xr2:uid="{59653BFD-5B7C-4315-9D96-3FD5833491E5}"/>
  </bookViews>
  <sheets>
    <sheet name="MER" sheetId="1" r:id="rId1"/>
    <sheet name="Entidades" sheetId="2" r:id="rId2"/>
    <sheet name="Persons" sheetId="3" r:id="rId3"/>
    <sheet name="Valores" sheetId="4" state="hidden" r:id="rId4"/>
    <sheet name="system_messages" sheetId="5" r:id="rId5"/>
    <sheet name="departments" sheetId="6" r:id="rId6"/>
    <sheet name="cities" sheetId="7" r:id="rId7"/>
    <sheet name="brands" sheetId="8" r:id="rId8"/>
    <sheet name="franchises" sheetId="9" r:id="rId9"/>
    <sheet name="branches" sheetId="10" r:id="rId10"/>
    <sheet name="branch_brands" sheetId="11" r:id="rId11"/>
    <sheet name="branch_displacement_ranges" sheetId="12" r:id="rId12"/>
    <sheet name="locations" sheetId="13" r:id="rId13"/>
    <sheet name="branch_schedules" sheetId="14" r:id="rId14"/>
    <sheet name="schedule_details" sheetId="15" r:id="rId15"/>
    <sheet name="services" sheetId="16" r:id="rId16"/>
    <sheet name="branch_services" sheetId="17" r:id="rId17"/>
    <sheet name="motorcycle_references" sheetId="18" r:id="rId18"/>
    <sheet name="motorcycles" sheetId="19" r:id="rId19"/>
    <sheet name="motorcycle_evidence" sheetId="20" r:id="rId20"/>
    <sheet name="diagnostics" sheetId="21" r:id="rId21"/>
    <sheet name="motorcycle_diagnostic_permissio" sheetId="22" r:id="rId22"/>
    <sheet name="completed_services" sheetId="23" r:id="rId23"/>
    <sheet name="completed_service_items" sheetId="24" r:id="rId24"/>
    <sheet name="service_status_transitions" sheetId="25" r:id="rId25"/>
  </sheets>
  <definedNames>
    <definedName name="_xlnm._FilterDatabase" localSheetId="10" hidden="1">branch_brands!$A$5:$A$6</definedName>
    <definedName name="_xlnm._FilterDatabase" localSheetId="11" hidden="1">branch_displacement_ranges!$A$5:$A$6</definedName>
    <definedName name="_xlnm._FilterDatabase" localSheetId="13" hidden="1">branch_schedules!$A$5:$A$6</definedName>
    <definedName name="_xlnm._FilterDatabase" localSheetId="16" hidden="1">branch_services!$A$5:$A$6</definedName>
    <definedName name="_xlnm._FilterDatabase" localSheetId="9" hidden="1">branches!$A$5:$A$6</definedName>
    <definedName name="_xlnm._FilterDatabase" localSheetId="7" hidden="1">brands!$A$5:$A$6</definedName>
    <definedName name="_xlnm._FilterDatabase" localSheetId="6" hidden="1">cities!$A$5:$A$6</definedName>
    <definedName name="_xlnm._FilterDatabase" localSheetId="23" hidden="1">completed_service_items!$A$5:$A$6</definedName>
    <definedName name="_xlnm._FilterDatabase" localSheetId="22" hidden="1">completed_services!$A$5:$A$6</definedName>
    <definedName name="_xlnm._FilterDatabase" localSheetId="5" hidden="1">departments!$A$5:$A$6</definedName>
    <definedName name="_xlnm._FilterDatabase" localSheetId="20" hidden="1">diagnostics!$A$5:$A$6</definedName>
    <definedName name="_xlnm._FilterDatabase" localSheetId="8" hidden="1">franchises!$A$5:$A$6</definedName>
    <definedName name="_xlnm._FilterDatabase" localSheetId="12" hidden="1">locations!$A$5:$A$6</definedName>
    <definedName name="_xlnm._FilterDatabase" localSheetId="24" hidden="1">service_status_transitions!$A$5:$A$6</definedName>
    <definedName name="_xlnm._FilterDatabase" localSheetId="21" hidden="1">motorcycle_diagnostic_permissio!$A$5:$A$6</definedName>
    <definedName name="_xlnm._FilterDatabase" localSheetId="19" hidden="1">motorcycle_evidence!$A$5:$A$6</definedName>
    <definedName name="_xlnm._FilterDatabase" localSheetId="17" hidden="1">motorcycle_references!$A$5:$A$6</definedName>
    <definedName name="_xlnm._FilterDatabase" localSheetId="18" hidden="1">motorcycles!$A$5:$A$6</definedName>
    <definedName name="_xlnm._FilterDatabase" localSheetId="2" hidden="1">Persons!$A$5:$A$6</definedName>
    <definedName name="_xlnm._FilterDatabase" localSheetId="14" hidden="1">schedule_details!$A$5:$A$6</definedName>
    <definedName name="_xlnm._FilterDatabase" localSheetId="15" hidden="1">services!$A$5:$A$6</definedName>
    <definedName name="_xlnm._FilterDatabase" localSheetId="4" hidden="1">system_messages!$A$5:$A$6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5" l="1"/>
  <c r="B2" i="25"/>
  <c r="A3" i="25"/>
  <c r="A2" i="25"/>
  <c r="B3" i="24"/>
  <c r="B2" i="24"/>
  <c r="A3" i="24"/>
  <c r="A2" i="24"/>
  <c r="B3" i="23"/>
  <c r="B2" i="23"/>
  <c r="A3" i="23"/>
  <c r="A2" i="23"/>
  <c r="B3" i="22"/>
  <c r="B2" i="22"/>
  <c r="A3" i="22"/>
  <c r="A2" i="22"/>
  <c r="B3" i="21"/>
  <c r="B2" i="21"/>
  <c r="A3" i="21"/>
  <c r="A2" i="21"/>
  <c r="B3" i="20"/>
  <c r="B2" i="20"/>
  <c r="A3" i="20"/>
  <c r="A2" i="20"/>
  <c r="B3" i="19"/>
  <c r="B2" i="19"/>
  <c r="A3" i="19"/>
  <c r="A2" i="19"/>
  <c r="B3" i="18"/>
  <c r="B2" i="18"/>
  <c r="A3" i="18"/>
  <c r="A2" i="18"/>
  <c r="B3" i="17"/>
  <c r="B2" i="17"/>
  <c r="A3" i="17"/>
  <c r="A2" i="17"/>
  <c r="B3" i="16"/>
  <c r="B2" i="16"/>
  <c r="A3" i="16"/>
  <c r="A2" i="16"/>
  <c r="B3" i="15"/>
  <c r="B2" i="15"/>
  <c r="A3" i="15"/>
  <c r="A2" i="15"/>
  <c r="B3" i="14"/>
  <c r="B2" i="14"/>
  <c r="A3" i="14"/>
  <c r="A2" i="14"/>
  <c r="B3" i="13"/>
  <c r="B2" i="13"/>
  <c r="A3" i="13"/>
  <c r="A2" i="13"/>
  <c r="B3" i="12"/>
  <c r="B2" i="12"/>
  <c r="A3" i="12"/>
  <c r="A2" i="12"/>
  <c r="B3" i="11"/>
  <c r="B2" i="11"/>
  <c r="A3" i="11"/>
  <c r="A2" i="11"/>
  <c r="B3" i="10"/>
  <c r="B2" i="10"/>
  <c r="A3" i="10"/>
  <c r="A2" i="10"/>
  <c r="B3" i="9"/>
  <c r="B2" i="9"/>
  <c r="A3" i="9"/>
  <c r="A2" i="9"/>
  <c r="B3" i="8"/>
  <c r="B2" i="8"/>
  <c r="A3" i="8"/>
  <c r="A2" i="8"/>
  <c r="B3" i="7"/>
  <c r="B2" i="7"/>
  <c r="A3" i="7"/>
  <c r="A2" i="7"/>
  <c r="B3" i="6"/>
  <c r="B2" i="6"/>
  <c r="A3" i="6"/>
  <c r="A2" i="6"/>
  <c r="B3" i="5"/>
  <c r="B2" i="5"/>
  <c r="A3" i="5"/>
  <c r="A2" i="5"/>
  <c r="B2" i="3"/>
  <c r="A3" i="3"/>
  <c r="A2" i="3"/>
  <c r="B3" i="3"/>
</calcChain>
</file>

<file path=xl/sharedStrings.xml><?xml version="1.0" encoding="utf-8"?>
<sst xmlns="http://schemas.openxmlformats.org/spreadsheetml/2006/main" count="3822" uniqueCount="323">
  <si>
    <t>Entidad</t>
  </si>
  <si>
    <t>Desripción</t>
  </si>
  <si>
    <t>persons</t>
  </si>
  <si>
    <t>Entidad que contiene la información de las personas registradas en el sistema (usuarios, representantes y administradores).</t>
  </si>
  <si>
    <t>system_messages</t>
  </si>
  <si>
    <t>Entidad que contiene los mensajes dinámicos del sistema, utilizados para notificaciones, errores y validaciones.</t>
  </si>
  <si>
    <t>departments</t>
  </si>
  <si>
    <t>Entidad que contiene el catálogo de departamentos de Colombia.</t>
  </si>
  <si>
    <t>cities</t>
  </si>
  <si>
    <t>Entidad que contiene el catálogo de ciudades, organizadas por departamento.</t>
  </si>
  <si>
    <t>brands</t>
  </si>
  <si>
    <t>Entidad que contiene el catálogo de marcas de motocicleta (Honda, Yamaha, Suzuki, etc.).</t>
  </si>
  <si>
    <t>franchises</t>
  </si>
  <si>
    <t>Entidad que contiene la información de las franquicias de talleres y almacenes.</t>
  </si>
  <si>
    <t>branches</t>
  </si>
  <si>
    <t>Entidad que contiene la información de las sedes de talleres y almacenes.</t>
  </si>
  <si>
    <t>branch_brands</t>
  </si>
  <si>
    <t>Entidad que contiene la relación entre sedes y las marcas de motocicleta que manejan.</t>
  </si>
  <si>
    <t>branch_displacement_ranges</t>
  </si>
  <si>
    <t>Entidad que contiene los rangos de cilindraje que maneja cada sede (bajo, medio, alto).</t>
  </si>
  <si>
    <t>locations</t>
  </si>
  <si>
    <t>Entidad que contiene la ubicación física de cada sede (dirección, ciudad y coordenadas GPS).</t>
  </si>
  <si>
    <t>branch_schedules</t>
  </si>
  <si>
    <t>Entidad que contiene la configuración general del horario de cada sede.</t>
  </si>
  <si>
    <t>schedule_details</t>
  </si>
  <si>
    <t>Entidad que contiene las franjas horarias regulares y las excepciones de horario de cada sede.</t>
  </si>
  <si>
    <t>services</t>
  </si>
  <si>
    <t>Entidad que contiene el catálogo de servicios disponibles (mantenimiento, reparación, etc.).</t>
  </si>
  <si>
    <t>branch_services</t>
  </si>
  <si>
    <t>Entidad que contiene la relación entre sedes y los servicios que ofrecen.</t>
  </si>
  <si>
    <t>motorcycle_references</t>
  </si>
  <si>
    <t>Entidad que contiene el catálogo de referencias de motocicletas (marca, modelo, categoría y cilindraje).</t>
  </si>
  <si>
    <t>motorcycles</t>
  </si>
  <si>
    <t>Entidad que contiene la información de las motocicletas registradas por los usuarios.</t>
  </si>
  <si>
    <t>motorcycle_evidence</t>
  </si>
  <si>
    <t>Entidad que contiene las fotos y evidencias fotográficas de las motocicletas.</t>
  </si>
  <si>
    <t>diagnostics</t>
  </si>
  <si>
    <t>Entidad que contiene los diagnósticos y cotizaciones realizados a las motocicletas.</t>
  </si>
  <si>
    <t>motorcycle_diagnostic_permissions</t>
  </si>
  <si>
    <t>Entidad que contiene los permisos de diagnóstico otorgados por moto a cada sede.</t>
  </si>
  <si>
    <t>completed_services</t>
  </si>
  <si>
    <t>Entidad que contiene el historial de servicios realizados a las motocicletas.</t>
  </si>
  <si>
    <t>completed_service_items</t>
  </si>
  <si>
    <t>Entidad que contiene los ítems individuales de cada servicio realizado, con calificación opcional.</t>
  </si>
  <si>
    <t>service_status_transitions</t>
  </si>
  <si>
    <t>Entidad que contiene el registro de transiciones de estado de los servicios realizados.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</si>
  <si>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</si>
  <si>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</si>
  <si>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</si>
  <si>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</si>
  <si>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</si>
  <si>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</si>
  <si>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</si>
  <si>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</si>
  <si>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</si>
  <si>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primaria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</si>
  <si>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</si>
  <si>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</si>
  <si>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</si>
  <si>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</si>
  <si>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</si>
  <si>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</si>
  <si>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</si>
  <si>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</si>
  <si>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</si>
  <si>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</si>
  <si>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</si>
  <si>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</si>
  <si>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</si>
  <si>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</si>
  <si>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</si>
  <si>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</si>
  <si>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VARCHAR</t>
  </si>
  <si>
    <t> </t>
  </si>
  <si>
    <t>NO</t>
  </si>
  <si>
    <t>SI</t>
  </si>
  <si>
    <t>PRIMARY</t>
  </si>
  <si>
    <t>Unique UUID identifier for each person</t>
  </si>
  <si>
    <t>identity_number</t>
  </si>
  <si>
    <t>uk_persons_identity_number</t>
  </si>
  <si>
    <t>UNIQUE</t>
  </si>
  <si>
    <t>Identity document number (ID card, passport, etc.)</t>
  </si>
  <si>
    <t>first_name</t>
  </si>
  <si>
    <t>First name of the person</t>
  </si>
  <si>
    <t>last_name</t>
  </si>
  <si>
    <t>Last name of the person</t>
  </si>
  <si>
    <t>second_last_name</t>
  </si>
  <si>
    <t>Second last name of the person</t>
  </si>
  <si>
    <t>email</t>
  </si>
  <si>
    <t>uk_persons_email</t>
  </si>
  <si>
    <t>Email address</t>
  </si>
  <si>
    <t>phone_number</t>
  </si>
  <si>
    <t>uk_persons_phone_number</t>
  </si>
  <si>
    <t>Cell phone number</t>
  </si>
  <si>
    <t>role</t>
  </si>
  <si>
    <t>chk_persons_role</t>
  </si>
  <si>
    <t>Role: USER, REPRESENTATIVE, ADMIN</t>
  </si>
  <si>
    <t>keycloak_user_id</t>
  </si>
  <si>
    <t>uk_persons_keycloak_user_id</t>
  </si>
  <si>
    <t>Reference to Keycloak user UUID</t>
  </si>
  <si>
    <t>created_at</t>
  </si>
  <si>
    <t>TIMESTAMP</t>
  </si>
  <si>
    <t>updated_at</t>
  </si>
  <si>
    <t>mm/dd/aaaa</t>
  </si>
  <si>
    <t>aaaa/mm/dd</t>
  </si>
  <si>
    <t>Relación</t>
  </si>
  <si>
    <t>Tipo relación</t>
  </si>
  <si>
    <t>Estado</t>
  </si>
  <si>
    <t>TipoIndice</t>
  </si>
  <si>
    <t>Necesita de</t>
  </si>
  <si>
    <t>Asociación</t>
  </si>
  <si>
    <t>ASC</t>
  </si>
  <si>
    <t>Es usada por</t>
  </si>
  <si>
    <t>DESC</t>
  </si>
  <si>
    <t>UUID primary key</t>
  </si>
  <si>
    <t>message_code</t>
  </si>
  <si>
    <t>uk_system_messages_code</t>
  </si>
  <si>
    <t>Unique message code (e.g.: MOD_U_DUP_ERR_00001)</t>
  </si>
  <si>
    <t>type</t>
  </si>
  <si>
    <t>ENUM</t>
  </si>
  <si>
    <t>ERROR', 'SUCCESS', 'WARNING', 'INFO', 'DEBUG'</t>
  </si>
  <si>
    <t>INDEX</t>
  </si>
  <si>
    <t>idx_system_messages_type</t>
  </si>
  <si>
    <t>Message type</t>
  </si>
  <si>
    <t>category</t>
  </si>
  <si>
    <t>Category: end_user, system, validation</t>
  </si>
  <si>
    <t>module</t>
  </si>
  <si>
    <t>idx_system_messages_module</t>
  </si>
  <si>
    <t>Module: general, users, validation, authorization</t>
  </si>
  <si>
    <t>message_title</t>
  </si>
  <si>
    <t>Short message title</t>
  </si>
  <si>
    <t>message_content</t>
  </si>
  <si>
    <t>TEXT</t>
  </si>
  <si>
    <t>Content with placeholders ${0}, ${1}, etc.</t>
  </si>
  <si>
    <t>is_active</t>
  </si>
  <si>
    <t xml:space="preserve">BOOLEAN  </t>
  </si>
  <si>
    <t>idx_system_messages_active</t>
  </si>
  <si>
    <t>Indicates if message is active</t>
  </si>
  <si>
    <t>name</t>
  </si>
  <si>
    <t>uk_departments_name</t>
  </si>
  <si>
    <t>Department name</t>
  </si>
  <si>
    <t>idx_cities_name</t>
  </si>
  <si>
    <t>City name</t>
  </si>
  <si>
    <t>department_id</t>
  </si>
  <si>
    <t>FK to department</t>
  </si>
  <si>
    <t>uk_brands_name</t>
  </si>
  <si>
    <t>Brand name (Honda, Yamaha, Suzuki, etc.)</t>
  </si>
  <si>
    <t>uk_franchises_name</t>
  </si>
  <si>
    <t>Franchise name</t>
  </si>
  <si>
    <t>description</t>
  </si>
  <si>
    <t>Franchise description</t>
  </si>
  <si>
    <t>franchise_id</t>
  </si>
  <si>
    <t>FK to franchise (optional)</t>
  </si>
  <si>
    <t>representative_id</t>
  </si>
  <si>
    <t>FK to person with REPRESENTATIVE role</t>
  </si>
  <si>
    <t>Branch name</t>
  </si>
  <si>
    <t>establishment_type</t>
  </si>
  <si>
    <t>chk_branches_type</t>
  </si>
  <si>
    <t>WORKSHOP, STORE, or WORKSHOP_STORE</t>
  </si>
  <si>
    <t>profile_image_url</t>
  </si>
  <si>
    <t>Profile image URL</t>
  </si>
  <si>
    <t>status</t>
  </si>
  <si>
    <t>chk_branches_status</t>
  </si>
  <si>
    <t>ACTIVE or INACTIVE</t>
  </si>
  <si>
    <t>branch_id</t>
  </si>
  <si>
    <t>uk_branch_brands</t>
  </si>
  <si>
    <t>FK to branch</t>
  </si>
  <si>
    <t>brand_id</t>
  </si>
  <si>
    <t>FK to brand catalog</t>
  </si>
  <si>
    <t>active</t>
  </si>
  <si>
    <t>Indicates if brand is active at branch</t>
  </si>
  <si>
    <t>uk_branch_displacement_ranges</t>
  </si>
  <si>
    <t>displacement_range</t>
  </si>
  <si>
    <t>BAJO', 'MEDIO', 'ALTO'</t>
  </si>
  <si>
    <t>Displacement range: BAJO(50-200cc), MEDIO(201-400cc), ALTO(401-3000cc)</t>
  </si>
  <si>
    <t>Indicates if range is active at branch</t>
  </si>
  <si>
    <t>uk_locations_branch</t>
  </si>
  <si>
    <t>FK to branch (unique per branch)</t>
  </si>
  <si>
    <t>city_id</t>
  </si>
  <si>
    <t>FK to city</t>
  </si>
  <si>
    <t>address</t>
  </si>
  <si>
    <t>Physical address</t>
  </si>
  <si>
    <t>latitude</t>
  </si>
  <si>
    <t>DECIMAL</t>
  </si>
  <si>
    <t>GPS latitude</t>
  </si>
  <si>
    <t>longitude</t>
  </si>
  <si>
    <t>GPS longitude</t>
  </si>
  <si>
    <t>uk_branch_schedules_branch</t>
  </si>
  <si>
    <t>BOOLEAN</t>
  </si>
  <si>
    <t>Master switch to enable/disable entire schedule</t>
  </si>
  <si>
    <t>start_date</t>
  </si>
  <si>
    <t>DATE</t>
  </si>
  <si>
    <t>chk_branch_schedules_dates</t>
  </si>
  <si>
    <t>Schedule validity start date</t>
  </si>
  <si>
    <t>end_date</t>
  </si>
  <si>
    <t>Schedule validity end date (NULL = indefinite)</t>
  </si>
  <si>
    <t>schedule_id</t>
  </si>
  <si>
    <t>idx_schedule_details_type, idx_schedule_details_day, idx_schedule_details_date, idx_schedule_details_exception_dates</t>
  </si>
  <si>
    <t>FK to branch_schedules</t>
  </si>
  <si>
    <t>entry_type</t>
  </si>
  <si>
    <t>REGULAR', 'EXCEPTION'</t>
  </si>
  <si>
    <t>idx_schedule_details_type</t>
  </si>
  <si>
    <t>REGULAR=by day, EXCEPTION=by date</t>
  </si>
  <si>
    <t>day_of_week</t>
  </si>
  <si>
    <t>TINYINT</t>
  </si>
  <si>
    <t>chk_entries_day</t>
  </si>
  <si>
    <t>idx_schedule_details_day</t>
  </si>
  <si>
    <t>1=Lunes...7=Domingo (NULL for EXCEPTION)</t>
  </si>
  <si>
    <t>exception_date</t>
  </si>
  <si>
    <t>idx_schedule_details_date</t>
  </si>
  <si>
    <t>Specific date for exceptions (NULL for REGULAR)</t>
  </si>
  <si>
    <t>opening_time</t>
  </si>
  <si>
    <t>TIME</t>
  </si>
  <si>
    <t>Opening time (NULL if is_closed=true)</t>
  </si>
  <si>
    <t>closing_time</t>
  </si>
  <si>
    <t>Closing time (NULL if is_closed=true)</t>
  </si>
  <si>
    <t>is_closed</t>
  </si>
  <si>
    <t xml:space="preserve">BOOLEAN </t>
  </si>
  <si>
    <t>True = closed on this day/date</t>
  </si>
  <si>
    <t>Enable/disable this specific entry</t>
  </si>
  <si>
    <t>exception_start_date</t>
  </si>
  <si>
    <t>idx_schedule_details_exception_dates</t>
  </si>
  <si>
    <t>Start date for exceptions (NULL for REGULAR)</t>
  </si>
  <si>
    <t>exception_end_date</t>
  </si>
  <si>
    <t>End date for exceptions (same as start if single day)</t>
  </si>
  <si>
    <t>uk_services_name</t>
  </si>
  <si>
    <t>Service name</t>
  </si>
  <si>
    <t>Service description</t>
  </si>
  <si>
    <t>service_type</t>
  </si>
  <si>
    <t>Maintenance, Repair, etc.</t>
  </si>
  <si>
    <t>Indicates if service is active in catalog</t>
  </si>
  <si>
    <t>uk_branch_services</t>
  </si>
  <si>
    <t>service_id</t>
  </si>
  <si>
    <t>FK to service</t>
  </si>
  <si>
    <t>Indicates if service is active at branch</t>
  </si>
  <si>
    <t>model</t>
  </si>
  <si>
    <t>Model line</t>
  </si>
  <si>
    <t>Sport, Scooter, etc.</t>
  </si>
  <si>
    <t>engine_displacement</t>
  </si>
  <si>
    <t>INT</t>
  </si>
  <si>
    <t>Engine displacement in cc</t>
  </si>
  <si>
    <t>idx_motorcycle_references_displacement_range</t>
  </si>
  <si>
    <t>Range: BAJO(50-200cc), MEDIO(201-400cc), ALTO(401-3000cc)</t>
  </si>
  <si>
    <t>license_plate</t>
  </si>
  <si>
    <t>uk_motorcycles_license_plate</t>
  </si>
  <si>
    <t>Motorcycle license plate</t>
  </si>
  <si>
    <t>reference_id</t>
  </si>
  <si>
    <t>FK to motorcycle_reference</t>
  </si>
  <si>
    <t>owner_id</t>
  </si>
  <si>
    <t>FK to person with USER role</t>
  </si>
  <si>
    <t>year</t>
  </si>
  <si>
    <t>Motorcycle year</t>
  </si>
  <si>
    <t>current_mileage</t>
  </si>
  <si>
    <t>Current mileage</t>
  </si>
  <si>
    <t>owner_notes</t>
  </si>
  <si>
    <t>Owner observations</t>
  </si>
  <si>
    <t>Main profile photo of the motorcycle (Firebase Storage URL)</t>
  </si>
  <si>
    <t>deleted_at</t>
  </si>
  <si>
    <t>idx_motorcycles_deleted</t>
  </si>
  <si>
    <t>Soft delete timestamp (HU45)</t>
  </si>
  <si>
    <t>motorcycle_id</t>
  </si>
  <si>
    <t>idx_motorcycle_evidence_motorcycle, idx_motorcycle_evidence_angle</t>
  </si>
  <si>
    <t>FK to motorcycle</t>
  </si>
  <si>
    <t>angle</t>
  </si>
  <si>
    <t>FRONTAL', 'LATERAL', 'REAR'</t>
  </si>
  <si>
    <t>idx_motorcycle_evidence_angle</t>
  </si>
  <si>
    <t>Photo angle: FRONTAL, LATERAL, REAR</t>
  </si>
  <si>
    <t>image_url</t>
  </si>
  <si>
    <t>Firebase Storage URL</t>
  </si>
  <si>
    <t>Optional photo description</t>
  </si>
  <si>
    <t>Upload date</t>
  </si>
  <si>
    <t>branch_name (via JOIN branches.name)</t>
  </si>
  <si>
    <t>FK to branch issuing diagnostic</t>
  </si>
  <si>
    <t>date</t>
  </si>
  <si>
    <t>DATETIME</t>
  </si>
  <si>
    <t>idx_diagnostics_date</t>
  </si>
  <si>
    <t>Diagnostic date</t>
  </si>
  <si>
    <t>problem_description</t>
  </si>
  <si>
    <t>Problem description by user</t>
  </si>
  <si>
    <t>possible_solution</t>
  </si>
  <si>
    <t>Branch response</t>
  </si>
  <si>
    <t>uk_motorcycle_diagnostic_permissions</t>
  </si>
  <si>
    <t>FK to authorized branch</t>
  </si>
  <si>
    <t>Indicates if permission is active</t>
  </si>
  <si>
    <t>FK to branch performing service</t>
  </si>
  <si>
    <t>diagnostic_id</t>
  </si>
  <si>
    <t>FK to diagnostic that originated service (optional)</t>
  </si>
  <si>
    <t>request_date</t>
  </si>
  <si>
    <t>idx_completed_services_date</t>
  </si>
  <si>
    <t>Service request date</t>
  </si>
  <si>
    <t>completion_date</t>
  </si>
  <si>
    <t>Service completion date</t>
  </si>
  <si>
    <t>PENDIENTE', 'EN_PROCESO', 'FINALIZADO', 'CANCELADO'</t>
  </si>
  <si>
    <t>Service status</t>
  </si>
  <si>
    <t>quoted_price</t>
  </si>
  <si>
    <t>Quoted price before service</t>
  </si>
  <si>
    <t>final_price</t>
  </si>
  <si>
    <t>Final price charged upon completion</t>
  </si>
  <si>
    <t>representative_notes</t>
  </si>
  <si>
    <t>Notes from representative to customer</t>
  </si>
  <si>
    <t>Soft delete timestamp (HU65 hybrid delete)</t>
  </si>
  <si>
    <t>motorcycle_model (via CONCAT marca + modelo)</t>
  </si>
  <si>
    <t>completed_service_id</t>
  </si>
  <si>
    <t>idx_cs_items_completed_service</t>
  </si>
  <si>
    <t>FK to completed_services</t>
  </si>
  <si>
    <t>FK to service catalog</t>
  </si>
  <si>
    <t>rating</t>
  </si>
  <si>
    <t>chk_cs_items_rating</t>
  </si>
  <si>
    <t>Rating from 1 to 5 (NULL until rated)</t>
  </si>
  <si>
    <t>comment</t>
  </si>
  <si>
    <t>Optional customer review text</t>
  </si>
  <si>
    <t>rated_at</t>
  </si>
  <si>
    <t>When rating was submitted</t>
  </si>
  <si>
    <t>is_offensive_comment</t>
  </si>
  <si>
    <t>Flag: 0=normal, 1=offensive</t>
  </si>
  <si>
    <t>idx_status_transitions_service</t>
  </si>
  <si>
    <t>previous_status</t>
  </si>
  <si>
    <t>Previous status (NULL if creation)</t>
  </si>
  <si>
    <t>new_status</t>
  </si>
  <si>
    <t>New service status</t>
  </si>
  <si>
    <t>created_by</t>
  </si>
  <si>
    <t>FK to person (representative) who made the change</t>
  </si>
  <si>
    <t>idx_status_transitions_date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</si>
</sst>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quotePrefix="1" applyFont="1" applyBorder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1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7" xfId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28575</xdr:rowOff>
    </xdr:from>
    <xdr:to>
      <xdr:col>80</xdr:col>
      <xdr:colOff>485775</xdr:colOff>
      <xdr:row>155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DEF1AF-50F6-4D03-66E6-51CC5B26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28575"/>
          <a:ext cx="56121300" cy="2954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1"/>
  <sheetViews>
    <sheetView workbookViewId="0">
      <selection activeCell="I31" sqref="I31"/>
    </sheetView>
  </sheetViews>
  <sheetFormatPr defaultColWidth="11.42578125" defaultRowHeight="15"/>
  <cols>
    <col min="1" max="1" width="24.28515625" style="6" bestFit="1" customWidth="1"/>
    <col min="2" max="16384" width="11.4257812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B23"/>
  <sheetViews>
    <sheetView topLeftCell="A4" workbookViewId="0">
      <selection activeCell="B26" sqref="B26"/>
    </sheetView>
  </sheetViews>
  <sheetFormatPr defaultColWidth="11.42578125" defaultRowHeight="15"/>
  <cols>
    <col min="1" max="1" width="38.7109375" customWidth="1"/>
    <col min="2" max="2" width="136.7109375" customWidth="1"/>
  </cols>
  <sheetData>
    <row r="1" spans="1:2">
      <c r="A1" s="7" t="s">
        <v>0</v>
      </c>
      <c r="B1" s="8" t="s">
        <v>1</v>
      </c>
    </row>
    <row r="2" spans="1:2">
      <c r="A2" s="9" t="s">
        <v>2</v>
      </c>
      <c r="B2" s="10" t="s">
        <v>3</v>
      </c>
    </row>
    <row r="3" spans="1:2" ht="19.5" customHeight="1">
      <c r="A3" s="11" t="s">
        <v>4</v>
      </c>
      <c r="B3" s="12" t="s">
        <v>5</v>
      </c>
    </row>
    <row r="4" spans="1:2">
      <c r="A4" s="11" t="s">
        <v>6</v>
      </c>
      <c r="B4" s="12" t="s">
        <v>7</v>
      </c>
    </row>
    <row r="5" spans="1:2">
      <c r="A5" s="11" t="s">
        <v>8</v>
      </c>
      <c r="B5" s="12" t="s">
        <v>9</v>
      </c>
    </row>
    <row r="6" spans="1:2">
      <c r="A6" s="11" t="s">
        <v>10</v>
      </c>
      <c r="B6" s="12" t="s">
        <v>11</v>
      </c>
    </row>
    <row r="7" spans="1:2">
      <c r="A7" s="11" t="s">
        <v>12</v>
      </c>
      <c r="B7" s="12" t="s">
        <v>13</v>
      </c>
    </row>
    <row r="8" spans="1:2">
      <c r="A8" s="11" t="s">
        <v>14</v>
      </c>
      <c r="B8" s="12" t="s">
        <v>15</v>
      </c>
    </row>
    <row r="9" spans="1:2">
      <c r="A9" s="11" t="s">
        <v>16</v>
      </c>
      <c r="B9" s="12" t="s">
        <v>17</v>
      </c>
    </row>
    <row r="10" spans="1:2">
      <c r="A10" s="11" t="s">
        <v>18</v>
      </c>
      <c r="B10" s="12" t="s">
        <v>19</v>
      </c>
    </row>
    <row r="11" spans="1:2">
      <c r="A11" s="11" t="s">
        <v>20</v>
      </c>
      <c r="B11" s="12" t="s">
        <v>21</v>
      </c>
    </row>
    <row r="12" spans="1:2">
      <c r="A12" s="11" t="s">
        <v>22</v>
      </c>
      <c r="B12" s="12" t="s">
        <v>23</v>
      </c>
    </row>
    <row r="13" spans="1:2">
      <c r="A13" s="11" t="s">
        <v>24</v>
      </c>
      <c r="B13" s="12" t="s">
        <v>25</v>
      </c>
    </row>
    <row r="14" spans="1:2">
      <c r="A14" s="11" t="s">
        <v>26</v>
      </c>
      <c r="B14" s="12" t="s">
        <v>27</v>
      </c>
    </row>
    <row r="15" spans="1:2">
      <c r="A15" s="11" t="s">
        <v>28</v>
      </c>
      <c r="B15" s="12" t="s">
        <v>29</v>
      </c>
    </row>
    <row r="16" spans="1:2">
      <c r="A16" s="11" t="s">
        <v>30</v>
      </c>
      <c r="B16" s="12" t="s">
        <v>31</v>
      </c>
    </row>
    <row r="17" spans="1:2">
      <c r="A17" s="11" t="s">
        <v>32</v>
      </c>
      <c r="B17" s="12" t="s">
        <v>33</v>
      </c>
    </row>
    <row r="18" spans="1:2">
      <c r="A18" s="11" t="s">
        <v>34</v>
      </c>
      <c r="B18" s="12" t="s">
        <v>35</v>
      </c>
    </row>
    <row r="19" spans="1:2">
      <c r="A19" s="11" t="s">
        <v>36</v>
      </c>
      <c r="B19" s="12" t="s">
        <v>37</v>
      </c>
    </row>
    <row r="20" spans="1:2">
      <c r="A20" s="11" t="s">
        <v>38</v>
      </c>
      <c r="B20" s="12" t="s">
        <v>39</v>
      </c>
    </row>
    <row r="21" spans="1:2">
      <c r="A21" s="11" t="s">
        <v>40</v>
      </c>
      <c r="B21" s="12" t="s">
        <v>41</v>
      </c>
    </row>
    <row r="22" spans="1:2">
      <c r="A22" s="11" t="s">
        <v>42</v>
      </c>
      <c r="B22" s="12" t="s">
        <v>43</v>
      </c>
    </row>
    <row r="23" spans="1:2">
      <c r="A23" s="11" t="s">
        <v>44</v>
      </c>
      <c r="B23" s="1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T20"/>
  <sheetViews>
    <sheetView topLeftCell="O1" zoomScaleNormal="100" workbookViewId="0">
      <pane ySplit="1" topLeftCell="O3" activePane="bottomLeft" state="frozen"/>
      <selection pane="bottomLeft" activeCell="T21" sqref="T2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 ht="15.75" thickBot="1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</f>
        <v>persons</v>
      </c>
      <c r="C2" s="38"/>
      <c r="D2" s="38"/>
      <c r="E2" s="39"/>
    </row>
    <row r="3" spans="1:20" ht="15.75" thickBot="1">
      <c r="A3" s="3" t="str">
        <f>Entidades!$B$1</f>
        <v>Desripción</v>
      </c>
      <c r="B3" s="40" t="str">
        <f>Entidades!B2</f>
        <v>Entidad que contiene la información de las personas registradas en el sistema (usuarios, representantes y administradores).</v>
      </c>
      <c r="C3" s="40"/>
      <c r="D3" s="40"/>
      <c r="E3" s="41"/>
    </row>
    <row r="4" spans="1:20" ht="15.75" thickBot="1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4" t="s">
        <v>48</v>
      </c>
      <c r="B5" s="34" t="s">
        <v>49</v>
      </c>
      <c r="C5" s="34" t="s">
        <v>50</v>
      </c>
      <c r="D5" s="34" t="s">
        <v>51</v>
      </c>
      <c r="E5" s="34" t="s">
        <v>52</v>
      </c>
      <c r="F5" s="34" t="s">
        <v>53</v>
      </c>
      <c r="G5" s="34" t="s">
        <v>54</v>
      </c>
      <c r="H5" s="36" t="s">
        <v>55</v>
      </c>
      <c r="I5" s="34" t="s">
        <v>56</v>
      </c>
      <c r="J5" s="34"/>
      <c r="K5" s="34"/>
      <c r="L5" s="34" t="s">
        <v>57</v>
      </c>
      <c r="M5" s="34"/>
      <c r="N5" s="34" t="s">
        <v>58</v>
      </c>
      <c r="O5" s="34"/>
      <c r="P5" s="34" t="s">
        <v>59</v>
      </c>
      <c r="Q5" s="34"/>
      <c r="R5" s="34"/>
      <c r="S5" s="34" t="s">
        <v>60</v>
      </c>
      <c r="T5" s="42" t="s">
        <v>61</v>
      </c>
    </row>
    <row r="6" spans="1:20" s="5" customFormat="1">
      <c r="A6" s="45"/>
      <c r="B6" s="35"/>
      <c r="C6" s="35"/>
      <c r="D6" s="35"/>
      <c r="E6" s="35"/>
      <c r="F6" s="35"/>
      <c r="G6" s="35"/>
      <c r="H6" s="37"/>
      <c r="I6" s="4" t="s">
        <v>62</v>
      </c>
      <c r="J6" s="4" t="s">
        <v>0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35"/>
      <c r="T6" s="43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77</v>
      </c>
    </row>
    <row r="8" spans="1:20" ht="27">
      <c r="A8" s="15" t="s">
        <v>78</v>
      </c>
      <c r="B8" s="16" t="s">
        <v>72</v>
      </c>
      <c r="C8" s="16">
        <v>10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79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81</v>
      </c>
    </row>
    <row r="9" spans="1:20">
      <c r="A9" s="15" t="s">
        <v>82</v>
      </c>
      <c r="B9" s="16" t="s">
        <v>72</v>
      </c>
      <c r="C9" s="16">
        <v>120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83</v>
      </c>
    </row>
    <row r="10" spans="1:20">
      <c r="A10" s="15" t="s">
        <v>84</v>
      </c>
      <c r="B10" s="16" t="s">
        <v>72</v>
      </c>
      <c r="C10" s="16">
        <v>120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85</v>
      </c>
    </row>
    <row r="11" spans="1:20">
      <c r="A11" s="15" t="s">
        <v>86</v>
      </c>
      <c r="B11" s="16" t="s">
        <v>72</v>
      </c>
      <c r="C11" s="16">
        <v>120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87</v>
      </c>
    </row>
    <row r="12" spans="1:20">
      <c r="A12" s="15" t="s">
        <v>88</v>
      </c>
      <c r="B12" s="16" t="s">
        <v>72</v>
      </c>
      <c r="C12" s="16">
        <v>250</v>
      </c>
      <c r="D12" s="16" t="s">
        <v>73</v>
      </c>
      <c r="E12" s="16" t="s">
        <v>73</v>
      </c>
      <c r="F12" s="16" t="s">
        <v>74</v>
      </c>
      <c r="G12" s="16" t="s">
        <v>75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75</v>
      </c>
      <c r="M12" s="16" t="s">
        <v>89</v>
      </c>
      <c r="N12" s="16" t="s">
        <v>74</v>
      </c>
      <c r="O12" s="16" t="s">
        <v>73</v>
      </c>
      <c r="P12" s="16" t="s">
        <v>74</v>
      </c>
      <c r="Q12" s="16" t="s">
        <v>80</v>
      </c>
      <c r="R12" s="16" t="s">
        <v>73</v>
      </c>
      <c r="S12" s="16" t="s">
        <v>73</v>
      </c>
      <c r="T12" s="16" t="s">
        <v>90</v>
      </c>
    </row>
    <row r="13" spans="1:20">
      <c r="A13" s="15" t="s">
        <v>91</v>
      </c>
      <c r="B13" s="16" t="s">
        <v>72</v>
      </c>
      <c r="C13" s="16">
        <v>10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75</v>
      </c>
      <c r="M13" s="16" t="s">
        <v>92</v>
      </c>
      <c r="N13" s="16" t="s">
        <v>74</v>
      </c>
      <c r="O13" s="16" t="s">
        <v>73</v>
      </c>
      <c r="P13" s="16" t="s">
        <v>74</v>
      </c>
      <c r="Q13" s="16" t="s">
        <v>80</v>
      </c>
      <c r="R13" s="16" t="s">
        <v>73</v>
      </c>
      <c r="S13" s="16" t="s">
        <v>73</v>
      </c>
      <c r="T13" s="16" t="s">
        <v>93</v>
      </c>
    </row>
    <row r="14" spans="1:20" ht="27">
      <c r="A14" s="15" t="s">
        <v>94</v>
      </c>
      <c r="B14" s="16" t="s">
        <v>72</v>
      </c>
      <c r="C14" s="16">
        <v>20</v>
      </c>
      <c r="D14" s="16" t="s">
        <v>73</v>
      </c>
      <c r="E14" s="16" t="s">
        <v>73</v>
      </c>
      <c r="F14" s="16" t="s">
        <v>74</v>
      </c>
      <c r="G14" s="16" t="s">
        <v>75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75</v>
      </c>
      <c r="O14" s="16" t="s">
        <v>95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96</v>
      </c>
    </row>
    <row r="15" spans="1:20">
      <c r="A15" s="15" t="s">
        <v>97</v>
      </c>
      <c r="B15" s="16" t="s">
        <v>72</v>
      </c>
      <c r="C15" s="16">
        <v>36</v>
      </c>
      <c r="D15" s="16" t="s">
        <v>73</v>
      </c>
      <c r="E15" s="16" t="s">
        <v>73</v>
      </c>
      <c r="F15" s="16" t="s">
        <v>74</v>
      </c>
      <c r="G15" s="16" t="s">
        <v>75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75</v>
      </c>
      <c r="M15" s="16" t="s">
        <v>98</v>
      </c>
      <c r="N15" s="16" t="s">
        <v>74</v>
      </c>
      <c r="O15" s="16" t="s">
        <v>73</v>
      </c>
      <c r="P15" s="16" t="s">
        <v>74</v>
      </c>
      <c r="Q15" s="16" t="s">
        <v>80</v>
      </c>
      <c r="R15" s="16" t="s">
        <v>73</v>
      </c>
      <c r="S15" s="16" t="s">
        <v>73</v>
      </c>
      <c r="T15" s="16" t="s">
        <v>99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  <row r="19" spans="1:20">
      <c r="T19" s="1" t="s">
        <v>103</v>
      </c>
    </row>
    <row r="20" spans="1:20">
      <c r="T20" s="1" t="s">
        <v>104</v>
      </c>
    </row>
  </sheetData>
  <mergeCells count="18">
    <mergeCell ref="F5:F6"/>
    <mergeCell ref="E5:E6"/>
    <mergeCell ref="A1:E1"/>
    <mergeCell ref="A4:T4"/>
    <mergeCell ref="B5:B6"/>
    <mergeCell ref="G5:G6"/>
    <mergeCell ref="H5:H6"/>
    <mergeCell ref="C5:C6"/>
    <mergeCell ref="D5:D6"/>
    <mergeCell ref="B2:E2"/>
    <mergeCell ref="B3:E3"/>
    <mergeCell ref="S5:S6"/>
    <mergeCell ref="T5:T6"/>
    <mergeCell ref="I5:K5"/>
    <mergeCell ref="L5:M5"/>
    <mergeCell ref="N5:O5"/>
    <mergeCell ref="P5:R5"/>
    <mergeCell ref="A5:A6"/>
  </mergeCells>
  <hyperlinks>
    <hyperlink ref="A1:E1" location="Clases!A1" display="&lt;-Volver al inicio" xr:uid="{845DD4A4-356D-496B-892B-AFFC004601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105</v>
      </c>
      <c r="B1" t="s">
        <v>106</v>
      </c>
      <c r="C1" t="s">
        <v>107</v>
      </c>
      <c r="D1" t="s">
        <v>108</v>
      </c>
    </row>
    <row r="2" spans="1:4">
      <c r="A2" t="s">
        <v>109</v>
      </c>
      <c r="B2" t="s">
        <v>110</v>
      </c>
      <c r="C2" t="s">
        <v>75</v>
      </c>
      <c r="D2" t="s">
        <v>111</v>
      </c>
    </row>
    <row r="3" spans="1:4">
      <c r="A3" t="s">
        <v>112</v>
      </c>
      <c r="C3" t="s">
        <v>74</v>
      </c>
      <c r="D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6A64-ACB3-4AAB-8F93-60EAD8522822}">
  <dimension ref="A1:T17"/>
  <sheetViews>
    <sheetView topLeftCell="O1" zoomScaleNormal="100" workbookViewId="0">
      <pane ySplit="1" topLeftCell="P6" activePane="bottomLeft" state="frozen"/>
      <selection pane="bottomLeft" activeCell="A16" sqref="A16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Entidades!A3</f>
        <v>system_messages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Entidades!B3</f>
        <v>Entidad que contiene los mensajes dinámicos del sistema, utilizados para notificaciones, errores y validaciones.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4" t="s">
        <v>48</v>
      </c>
      <c r="B5" s="34" t="s">
        <v>49</v>
      </c>
      <c r="C5" s="34" t="s">
        <v>50</v>
      </c>
      <c r="D5" s="34" t="s">
        <v>51</v>
      </c>
      <c r="E5" s="34" t="s">
        <v>52</v>
      </c>
      <c r="F5" s="34" t="s">
        <v>53</v>
      </c>
      <c r="G5" s="34" t="s">
        <v>54</v>
      </c>
      <c r="H5" s="36" t="s">
        <v>55</v>
      </c>
      <c r="I5" s="34" t="s">
        <v>56</v>
      </c>
      <c r="J5" s="34"/>
      <c r="K5" s="34"/>
      <c r="L5" s="34" t="s">
        <v>57</v>
      </c>
      <c r="M5" s="34"/>
      <c r="N5" s="34" t="s">
        <v>58</v>
      </c>
      <c r="O5" s="34"/>
      <c r="P5" s="34" t="s">
        <v>59</v>
      </c>
      <c r="Q5" s="34"/>
      <c r="R5" s="34"/>
      <c r="S5" s="34" t="s">
        <v>60</v>
      </c>
      <c r="T5" s="42" t="s">
        <v>61</v>
      </c>
    </row>
    <row r="6" spans="1:20" s="5" customFormat="1">
      <c r="A6" s="45"/>
      <c r="B6" s="35"/>
      <c r="C6" s="35"/>
      <c r="D6" s="35"/>
      <c r="E6" s="35"/>
      <c r="F6" s="35"/>
      <c r="G6" s="35"/>
      <c r="H6" s="37"/>
      <c r="I6" s="4" t="s">
        <v>62</v>
      </c>
      <c r="J6" s="4" t="s">
        <v>0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35"/>
      <c r="T6" s="43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115</v>
      </c>
      <c r="B8" s="16" t="s">
        <v>72</v>
      </c>
      <c r="C8" s="16">
        <v>50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116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117</v>
      </c>
    </row>
    <row r="9" spans="1:20" ht="67.5">
      <c r="A9" s="15" t="s">
        <v>118</v>
      </c>
      <c r="B9" s="16" t="s">
        <v>119</v>
      </c>
      <c r="C9" s="17" t="s">
        <v>120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122</v>
      </c>
      <c r="S9" s="16" t="s">
        <v>73</v>
      </c>
      <c r="T9" s="16" t="s">
        <v>123</v>
      </c>
    </row>
    <row r="10" spans="1:20" ht="27">
      <c r="A10" s="15" t="s">
        <v>124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125</v>
      </c>
    </row>
    <row r="11" spans="1:20" ht="27">
      <c r="A11" s="15" t="s">
        <v>126</v>
      </c>
      <c r="B11" s="16" t="s">
        <v>72</v>
      </c>
      <c r="C11" s="16">
        <v>50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127</v>
      </c>
      <c r="S11" s="16" t="s">
        <v>73</v>
      </c>
      <c r="T11" s="16" t="s">
        <v>128</v>
      </c>
    </row>
    <row r="12" spans="1:20">
      <c r="A12" s="15" t="s">
        <v>129</v>
      </c>
      <c r="B12" s="16" t="s">
        <v>72</v>
      </c>
      <c r="C12" s="16">
        <v>255</v>
      </c>
      <c r="D12" s="16" t="s">
        <v>73</v>
      </c>
      <c r="E12" s="16" t="s">
        <v>73</v>
      </c>
      <c r="F12" s="16" t="s">
        <v>74</v>
      </c>
      <c r="G12" s="16" t="s">
        <v>75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130</v>
      </c>
    </row>
    <row r="13" spans="1:20" ht="27">
      <c r="A13" s="15" t="s">
        <v>131</v>
      </c>
      <c r="B13" s="16" t="s">
        <v>132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133</v>
      </c>
    </row>
    <row r="14" spans="1:20">
      <c r="A14" s="15" t="s">
        <v>134</v>
      </c>
      <c r="B14" s="16" t="s">
        <v>135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75</v>
      </c>
      <c r="Q14" s="16" t="s">
        <v>121</v>
      </c>
      <c r="R14" s="16" t="s">
        <v>136</v>
      </c>
      <c r="S14" s="16" t="s">
        <v>73</v>
      </c>
      <c r="T14" s="16" t="s">
        <v>137</v>
      </c>
    </row>
    <row r="15" spans="1:20">
      <c r="A15" s="15" t="s">
        <v>100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  <row r="16" spans="1:20">
      <c r="A16" s="15" t="s">
        <v>102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Clases!A1" display="&lt;-Volver al inicio" xr:uid="{1CC66004-B553-4E01-B1E9-E057550DFEB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6504-A7FE-4B9A-A331-A9A481283AB1}">
  <dimension ref="A1:T17"/>
  <sheetViews>
    <sheetView topLeftCell="O1" zoomScaleNormal="100" workbookViewId="0">
      <pane ySplit="1" topLeftCell="R2" activePane="bottomLeft" state="frozen"/>
      <selection pane="bottomLeft" activeCell="B4" sqref="B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Entidades!A4</f>
        <v>departments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Entidades!B4</f>
        <v>Entidad que contiene el catálogo de departamentos de Colombia.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7"/>
      <c r="B6" s="47"/>
      <c r="C6" s="47"/>
      <c r="D6" s="47"/>
      <c r="E6" s="47"/>
      <c r="F6" s="47"/>
      <c r="G6" s="47"/>
      <c r="H6" s="46"/>
      <c r="I6" s="20" t="s">
        <v>62</v>
      </c>
      <c r="J6" s="20" t="s">
        <v>0</v>
      </c>
      <c r="K6" s="20" t="s">
        <v>63</v>
      </c>
      <c r="L6" s="20" t="s">
        <v>64</v>
      </c>
      <c r="M6" s="20" t="s">
        <v>65</v>
      </c>
      <c r="N6" s="20" t="s">
        <v>66</v>
      </c>
      <c r="O6" s="20" t="s">
        <v>67</v>
      </c>
      <c r="P6" s="20" t="s">
        <v>68</v>
      </c>
      <c r="Q6" s="20" t="s">
        <v>69</v>
      </c>
      <c r="R6" s="20" t="s">
        <v>70</v>
      </c>
      <c r="S6" s="47"/>
      <c r="T6" s="47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138</v>
      </c>
      <c r="B8" s="21" t="s">
        <v>72</v>
      </c>
      <c r="C8" s="21">
        <v>50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74</v>
      </c>
      <c r="J8" s="21" t="s">
        <v>73</v>
      </c>
      <c r="K8" s="21" t="s">
        <v>73</v>
      </c>
      <c r="L8" s="21" t="s">
        <v>75</v>
      </c>
      <c r="M8" s="21" t="s">
        <v>139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140</v>
      </c>
    </row>
    <row r="9" spans="1:20">
      <c r="A9" s="21" t="s">
        <v>100</v>
      </c>
      <c r="B9" s="21" t="s">
        <v>101</v>
      </c>
      <c r="C9" s="21" t="s">
        <v>73</v>
      </c>
      <c r="D9" s="21" t="s">
        <v>73</v>
      </c>
      <c r="E9" s="21" t="s">
        <v>73</v>
      </c>
      <c r="F9" s="21" t="s">
        <v>74</v>
      </c>
      <c r="G9" s="21" t="s">
        <v>74</v>
      </c>
      <c r="H9" s="21" t="s">
        <v>74</v>
      </c>
      <c r="I9" s="21" t="s">
        <v>74</v>
      </c>
      <c r="J9" s="21" t="s">
        <v>73</v>
      </c>
      <c r="K9" s="21" t="s">
        <v>73</v>
      </c>
      <c r="L9" s="21" t="s">
        <v>74</v>
      </c>
      <c r="M9" s="21" t="s">
        <v>73</v>
      </c>
      <c r="N9" s="21" t="s">
        <v>74</v>
      </c>
      <c r="O9" s="21" t="s">
        <v>73</v>
      </c>
      <c r="P9" s="21" t="s">
        <v>74</v>
      </c>
      <c r="Q9" s="21" t="s">
        <v>73</v>
      </c>
      <c r="R9" s="21" t="s">
        <v>73</v>
      </c>
      <c r="S9" s="21" t="s">
        <v>73</v>
      </c>
      <c r="T9" s="21" t="s">
        <v>73</v>
      </c>
    </row>
    <row r="10" spans="1:20">
      <c r="A10" s="21" t="s">
        <v>102</v>
      </c>
      <c r="B10" s="21" t="s">
        <v>101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74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74</v>
      </c>
      <c r="O10" s="21" t="s">
        <v>73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73</v>
      </c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Clases!A1" display="&lt;-Volver al inicio" xr:uid="{D6A1E169-CFE4-4DBB-A38A-B9FA64EC9E6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4319-7E65-4733-9415-9031C7F85004}">
  <dimension ref="A1:T17"/>
  <sheetViews>
    <sheetView topLeftCell="O1" zoomScaleNormal="100" workbookViewId="0">
      <pane ySplit="1" topLeftCell="P2" activePane="bottomLeft" state="frozen"/>
      <selection pane="bottomLeft" activeCell="B7" sqref="B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Entidades!A5</f>
        <v>cities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Entidades!B5</f>
        <v>Entidad que contiene el catálogo de ciudades, organizadas por departamento.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7"/>
      <c r="B6" s="47"/>
      <c r="C6" s="47"/>
      <c r="D6" s="47"/>
      <c r="E6" s="47"/>
      <c r="F6" s="47"/>
      <c r="G6" s="47"/>
      <c r="H6" s="46"/>
      <c r="I6" s="20" t="s">
        <v>62</v>
      </c>
      <c r="J6" s="20" t="s">
        <v>0</v>
      </c>
      <c r="K6" s="20" t="s">
        <v>63</v>
      </c>
      <c r="L6" s="20" t="s">
        <v>64</v>
      </c>
      <c r="M6" s="20" t="s">
        <v>65</v>
      </c>
      <c r="N6" s="20" t="s">
        <v>66</v>
      </c>
      <c r="O6" s="20" t="s">
        <v>67</v>
      </c>
      <c r="P6" s="20" t="s">
        <v>68</v>
      </c>
      <c r="Q6" s="20" t="s">
        <v>69</v>
      </c>
      <c r="R6" s="20" t="s">
        <v>70</v>
      </c>
      <c r="S6" s="47"/>
      <c r="T6" s="47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100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141</v>
      </c>
      <c r="S8" s="16" t="s">
        <v>73</v>
      </c>
      <c r="T8" s="16" t="s">
        <v>142</v>
      </c>
    </row>
    <row r="9" spans="1:20">
      <c r="A9" s="15" t="s">
        <v>143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6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144</v>
      </c>
    </row>
    <row r="10" spans="1:20">
      <c r="A10" s="15" t="s">
        <v>100</v>
      </c>
      <c r="B10" s="16" t="s">
        <v>101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73</v>
      </c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</mergeCells>
  <hyperlinks>
    <hyperlink ref="A1:E1" location="Clases!A1" display="&lt;-Volver al inicio" xr:uid="{294BBAC3-A0B1-481F-8E4D-310978EE510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671C-69EA-4903-BD29-94209BDCBFC5}">
  <dimension ref="A1:T17"/>
  <sheetViews>
    <sheetView topLeftCell="O1" zoomScaleNormal="100" workbookViewId="0">
      <pane ySplit="1" topLeftCell="A2" activePane="bottomLeft" state="frozen"/>
      <selection pane="bottomLeft" activeCell="P22" sqref="P2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Entidades!A6</f>
        <v>brands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Entidades!B6</f>
        <v>Entidad que contiene el catálogo de marcas de motocicleta (Honda, Yamaha, Suzuki, etc.).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2" t="s">
        <v>71</v>
      </c>
      <c r="B7" s="23" t="s">
        <v>72</v>
      </c>
      <c r="C7" s="23">
        <v>36</v>
      </c>
      <c r="D7" s="23" t="s">
        <v>73</v>
      </c>
      <c r="E7" s="23" t="s">
        <v>73</v>
      </c>
      <c r="F7" s="23" t="s">
        <v>74</v>
      </c>
      <c r="G7" s="23" t="s">
        <v>75</v>
      </c>
      <c r="H7" s="23" t="s">
        <v>75</v>
      </c>
      <c r="I7" s="23" t="s">
        <v>74</v>
      </c>
      <c r="J7" s="23" t="s">
        <v>73</v>
      </c>
      <c r="K7" s="23" t="s">
        <v>73</v>
      </c>
      <c r="L7" s="23" t="s">
        <v>74</v>
      </c>
      <c r="M7" s="23" t="s">
        <v>73</v>
      </c>
      <c r="N7" s="23" t="s">
        <v>74</v>
      </c>
      <c r="O7" s="23" t="s">
        <v>73</v>
      </c>
      <c r="P7" s="23" t="s">
        <v>74</v>
      </c>
      <c r="Q7" s="23" t="s">
        <v>76</v>
      </c>
      <c r="R7" s="23" t="s">
        <v>73</v>
      </c>
      <c r="S7" s="23" t="s">
        <v>73</v>
      </c>
      <c r="T7" s="24" t="s">
        <v>114</v>
      </c>
    </row>
    <row r="8" spans="1:20" ht="27">
      <c r="A8" s="25" t="s">
        <v>138</v>
      </c>
      <c r="B8" s="26" t="s">
        <v>72</v>
      </c>
      <c r="C8" s="26">
        <v>50</v>
      </c>
      <c r="D8" s="26" t="s">
        <v>73</v>
      </c>
      <c r="E8" s="26" t="s">
        <v>73</v>
      </c>
      <c r="F8" s="26" t="s">
        <v>74</v>
      </c>
      <c r="G8" s="26" t="s">
        <v>75</v>
      </c>
      <c r="H8" s="26" t="s">
        <v>74</v>
      </c>
      <c r="I8" s="26" t="s">
        <v>74</v>
      </c>
      <c r="J8" s="26" t="s">
        <v>73</v>
      </c>
      <c r="K8" s="26" t="s">
        <v>73</v>
      </c>
      <c r="L8" s="26" t="s">
        <v>75</v>
      </c>
      <c r="M8" s="26" t="s">
        <v>145</v>
      </c>
      <c r="N8" s="26" t="s">
        <v>74</v>
      </c>
      <c r="O8" s="26" t="s">
        <v>73</v>
      </c>
      <c r="P8" s="26" t="s">
        <v>74</v>
      </c>
      <c r="Q8" s="26" t="s">
        <v>80</v>
      </c>
      <c r="R8" s="26" t="s">
        <v>73</v>
      </c>
      <c r="S8" s="26" t="s">
        <v>73</v>
      </c>
      <c r="T8" s="27" t="s">
        <v>146</v>
      </c>
    </row>
    <row r="9" spans="1:20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82279D5B-A828-4F37-A064-779DA90F58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1D3E-2BC8-41A4-BB38-61CDEDF6E8A7}">
  <dimension ref="A1:T17"/>
  <sheetViews>
    <sheetView topLeftCell="O1" zoomScaleNormal="100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Entidades!A7</f>
        <v>franchises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Entidades!B7</f>
        <v>Entidad que contiene la información de las franquicias de talleres y almacenes.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200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147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148</v>
      </c>
    </row>
    <row r="9" spans="1:20">
      <c r="A9" s="15" t="s">
        <v>149</v>
      </c>
      <c r="B9" s="16" t="s">
        <v>72</v>
      </c>
      <c r="C9" s="16">
        <v>255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150</v>
      </c>
    </row>
    <row r="10" spans="1:20">
      <c r="A10" s="15" t="s">
        <v>100</v>
      </c>
      <c r="B10" s="16" t="s">
        <v>101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73</v>
      </c>
    </row>
    <row r="11" spans="1:20">
      <c r="A11" s="15" t="s">
        <v>102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7C9DA34A-F802-4A3C-A28F-8C45977B084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C5EF-D86C-4888-94DC-5BEBF36CE388}">
  <dimension ref="A1:T17"/>
  <sheetViews>
    <sheetView topLeftCell="O1" zoomScaleNormal="100" workbookViewId="0">
      <pane ySplit="1" topLeftCell="A2" activePane="bottomLeft" state="frozen"/>
      <selection pane="bottomLeft" activeCell="A7" sqref="A7:T15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Entidades!A8</f>
        <v>branches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Entidades!B8</f>
        <v>Entidad que contiene la información de las sedes de talleres y almacenes.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151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74</v>
      </c>
      <c r="H8" s="16" t="s">
        <v>74</v>
      </c>
      <c r="I8" s="16" t="s">
        <v>75</v>
      </c>
      <c r="J8" s="16" t="s">
        <v>12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152</v>
      </c>
    </row>
    <row r="9" spans="1:20" ht="27">
      <c r="A9" s="15" t="s">
        <v>153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154</v>
      </c>
    </row>
    <row r="10" spans="1:20">
      <c r="A10" s="15" t="s">
        <v>138</v>
      </c>
      <c r="B10" s="16" t="s">
        <v>72</v>
      </c>
      <c r="C10" s="16">
        <v>200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155</v>
      </c>
    </row>
    <row r="11" spans="1:20" ht="27">
      <c r="A11" s="15" t="s">
        <v>156</v>
      </c>
      <c r="B11" s="16" t="s">
        <v>72</v>
      </c>
      <c r="C11" s="16">
        <v>30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75</v>
      </c>
      <c r="O11" s="16" t="s">
        <v>157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158</v>
      </c>
    </row>
    <row r="12" spans="1:20">
      <c r="A12" s="15" t="s">
        <v>159</v>
      </c>
      <c r="B12" s="16" t="s">
        <v>72</v>
      </c>
      <c r="C12" s="16">
        <v>255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160</v>
      </c>
    </row>
    <row r="13" spans="1:20">
      <c r="A13" s="15" t="s">
        <v>161</v>
      </c>
      <c r="B13" s="16" t="s">
        <v>72</v>
      </c>
      <c r="C13" s="16">
        <v>20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75</v>
      </c>
      <c r="O13" s="16" t="s">
        <v>162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163</v>
      </c>
    </row>
    <row r="14" spans="1:20">
      <c r="A14" s="15" t="s">
        <v>100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5" t="s">
        <v>102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3DA5DE13-2D69-45BF-9C88-059E780C389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0719-3BFF-48DA-8BFC-F1E3AF896692}">
  <dimension ref="A1:T17"/>
  <sheetViews>
    <sheetView topLeftCell="O1" zoomScaleNormal="100" workbookViewId="0">
      <pane ySplit="1" topLeftCell="A2" activePane="bottomLeft" state="frozen"/>
      <selection pane="bottomLeft" activeCell="A7" sqref="A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Entidades!A9</f>
        <v>branch_brands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Entidades!B9</f>
        <v>Entidad que contiene la relación entre sedes y las marcas de motocicleta que manejan.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164</v>
      </c>
      <c r="B8" s="21" t="s">
        <v>72</v>
      </c>
      <c r="C8" s="21">
        <v>36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75</v>
      </c>
      <c r="J8" s="21" t="s">
        <v>14</v>
      </c>
      <c r="K8" s="21" t="s">
        <v>71</v>
      </c>
      <c r="L8" s="21" t="s">
        <v>75</v>
      </c>
      <c r="M8" s="21" t="s">
        <v>165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166</v>
      </c>
    </row>
    <row r="9" spans="1:20">
      <c r="A9" s="21" t="s">
        <v>167</v>
      </c>
      <c r="B9" s="21" t="s">
        <v>72</v>
      </c>
      <c r="C9" s="21">
        <v>36</v>
      </c>
      <c r="D9" s="21" t="s">
        <v>73</v>
      </c>
      <c r="E9" s="21" t="s">
        <v>73</v>
      </c>
      <c r="F9" s="21" t="s">
        <v>74</v>
      </c>
      <c r="G9" s="21" t="s">
        <v>75</v>
      </c>
      <c r="H9" s="21" t="s">
        <v>74</v>
      </c>
      <c r="I9" s="21" t="s">
        <v>75</v>
      </c>
      <c r="J9" s="21" t="s">
        <v>10</v>
      </c>
      <c r="K9" s="21" t="s">
        <v>71</v>
      </c>
      <c r="L9" s="21" t="s">
        <v>75</v>
      </c>
      <c r="M9" s="21" t="s">
        <v>165</v>
      </c>
      <c r="N9" s="21" t="s">
        <v>74</v>
      </c>
      <c r="O9" s="21" t="s">
        <v>73</v>
      </c>
      <c r="P9" s="21" t="s">
        <v>74</v>
      </c>
      <c r="Q9" s="21" t="s">
        <v>80</v>
      </c>
      <c r="R9" s="21" t="s">
        <v>73</v>
      </c>
      <c r="S9" s="21" t="s">
        <v>73</v>
      </c>
      <c r="T9" s="21" t="s">
        <v>168</v>
      </c>
    </row>
    <row r="10" spans="1:20">
      <c r="A10" s="21" t="s">
        <v>169</v>
      </c>
      <c r="B10" s="21" t="s">
        <v>135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74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74</v>
      </c>
      <c r="O10" s="21" t="s">
        <v>73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170</v>
      </c>
    </row>
    <row r="11" spans="1:20">
      <c r="A11" s="21" t="s">
        <v>100</v>
      </c>
      <c r="B11" s="21" t="s">
        <v>101</v>
      </c>
      <c r="C11" s="21" t="s">
        <v>73</v>
      </c>
      <c r="D11" s="21" t="s">
        <v>73</v>
      </c>
      <c r="E11" s="21" t="s">
        <v>73</v>
      </c>
      <c r="F11" s="21" t="s">
        <v>74</v>
      </c>
      <c r="G11" s="21" t="s">
        <v>74</v>
      </c>
      <c r="H11" s="21" t="s">
        <v>74</v>
      </c>
      <c r="I11" s="21" t="s">
        <v>74</v>
      </c>
      <c r="J11" s="21" t="s">
        <v>73</v>
      </c>
      <c r="K11" s="21" t="s">
        <v>73</v>
      </c>
      <c r="L11" s="21" t="s">
        <v>74</v>
      </c>
      <c r="M11" s="21" t="s">
        <v>73</v>
      </c>
      <c r="N11" s="21" t="s">
        <v>74</v>
      </c>
      <c r="O11" s="21" t="s">
        <v>73</v>
      </c>
      <c r="P11" s="21" t="s">
        <v>74</v>
      </c>
      <c r="Q11" s="21" t="s">
        <v>73</v>
      </c>
      <c r="R11" s="21" t="s">
        <v>73</v>
      </c>
      <c r="S11" s="21" t="s">
        <v>73</v>
      </c>
      <c r="T11" s="21" t="s">
        <v>73</v>
      </c>
    </row>
    <row r="12" spans="1:20">
      <c r="A12" s="21" t="s">
        <v>102</v>
      </c>
      <c r="B12" s="21" t="s">
        <v>101</v>
      </c>
      <c r="C12" s="21" t="s">
        <v>73</v>
      </c>
      <c r="D12" s="21" t="s">
        <v>73</v>
      </c>
      <c r="E12" s="21" t="s">
        <v>73</v>
      </c>
      <c r="F12" s="21" t="s">
        <v>74</v>
      </c>
      <c r="G12" s="21" t="s">
        <v>74</v>
      </c>
      <c r="H12" s="21" t="s">
        <v>74</v>
      </c>
      <c r="I12" s="21" t="s">
        <v>74</v>
      </c>
      <c r="J12" s="21" t="s">
        <v>73</v>
      </c>
      <c r="K12" s="21" t="s">
        <v>73</v>
      </c>
      <c r="L12" s="21" t="s">
        <v>74</v>
      </c>
      <c r="M12" s="21" t="s">
        <v>73</v>
      </c>
      <c r="N12" s="21" t="s">
        <v>74</v>
      </c>
      <c r="O12" s="21" t="s">
        <v>73</v>
      </c>
      <c r="P12" s="21" t="s">
        <v>74</v>
      </c>
      <c r="Q12" s="21" t="s">
        <v>73</v>
      </c>
      <c r="R12" s="21" t="s">
        <v>73</v>
      </c>
      <c r="S12" s="21" t="s">
        <v>73</v>
      </c>
      <c r="T12" s="21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1BF69E8C-FB05-487F-AD80-C3928E2FE60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522C-4D28-4154-937C-8098D82BC32F}">
  <dimension ref="A1:T17"/>
  <sheetViews>
    <sheetView topLeftCell="O1" zoomScaleNormal="100" workbookViewId="0">
      <pane ySplit="1" topLeftCell="O2" activePane="bottomLeft" state="frozen"/>
      <selection pane="bottomLeft" activeCell="T9" sqref="T9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Entidades!A10</f>
        <v>branch_displacement_ranges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Entidades!B10</f>
        <v>Entidad que contiene los rangos de cilindraje que maneja cada sede (bajo, medio, alto).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171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166</v>
      </c>
    </row>
    <row r="9" spans="1:20" ht="40.5">
      <c r="A9" s="15" t="s">
        <v>172</v>
      </c>
      <c r="B9" s="16" t="s">
        <v>119</v>
      </c>
      <c r="C9" s="17" t="s">
        <v>173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75</v>
      </c>
      <c r="M9" s="16" t="s">
        <v>171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174</v>
      </c>
    </row>
    <row r="10" spans="1:20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175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2AF5CEAC-2A19-4E44-B856-61A01AD1F80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22F2-7E72-4E0A-B347-68807643724E}">
  <dimension ref="A1:T17"/>
  <sheetViews>
    <sheetView topLeftCell="O1" zoomScaleNormal="100" workbookViewId="0">
      <pane ySplit="1" topLeftCell="O3" activePane="bottomLeft" state="frozen"/>
      <selection pane="bottomLeft" activeCell="J9" sqref="J9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Entidades!A11</f>
        <v>locations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Entidades!B11</f>
        <v>Entidad que contiene la ubicación física de cada sede (dirección, ciudad y coordenadas GPS).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176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177</v>
      </c>
    </row>
    <row r="9" spans="1:20">
      <c r="A9" s="15" t="s">
        <v>178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8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179</v>
      </c>
    </row>
    <row r="10" spans="1:20">
      <c r="A10" s="15" t="s">
        <v>180</v>
      </c>
      <c r="B10" s="16" t="s">
        <v>72</v>
      </c>
      <c r="C10" s="16">
        <v>150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181</v>
      </c>
    </row>
    <row r="11" spans="1:20">
      <c r="A11" s="15" t="s">
        <v>182</v>
      </c>
      <c r="B11" s="16" t="s">
        <v>183</v>
      </c>
      <c r="C11" s="16" t="s">
        <v>73</v>
      </c>
      <c r="D11" s="16">
        <v>2</v>
      </c>
      <c r="E11" s="16">
        <v>8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184</v>
      </c>
    </row>
    <row r="12" spans="1:20">
      <c r="A12" s="15" t="s">
        <v>185</v>
      </c>
      <c r="B12" s="16" t="s">
        <v>183</v>
      </c>
      <c r="C12" s="16" t="s">
        <v>73</v>
      </c>
      <c r="D12" s="16">
        <v>3</v>
      </c>
      <c r="E12" s="16">
        <v>8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186</v>
      </c>
    </row>
    <row r="13" spans="1:20">
      <c r="A13" s="15" t="s">
        <v>100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5" t="s">
        <v>102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80DDCF43-50CD-4A82-BECC-73421B8258B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120E-4770-4722-B1BB-1267A4B7430F}">
  <dimension ref="A1:T17"/>
  <sheetViews>
    <sheetView topLeftCell="O1" zoomScaleNormal="100" workbookViewId="0">
      <pane ySplit="1" topLeftCell="C3" activePane="bottomLeft" state="frozen"/>
      <selection pane="bottomLeft" activeCell="D15" sqref="D15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Entidades!A12</f>
        <v>branch_schedules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Entidades!B12</f>
        <v>Entidad que contiene la configuración general del horario de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164</v>
      </c>
      <c r="B8" s="21" t="s">
        <v>72</v>
      </c>
      <c r="C8" s="21">
        <v>36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75</v>
      </c>
      <c r="J8" s="21" t="s">
        <v>14</v>
      </c>
      <c r="K8" s="21" t="s">
        <v>71</v>
      </c>
      <c r="L8" s="21" t="s">
        <v>75</v>
      </c>
      <c r="M8" s="21" t="s">
        <v>187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177</v>
      </c>
    </row>
    <row r="9" spans="1:20" ht="27">
      <c r="A9" s="21" t="s">
        <v>169</v>
      </c>
      <c r="B9" s="21" t="s">
        <v>188</v>
      </c>
      <c r="C9" s="21" t="s">
        <v>73</v>
      </c>
      <c r="D9" s="21" t="s">
        <v>73</v>
      </c>
      <c r="E9" s="21" t="s">
        <v>73</v>
      </c>
      <c r="F9" s="21" t="s">
        <v>74</v>
      </c>
      <c r="G9" s="21" t="s">
        <v>74</v>
      </c>
      <c r="H9" s="21" t="s">
        <v>74</v>
      </c>
      <c r="I9" s="21" t="s">
        <v>74</v>
      </c>
      <c r="J9" s="21" t="s">
        <v>73</v>
      </c>
      <c r="K9" s="21" t="s">
        <v>73</v>
      </c>
      <c r="L9" s="21" t="s">
        <v>74</v>
      </c>
      <c r="M9" s="21" t="s">
        <v>73</v>
      </c>
      <c r="N9" s="21" t="s">
        <v>74</v>
      </c>
      <c r="O9" s="21" t="s">
        <v>73</v>
      </c>
      <c r="P9" s="21" t="s">
        <v>74</v>
      </c>
      <c r="Q9" s="21" t="s">
        <v>73</v>
      </c>
      <c r="R9" s="21" t="s">
        <v>73</v>
      </c>
      <c r="S9" s="21" t="s">
        <v>73</v>
      </c>
      <c r="T9" s="21" t="s">
        <v>189</v>
      </c>
    </row>
    <row r="10" spans="1:20">
      <c r="A10" s="21" t="s">
        <v>190</v>
      </c>
      <c r="B10" s="21" t="s">
        <v>191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75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75</v>
      </c>
      <c r="O10" s="21" t="s">
        <v>192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193</v>
      </c>
    </row>
    <row r="11" spans="1:20" ht="27">
      <c r="A11" s="21" t="s">
        <v>194</v>
      </c>
      <c r="B11" s="21" t="s">
        <v>191</v>
      </c>
      <c r="C11" s="21" t="s">
        <v>73</v>
      </c>
      <c r="D11" s="21" t="s">
        <v>73</v>
      </c>
      <c r="E11" s="21" t="s">
        <v>73</v>
      </c>
      <c r="F11" s="21" t="s">
        <v>74</v>
      </c>
      <c r="G11" s="21" t="s">
        <v>74</v>
      </c>
      <c r="H11" s="21" t="s">
        <v>74</v>
      </c>
      <c r="I11" s="21" t="s">
        <v>74</v>
      </c>
      <c r="J11" s="21" t="s">
        <v>73</v>
      </c>
      <c r="K11" s="21" t="s">
        <v>73</v>
      </c>
      <c r="L11" s="21" t="s">
        <v>74</v>
      </c>
      <c r="M11" s="21" t="s">
        <v>73</v>
      </c>
      <c r="N11" s="21" t="s">
        <v>75</v>
      </c>
      <c r="O11" s="21" t="s">
        <v>192</v>
      </c>
      <c r="P11" s="21" t="s">
        <v>74</v>
      </c>
      <c r="Q11" s="21" t="s">
        <v>73</v>
      </c>
      <c r="R11" s="21" t="s">
        <v>73</v>
      </c>
      <c r="S11" s="21" t="s">
        <v>73</v>
      </c>
      <c r="T11" s="21" t="s">
        <v>195</v>
      </c>
    </row>
    <row r="12" spans="1:20">
      <c r="A12" s="21" t="s">
        <v>100</v>
      </c>
      <c r="B12" s="21" t="s">
        <v>101</v>
      </c>
      <c r="C12" s="21" t="s">
        <v>73</v>
      </c>
      <c r="D12" s="21" t="s">
        <v>73</v>
      </c>
      <c r="E12" s="21" t="s">
        <v>73</v>
      </c>
      <c r="F12" s="21" t="s">
        <v>74</v>
      </c>
      <c r="G12" s="21" t="s">
        <v>74</v>
      </c>
      <c r="H12" s="21" t="s">
        <v>74</v>
      </c>
      <c r="I12" s="21" t="s">
        <v>74</v>
      </c>
      <c r="J12" s="21" t="s">
        <v>73</v>
      </c>
      <c r="K12" s="21" t="s">
        <v>73</v>
      </c>
      <c r="L12" s="21" t="s">
        <v>74</v>
      </c>
      <c r="M12" s="21" t="s">
        <v>73</v>
      </c>
      <c r="N12" s="21" t="s">
        <v>74</v>
      </c>
      <c r="O12" s="21" t="s">
        <v>73</v>
      </c>
      <c r="P12" s="21" t="s">
        <v>74</v>
      </c>
      <c r="Q12" s="21" t="s">
        <v>73</v>
      </c>
      <c r="R12" s="21" t="s">
        <v>73</v>
      </c>
      <c r="S12" s="21" t="s">
        <v>73</v>
      </c>
      <c r="T12" s="21" t="s">
        <v>73</v>
      </c>
    </row>
    <row r="13" spans="1:20">
      <c r="A13" s="21" t="s">
        <v>102</v>
      </c>
      <c r="B13" s="21" t="s">
        <v>101</v>
      </c>
      <c r="C13" s="21" t="s">
        <v>73</v>
      </c>
      <c r="D13" s="21" t="s">
        <v>73</v>
      </c>
      <c r="E13" s="21" t="s">
        <v>73</v>
      </c>
      <c r="F13" s="21" t="s">
        <v>74</v>
      </c>
      <c r="G13" s="21" t="s">
        <v>74</v>
      </c>
      <c r="H13" s="21" t="s">
        <v>74</v>
      </c>
      <c r="I13" s="21" t="s">
        <v>74</v>
      </c>
      <c r="J13" s="21" t="s">
        <v>73</v>
      </c>
      <c r="K13" s="21" t="s">
        <v>73</v>
      </c>
      <c r="L13" s="21" t="s">
        <v>74</v>
      </c>
      <c r="M13" s="21" t="s">
        <v>73</v>
      </c>
      <c r="N13" s="21" t="s">
        <v>74</v>
      </c>
      <c r="O13" s="21" t="s">
        <v>73</v>
      </c>
      <c r="P13" s="21" t="s">
        <v>74</v>
      </c>
      <c r="Q13" s="21" t="s">
        <v>73</v>
      </c>
      <c r="R13" s="21" t="s">
        <v>73</v>
      </c>
      <c r="S13" s="21" t="s">
        <v>73</v>
      </c>
      <c r="T13" s="21" t="s">
        <v>73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F190D73-8A2B-4838-8002-0499D12BE32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9A8D-8EE0-4C38-BDD7-BE006EDB6FD3}">
  <dimension ref="A1:T19"/>
  <sheetViews>
    <sheetView topLeftCell="O1" zoomScaleNormal="100" workbookViewId="0">
      <pane ySplit="1" topLeftCell="A2" activePane="bottomLeft" state="frozen"/>
      <selection pane="bottomLeft" activeCell="D21" sqref="D2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5.42578125" style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Entidades!A13</f>
        <v>schedule_details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Entidades!B13</f>
        <v>Entidad que contiene las franjas horarias regulares y las excepciones de horario de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196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22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197</v>
      </c>
      <c r="S8" s="16" t="s">
        <v>73</v>
      </c>
      <c r="T8" s="16" t="s">
        <v>198</v>
      </c>
    </row>
    <row r="9" spans="1:20" ht="27">
      <c r="A9" s="15" t="s">
        <v>199</v>
      </c>
      <c r="B9" s="16" t="s">
        <v>119</v>
      </c>
      <c r="C9" s="17" t="s">
        <v>200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201</v>
      </c>
      <c r="S9" s="16" t="s">
        <v>73</v>
      </c>
      <c r="T9" s="16" t="s">
        <v>202</v>
      </c>
    </row>
    <row r="10" spans="1:20" ht="27">
      <c r="A10" s="15" t="s">
        <v>203</v>
      </c>
      <c r="B10" s="16" t="s">
        <v>204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75</v>
      </c>
      <c r="O10" s="16" t="s">
        <v>205</v>
      </c>
      <c r="P10" s="16" t="s">
        <v>75</v>
      </c>
      <c r="Q10" s="16" t="s">
        <v>121</v>
      </c>
      <c r="R10" s="16" t="s">
        <v>206</v>
      </c>
      <c r="S10" s="16" t="s">
        <v>73</v>
      </c>
      <c r="T10" s="16" t="s">
        <v>207</v>
      </c>
    </row>
    <row r="11" spans="1:20" ht="27">
      <c r="A11" s="15" t="s">
        <v>208</v>
      </c>
      <c r="B11" s="16" t="s">
        <v>191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209</v>
      </c>
      <c r="S11" s="16" t="s">
        <v>73</v>
      </c>
      <c r="T11" s="16" t="s">
        <v>210</v>
      </c>
    </row>
    <row r="12" spans="1:20" ht="27">
      <c r="A12" s="15" t="s">
        <v>211</v>
      </c>
      <c r="B12" s="16" t="s">
        <v>212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213</v>
      </c>
    </row>
    <row r="13" spans="1:20" ht="27">
      <c r="A13" s="15" t="s">
        <v>214</v>
      </c>
      <c r="B13" s="16" t="s">
        <v>212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215</v>
      </c>
    </row>
    <row r="14" spans="1:20">
      <c r="A14" s="15" t="s">
        <v>216</v>
      </c>
      <c r="B14" s="16" t="s">
        <v>217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218</v>
      </c>
    </row>
    <row r="15" spans="1:20">
      <c r="A15" s="15" t="s">
        <v>169</v>
      </c>
      <c r="B15" s="16" t="s">
        <v>135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219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  <row r="18" spans="1:20" ht="27">
      <c r="A18" s="15" t="s">
        <v>220</v>
      </c>
      <c r="B18" s="16" t="s">
        <v>191</v>
      </c>
      <c r="C18" s="16" t="s">
        <v>73</v>
      </c>
      <c r="D18" s="16" t="s">
        <v>73</v>
      </c>
      <c r="E18" s="16" t="s">
        <v>73</v>
      </c>
      <c r="F18" s="16" t="s">
        <v>74</v>
      </c>
      <c r="G18" s="16" t="s">
        <v>74</v>
      </c>
      <c r="H18" s="16" t="s">
        <v>74</v>
      </c>
      <c r="I18" s="16" t="s">
        <v>74</v>
      </c>
      <c r="J18" s="16" t="s">
        <v>73</v>
      </c>
      <c r="K18" s="16" t="s">
        <v>73</v>
      </c>
      <c r="L18" s="16" t="s">
        <v>74</v>
      </c>
      <c r="M18" s="16" t="s">
        <v>73</v>
      </c>
      <c r="N18" s="16" t="s">
        <v>74</v>
      </c>
      <c r="O18" s="16" t="s">
        <v>73</v>
      </c>
      <c r="P18" s="16" t="s">
        <v>75</v>
      </c>
      <c r="Q18" s="16" t="s">
        <v>121</v>
      </c>
      <c r="R18" s="16" t="s">
        <v>221</v>
      </c>
      <c r="S18" s="16" t="s">
        <v>73</v>
      </c>
      <c r="T18" s="16" t="s">
        <v>222</v>
      </c>
    </row>
    <row r="19" spans="1:20" ht="27">
      <c r="A19" s="15" t="s">
        <v>223</v>
      </c>
      <c r="B19" s="16" t="s">
        <v>191</v>
      </c>
      <c r="C19" s="16" t="s">
        <v>73</v>
      </c>
      <c r="D19" s="16" t="s">
        <v>73</v>
      </c>
      <c r="E19" s="16" t="s">
        <v>73</v>
      </c>
      <c r="F19" s="16" t="s">
        <v>74</v>
      </c>
      <c r="G19" s="16" t="s">
        <v>74</v>
      </c>
      <c r="H19" s="16" t="s">
        <v>74</v>
      </c>
      <c r="I19" s="16" t="s">
        <v>74</v>
      </c>
      <c r="J19" s="16" t="s">
        <v>73</v>
      </c>
      <c r="K19" s="16" t="s">
        <v>73</v>
      </c>
      <c r="L19" s="16" t="s">
        <v>74</v>
      </c>
      <c r="M19" s="16" t="s">
        <v>73</v>
      </c>
      <c r="N19" s="16" t="s">
        <v>74</v>
      </c>
      <c r="O19" s="16" t="s">
        <v>73</v>
      </c>
      <c r="P19" s="16" t="s">
        <v>75</v>
      </c>
      <c r="Q19" s="16" t="s">
        <v>121</v>
      </c>
      <c r="R19" s="16" t="s">
        <v>221</v>
      </c>
      <c r="S19" s="16" t="s">
        <v>73</v>
      </c>
      <c r="T19" s="16" t="s">
        <v>224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FF6470B1-B3C6-45B5-A217-8D88B8BADED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56CF-DD04-4AC4-B0E9-8D2AD58BEA7C}">
  <dimension ref="A1:T16"/>
  <sheetViews>
    <sheetView topLeftCell="O1" zoomScaleNormal="100" workbookViewId="0">
      <pane ySplit="1" topLeftCell="A2" activePane="bottomLeft" state="frozen"/>
      <selection pane="bottomLeft" activeCell="C11" sqref="C1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Entidades!A14</f>
        <v>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Entidades!B14</f>
        <v>Entidad que contiene el catálogo de servicios disponibles (mantenimiento, reparación, etc.).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100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225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226</v>
      </c>
    </row>
    <row r="9" spans="1:20">
      <c r="A9" s="15" t="s">
        <v>149</v>
      </c>
      <c r="B9" s="16" t="s">
        <v>72</v>
      </c>
      <c r="C9" s="16">
        <v>255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227</v>
      </c>
    </row>
    <row r="10" spans="1:20">
      <c r="A10" s="15" t="s">
        <v>228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229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 ht="27">
      <c r="A13" s="15" t="s">
        <v>134</v>
      </c>
      <c r="B13" s="16" t="s">
        <v>135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230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908EBF07-079D-4C32-8BA2-3CB13A10C37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1E99-AC3A-4028-89DD-DFDC8DFCCA27}">
  <dimension ref="A1:T15"/>
  <sheetViews>
    <sheetView topLeftCell="O1" zoomScaleNormal="100" workbookViewId="0">
      <pane ySplit="1" topLeftCell="A2" activePane="bottomLeft" state="frozen"/>
      <selection pane="bottomLeft" activeCell="E14" sqref="E1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Entidades!A15</f>
        <v>branch_services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Entidades!B15</f>
        <v>Entidad que contiene la relación entre sedes y los servicios que ofrecen.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231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166</v>
      </c>
    </row>
    <row r="9" spans="1:20">
      <c r="A9" s="15" t="s">
        <v>232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26</v>
      </c>
      <c r="K9" s="16" t="s">
        <v>71</v>
      </c>
      <c r="L9" s="16" t="s">
        <v>75</v>
      </c>
      <c r="M9" s="16" t="s">
        <v>231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233</v>
      </c>
    </row>
    <row r="10" spans="1:20" ht="27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234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500B88D-F43B-4D97-82D0-BBB3CEF2246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0FC4-1252-40B8-A9C9-155B5EAA0CDD}">
  <dimension ref="A1:T15"/>
  <sheetViews>
    <sheetView topLeftCell="O1" zoomScaleNormal="100" workbookViewId="0">
      <pane ySplit="1" topLeftCell="A2" activePane="bottomLeft" state="frozen"/>
      <selection pane="bottomLeft" activeCell="S19" sqref="S19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Entidades!A16</f>
        <v>motorcycle_references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Entidades!B16</f>
        <v>Entidad que contiene el catálogo de referencias de motocicletas (marca, modelo, categoría y cilindraje).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167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168</v>
      </c>
    </row>
    <row r="9" spans="1:20">
      <c r="A9" s="15" t="s">
        <v>235</v>
      </c>
      <c r="B9" s="16" t="s">
        <v>72</v>
      </c>
      <c r="C9" s="16">
        <v>50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236</v>
      </c>
    </row>
    <row r="10" spans="1:20">
      <c r="A10" s="15" t="s">
        <v>124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237</v>
      </c>
    </row>
    <row r="11" spans="1:20" ht="27">
      <c r="A11" s="15" t="s">
        <v>238</v>
      </c>
      <c r="B11" s="16" t="s">
        <v>239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240</v>
      </c>
    </row>
    <row r="12" spans="1:20" ht="40.5">
      <c r="A12" s="15" t="s">
        <v>172</v>
      </c>
      <c r="B12" s="16" t="s">
        <v>119</v>
      </c>
      <c r="C12" s="17" t="s">
        <v>173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75</v>
      </c>
      <c r="Q12" s="16" t="s">
        <v>121</v>
      </c>
      <c r="R12" s="16" t="s">
        <v>241</v>
      </c>
      <c r="S12" s="16" t="s">
        <v>73</v>
      </c>
      <c r="T12" s="16" t="s">
        <v>242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514FB6EC-40D1-4261-B5BA-6CB47DCF9F6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CE69-3501-4E87-A83B-4EAE85A420EE}">
  <dimension ref="A1:T17"/>
  <sheetViews>
    <sheetView topLeftCell="O1" zoomScaleNormal="100" workbookViewId="0">
      <pane ySplit="1" topLeftCell="O2" activePane="bottomLeft" state="frozen"/>
      <selection pane="bottomLeft" activeCell="A7" sqref="A7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Entidades!A17</f>
        <v>motorcycles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Entidades!B17</f>
        <v>Entidad que contiene la información de las motocicletas registradas por los usuarios.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243</v>
      </c>
      <c r="B8" s="16" t="s">
        <v>72</v>
      </c>
      <c r="C8" s="16">
        <v>10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244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245</v>
      </c>
    </row>
    <row r="9" spans="1:20" ht="27">
      <c r="A9" s="15" t="s">
        <v>246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30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247</v>
      </c>
    </row>
    <row r="10" spans="1:20">
      <c r="A10" s="15" t="s">
        <v>248</v>
      </c>
      <c r="B10" s="16" t="s">
        <v>72</v>
      </c>
      <c r="C10" s="16">
        <v>36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75</v>
      </c>
      <c r="J10" s="16" t="s">
        <v>2</v>
      </c>
      <c r="K10" s="16" t="s">
        <v>71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249</v>
      </c>
    </row>
    <row r="11" spans="1:20">
      <c r="A11" s="15" t="s">
        <v>250</v>
      </c>
      <c r="B11" s="16" t="s">
        <v>239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251</v>
      </c>
    </row>
    <row r="12" spans="1:20">
      <c r="A12" s="15" t="s">
        <v>252</v>
      </c>
      <c r="B12" s="16" t="s">
        <v>239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253</v>
      </c>
    </row>
    <row r="13" spans="1:20">
      <c r="A13" s="15" t="s">
        <v>254</v>
      </c>
      <c r="B13" s="16" t="s">
        <v>132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255</v>
      </c>
    </row>
    <row r="14" spans="1:20" ht="27">
      <c r="A14" s="15" t="s">
        <v>159</v>
      </c>
      <c r="B14" s="16" t="s">
        <v>72</v>
      </c>
      <c r="C14" s="16">
        <v>255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256</v>
      </c>
    </row>
    <row r="15" spans="1:20">
      <c r="A15" s="15" t="s">
        <v>257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75</v>
      </c>
      <c r="Q15" s="16" t="s">
        <v>121</v>
      </c>
      <c r="R15" s="16" t="s">
        <v>258</v>
      </c>
      <c r="S15" s="16" t="s">
        <v>73</v>
      </c>
      <c r="T15" s="16" t="s">
        <v>259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D2F8915-79A1-49A7-BF93-3F2A35D2A94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3D5B-2471-46E2-84BF-2E72817E60FE}">
  <dimension ref="A1:T15"/>
  <sheetViews>
    <sheetView topLeftCell="O1" zoomScaleNormal="100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Entidades!A18</f>
        <v>motorcycle_evidence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Entidades!B18</f>
        <v>Entidad que contiene las fotos y evidencias fotográficas de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261</v>
      </c>
      <c r="S8" s="16" t="s">
        <v>73</v>
      </c>
      <c r="T8" s="16" t="s">
        <v>262</v>
      </c>
    </row>
    <row r="9" spans="1:20" ht="40.5">
      <c r="A9" s="15" t="s">
        <v>263</v>
      </c>
      <c r="B9" s="16" t="s">
        <v>119</v>
      </c>
      <c r="C9" s="17" t="s">
        <v>264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265</v>
      </c>
      <c r="S9" s="16" t="s">
        <v>73</v>
      </c>
      <c r="T9" s="16" t="s">
        <v>266</v>
      </c>
    </row>
    <row r="10" spans="1:20">
      <c r="A10" s="15" t="s">
        <v>267</v>
      </c>
      <c r="B10" s="16" t="s">
        <v>72</v>
      </c>
      <c r="C10" s="16">
        <v>255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268</v>
      </c>
    </row>
    <row r="11" spans="1:20">
      <c r="A11" s="15" t="s">
        <v>149</v>
      </c>
      <c r="B11" s="16" t="s">
        <v>72</v>
      </c>
      <c r="C11" s="16">
        <v>200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269</v>
      </c>
    </row>
    <row r="12" spans="1:20">
      <c r="A12" s="15" t="s">
        <v>100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270</v>
      </c>
    </row>
    <row r="13" spans="1:20">
      <c r="A13" s="15" t="s">
        <v>102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88F1633-4B98-490E-891F-89E86E329A4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2515-AC94-4F41-9EDD-C7F40E3AAA32}">
  <dimension ref="A1:T15"/>
  <sheetViews>
    <sheetView topLeftCell="O1" zoomScaleNormal="100" workbookViewId="0">
      <pane ySplit="1" topLeftCell="A2" activePane="bottomLeft" state="frozen"/>
      <selection pane="bottomLeft" activeCell="H32" sqref="H32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Entidades!A19</f>
        <v>diagnostics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Entidades!B19</f>
        <v>Entidad que contiene los diagnósticos y cotizaciones realizados a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262</v>
      </c>
    </row>
    <row r="9" spans="1:20" ht="67.5">
      <c r="A9" s="15" t="s">
        <v>164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14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271</v>
      </c>
      <c r="T9" s="16" t="s">
        <v>272</v>
      </c>
    </row>
    <row r="10" spans="1:20">
      <c r="A10" s="15" t="s">
        <v>273</v>
      </c>
      <c r="B10" s="16" t="s">
        <v>274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75</v>
      </c>
      <c r="Q10" s="16" t="s">
        <v>121</v>
      </c>
      <c r="R10" s="16" t="s">
        <v>275</v>
      </c>
      <c r="S10" s="16" t="s">
        <v>73</v>
      </c>
      <c r="T10" s="16" t="s">
        <v>276</v>
      </c>
    </row>
    <row r="11" spans="1:20">
      <c r="A11" s="15" t="s">
        <v>277</v>
      </c>
      <c r="B11" s="16" t="s">
        <v>132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278</v>
      </c>
    </row>
    <row r="12" spans="1:20">
      <c r="A12" s="15" t="s">
        <v>279</v>
      </c>
      <c r="B12" s="16" t="s">
        <v>132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280</v>
      </c>
    </row>
    <row r="13" spans="1:20">
      <c r="A13" s="15" t="s">
        <v>100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5" t="s">
        <v>102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A3C2144-87F9-4ACA-9C4E-2073AC1EC59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399D-E702-4A0D-BD6F-AB75B1A18BB0}">
  <dimension ref="A1:T13"/>
  <sheetViews>
    <sheetView topLeftCell="O1" zoomScaleNormal="100" workbookViewId="0">
      <pane ySplit="1" topLeftCell="A2" activePane="bottomLeft" state="frozen"/>
      <selection pane="bottomLeft" activeCell="D28" sqref="D28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Entidades!A20</f>
        <v>motorcycle_diagnostic_permissions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Entidades!B20</f>
        <v>Entidad que contiene los permisos de diagnóstico otorgados por moto a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75</v>
      </c>
      <c r="M8" s="16" t="s">
        <v>281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262</v>
      </c>
    </row>
    <row r="9" spans="1:20">
      <c r="A9" s="15" t="s">
        <v>164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14</v>
      </c>
      <c r="K9" s="16" t="s">
        <v>71</v>
      </c>
      <c r="L9" s="16" t="s">
        <v>75</v>
      </c>
      <c r="M9" s="16" t="s">
        <v>281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282</v>
      </c>
    </row>
    <row r="10" spans="1:20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283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F98C36A-1888-49A1-B918-C76DF5A6E95B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8248-4501-4E06-88B4-12AEEBF71F6C}">
  <dimension ref="A1:T21"/>
  <sheetViews>
    <sheetView topLeftCell="O1" zoomScaleNormal="100" workbookViewId="0">
      <pane ySplit="1" topLeftCell="A2" activePane="bottomLeft" state="frozen"/>
      <selection pane="bottomLeft" activeCell="D13" sqref="D13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Entidades!A21</f>
        <v>completed_services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Entidades!B21</f>
        <v>Entidad que contiene el historial de servicios realizados a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67.5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271</v>
      </c>
      <c r="T8" s="16" t="s">
        <v>284</v>
      </c>
    </row>
    <row r="9" spans="1:20">
      <c r="A9" s="15" t="s">
        <v>260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32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262</v>
      </c>
    </row>
    <row r="10" spans="1:20" ht="27">
      <c r="A10" s="15" t="s">
        <v>285</v>
      </c>
      <c r="B10" s="16" t="s">
        <v>72</v>
      </c>
      <c r="C10" s="16">
        <v>36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75</v>
      </c>
      <c r="J10" s="16" t="s">
        <v>36</v>
      </c>
      <c r="K10" s="16" t="s">
        <v>71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286</v>
      </c>
    </row>
    <row r="11" spans="1:20">
      <c r="A11" s="15" t="s">
        <v>287</v>
      </c>
      <c r="B11" s="16" t="s">
        <v>274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288</v>
      </c>
      <c r="S11" s="16" t="s">
        <v>73</v>
      </c>
      <c r="T11" s="16" t="s">
        <v>289</v>
      </c>
    </row>
    <row r="12" spans="1:20">
      <c r="A12" s="15" t="s">
        <v>290</v>
      </c>
      <c r="B12" s="16" t="s">
        <v>274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291</v>
      </c>
    </row>
    <row r="13" spans="1:20" ht="74.25" customHeight="1">
      <c r="A13" s="15" t="s">
        <v>161</v>
      </c>
      <c r="B13" s="16" t="s">
        <v>119</v>
      </c>
      <c r="C13" s="17" t="s">
        <v>292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293</v>
      </c>
    </row>
    <row r="14" spans="1:20">
      <c r="A14" s="15" t="s">
        <v>294</v>
      </c>
      <c r="B14" s="16" t="s">
        <v>183</v>
      </c>
      <c r="C14" s="16" t="s">
        <v>73</v>
      </c>
      <c r="D14" s="16">
        <v>10</v>
      </c>
      <c r="E14" s="16">
        <v>2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295</v>
      </c>
    </row>
    <row r="15" spans="1:20">
      <c r="A15" s="15" t="s">
        <v>296</v>
      </c>
      <c r="B15" s="16" t="s">
        <v>183</v>
      </c>
      <c r="C15" s="16" t="s">
        <v>73</v>
      </c>
      <c r="D15" s="16">
        <v>10</v>
      </c>
      <c r="E15" s="16">
        <v>2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297</v>
      </c>
    </row>
    <row r="16" spans="1:20" ht="27">
      <c r="A16" s="15" t="s">
        <v>298</v>
      </c>
      <c r="B16" s="16" t="s">
        <v>132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299</v>
      </c>
    </row>
    <row r="17" spans="1:20" ht="27">
      <c r="A17" s="15" t="s">
        <v>257</v>
      </c>
      <c r="B17" s="16" t="s">
        <v>274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300</v>
      </c>
    </row>
    <row r="18" spans="1:20">
      <c r="A18" s="15" t="s">
        <v>100</v>
      </c>
      <c r="B18" s="16" t="s">
        <v>101</v>
      </c>
      <c r="C18" s="16" t="s">
        <v>73</v>
      </c>
      <c r="D18" s="16" t="s">
        <v>73</v>
      </c>
      <c r="E18" s="16" t="s">
        <v>73</v>
      </c>
      <c r="F18" s="16" t="s">
        <v>74</v>
      </c>
      <c r="G18" s="16" t="s">
        <v>74</v>
      </c>
      <c r="H18" s="16" t="s">
        <v>74</v>
      </c>
      <c r="I18" s="16" t="s">
        <v>74</v>
      </c>
      <c r="J18" s="16" t="s">
        <v>73</v>
      </c>
      <c r="K18" s="16" t="s">
        <v>73</v>
      </c>
      <c r="L18" s="16" t="s">
        <v>74</v>
      </c>
      <c r="M18" s="16" t="s">
        <v>73</v>
      </c>
      <c r="N18" s="16" t="s">
        <v>74</v>
      </c>
      <c r="O18" s="16" t="s">
        <v>73</v>
      </c>
      <c r="P18" s="16" t="s">
        <v>74</v>
      </c>
      <c r="Q18" s="16" t="s">
        <v>73</v>
      </c>
      <c r="R18" s="16" t="s">
        <v>73</v>
      </c>
      <c r="S18" s="16" t="s">
        <v>73</v>
      </c>
      <c r="T18" s="16" t="s">
        <v>73</v>
      </c>
    </row>
    <row r="19" spans="1:20">
      <c r="A19" s="15" t="s">
        <v>102</v>
      </c>
      <c r="B19" s="16" t="s">
        <v>101</v>
      </c>
      <c r="C19" s="16" t="s">
        <v>73</v>
      </c>
      <c r="D19" s="16" t="s">
        <v>73</v>
      </c>
      <c r="E19" s="16" t="s">
        <v>73</v>
      </c>
      <c r="F19" s="16" t="s">
        <v>74</v>
      </c>
      <c r="G19" s="16" t="s">
        <v>74</v>
      </c>
      <c r="H19" s="16" t="s">
        <v>74</v>
      </c>
      <c r="I19" s="16" t="s">
        <v>74</v>
      </c>
      <c r="J19" s="16" t="s">
        <v>73</v>
      </c>
      <c r="K19" s="16" t="s">
        <v>73</v>
      </c>
      <c r="L19" s="16" t="s">
        <v>74</v>
      </c>
      <c r="M19" s="16" t="s">
        <v>73</v>
      </c>
      <c r="N19" s="16" t="s">
        <v>74</v>
      </c>
      <c r="O19" s="16" t="s">
        <v>73</v>
      </c>
      <c r="P19" s="16" t="s">
        <v>74</v>
      </c>
      <c r="Q19" s="16" t="s">
        <v>73</v>
      </c>
      <c r="R19" s="16" t="s">
        <v>73</v>
      </c>
      <c r="S19" s="16" t="s">
        <v>73</v>
      </c>
      <c r="T19" s="16" t="s">
        <v>73</v>
      </c>
    </row>
    <row r="21" spans="1:20">
      <c r="D21" s="29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4D8E350-AAF8-45EF-B9B6-C9D62FDF600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D73D-E7BA-4CC7-8404-109B815B3749}">
  <dimension ref="A1:T15"/>
  <sheetViews>
    <sheetView topLeftCell="O1" zoomScaleNormal="100" workbookViewId="0">
      <pane ySplit="1" topLeftCell="A2" activePane="bottomLeft" state="frozen"/>
      <selection pane="bottomLeft" activeCell="G20" sqref="G20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Entidades!A22</f>
        <v>completed_service_items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Entidades!B22</f>
        <v>Entidad que contiene los ítems individuales de cada servicio realizado, con calificación opcional.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81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301</v>
      </c>
      <c r="T7" s="14" t="s">
        <v>114</v>
      </c>
    </row>
    <row r="8" spans="1:20" ht="27">
      <c r="A8" s="15" t="s">
        <v>302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40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303</v>
      </c>
      <c r="S8" s="16" t="s">
        <v>73</v>
      </c>
      <c r="T8" s="16" t="s">
        <v>304</v>
      </c>
    </row>
    <row r="9" spans="1:20">
      <c r="A9" s="15" t="s">
        <v>232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26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305</v>
      </c>
    </row>
    <row r="10" spans="1:20">
      <c r="A10" s="15" t="s">
        <v>306</v>
      </c>
      <c r="B10" s="16" t="s">
        <v>204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75</v>
      </c>
      <c r="O10" s="16" t="s">
        <v>307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308</v>
      </c>
    </row>
    <row r="11" spans="1:20">
      <c r="A11" s="15" t="s">
        <v>309</v>
      </c>
      <c r="B11" s="16" t="s">
        <v>132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310</v>
      </c>
    </row>
    <row r="12" spans="1:20">
      <c r="A12" s="15" t="s">
        <v>311</v>
      </c>
      <c r="B12" s="16" t="s">
        <v>274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312</v>
      </c>
    </row>
    <row r="13" spans="1:20">
      <c r="A13" s="15" t="s">
        <v>313</v>
      </c>
      <c r="B13" s="16" t="s">
        <v>135</v>
      </c>
      <c r="C13" s="16">
        <v>1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314</v>
      </c>
    </row>
    <row r="14" spans="1:20">
      <c r="A14" s="15" t="s">
        <v>100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5" t="s">
        <v>102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EEE557FF-BEB8-4DC1-9925-69BE86F399F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E3-1511-4CD2-90C1-990FC1238481}">
  <dimension ref="A1:T13"/>
  <sheetViews>
    <sheetView tabSelected="1" topLeftCell="O1" zoomScaleNormal="100" workbookViewId="0">
      <pane ySplit="1" topLeftCell="A2" activePane="bottomLeft" state="frozen"/>
      <selection pane="bottomLeft" activeCell="B4" sqref="B4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Entidades!A23</f>
        <v>service_status_transitions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Entidades!B23</f>
        <v>Entidad que contiene el registro de transiciones de estado de los servicios realizados.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302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40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315</v>
      </c>
      <c r="S8" s="16" t="s">
        <v>73</v>
      </c>
      <c r="T8" s="16" t="s">
        <v>304</v>
      </c>
    </row>
    <row r="9" spans="1:20" ht="53.25">
      <c r="A9" s="15" t="s">
        <v>316</v>
      </c>
      <c r="B9" s="16" t="s">
        <v>119</v>
      </c>
      <c r="C9" s="17" t="s">
        <v>292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317</v>
      </c>
    </row>
    <row r="10" spans="1:20" ht="53.25">
      <c r="A10" s="15" t="s">
        <v>318</v>
      </c>
      <c r="B10" s="16" t="s">
        <v>119</v>
      </c>
      <c r="C10" s="17" t="s">
        <v>292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319</v>
      </c>
    </row>
    <row r="11" spans="1:20" ht="27">
      <c r="A11" s="15" t="s">
        <v>320</v>
      </c>
      <c r="B11" s="16" t="s">
        <v>72</v>
      </c>
      <c r="C11" s="16">
        <v>36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75</v>
      </c>
      <c r="J11" s="16" t="s">
        <v>2</v>
      </c>
      <c r="K11" s="16" t="s">
        <v>71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321</v>
      </c>
    </row>
    <row r="12" spans="1:20">
      <c r="A12" s="15" t="s">
        <v>100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75</v>
      </c>
      <c r="Q12" s="16" t="s">
        <v>121</v>
      </c>
      <c r="R12" s="16" t="s">
        <v>322</v>
      </c>
      <c r="S12" s="16" t="s">
        <v>73</v>
      </c>
      <c r="T12" s="16" t="s">
        <v>73</v>
      </c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72EE2CCB-8F29-403C-AB51-DAF940F7CC5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5BB4D-30BF-4600-9626-4ECE018B80EC}"/>
</file>

<file path=customXml/itemProps2.xml><?xml version="1.0" encoding="utf-8"?>
<ds:datastoreItem xmlns:ds="http://schemas.openxmlformats.org/officeDocument/2006/customXml" ds:itemID="{9AE2A7AE-CB58-44F4-8195-7E287552EB43}"/>
</file>

<file path=customXml/itemProps3.xml><?xml version="1.0" encoding="utf-8"?>
<ds:datastoreItem xmlns:ds="http://schemas.openxmlformats.org/officeDocument/2006/customXml" ds:itemID="{6F878460-2F3A-41BD-95C2-4CD9C0DA2538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2023-03-29T19:04:22Z</dcterms:created>
  <dcterms:modified xsi:type="dcterms:W3CDTF">2026-02-28T22:41:12Z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