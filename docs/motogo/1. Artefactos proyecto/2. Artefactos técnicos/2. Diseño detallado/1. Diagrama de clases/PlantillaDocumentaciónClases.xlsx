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wnloads\OneDrive_2024-01-30\Sesión 1\"/>
    </mc:Choice>
  </mc:AlternateContent>
  <xr:revisionPtr revIDLastSave="1128" documentId="13_ncr:1_{2E0A9A2F-DA7B-4272-82AE-1D50681451FE}" xr6:coauthVersionLast="47" xr6:coauthVersionMax="47" xr10:uidLastSave="{009B295C-48B4-4D2C-B7E7-7B7E84F15856}"/>
  <bookViews>
    <workbookView xWindow="-120" yWindow="-120" windowWidth="20640" windowHeight="11160" firstSheet="1" activeTab="2" xr2:uid="{59653BFD-5B7C-4315-9D96-3FD5833491E5}"/>
  </bookViews>
  <sheets>
    <sheet name="Diagrama de clases" sheetId="1" r:id="rId1"/>
    <sheet name="Structs" sheetId="2" r:id="rId2"/>
    <sheet name="Person" sheetId="8" r:id="rId3"/>
    <sheet name="Branch" sheetId="12" r:id="rId4"/>
    <sheet name="Franchise" sheetId="13" r:id="rId5"/>
    <sheet name="Location" sheetId="14" r:id="rId6"/>
    <sheet name="Motorcycle" sheetId="15" r:id="rId7"/>
    <sheet name="MotorcycleReference" sheetId="16" r:id="rId8"/>
    <sheet name="MotorcycleEvidence" sheetId="17" r:id="rId9"/>
    <sheet name="Brand" sheetId="19" r:id="rId10"/>
    <sheet name="City" sheetId="20" r:id="rId11"/>
    <sheet name="Department" sheetId="21" r:id="rId12"/>
    <sheet name="Message" sheetId="22" r:id="rId13"/>
    <sheet name="Diagnostic" sheetId="18" r:id="rId14"/>
    <sheet name="DiagnosticPermission" sheetId="23" r:id="rId15"/>
    <sheet name="CompletedService" sheetId="24" r:id="rId16"/>
    <sheet name="CompletedServiceItem" sheetId="25" r:id="rId17"/>
    <sheet name="ServiceStatusHistory" sheetId="26" r:id="rId18"/>
    <sheet name="Service" sheetId="27" r:id="rId19"/>
    <sheet name="ServiceReview" sheetId="28" r:id="rId20"/>
    <sheet name="BranchServiceInfo" sheetId="30" r:id="rId21"/>
    <sheet name="ServiceReviewSummary" sheetId="29" r:id="rId22"/>
    <sheet name="BranchSchedule" sheetId="31" r:id="rId23"/>
    <sheet name="ScheduleDetail" sheetId="32" r:id="rId24"/>
    <sheet name="EstablishmentType" sheetId="33" r:id="rId25"/>
    <sheet name="BranchStatus" sheetId="34" r:id="rId26"/>
    <sheet name="DisplacementRange" sheetId="35" r:id="rId27"/>
    <sheet name="Role" sheetId="36" r:id="rId28"/>
    <sheet name="ServiceStatus" sheetId="37" r:id="rId29"/>
    <sheet name="ServiceType" sheetId="38" r:id="rId30"/>
    <sheet name="MessageType" sheetId="39" r:id="rId31"/>
    <sheet name="EntryType" sheetId="40" r:id="rId32"/>
    <sheet name="EvidenceAngle" sheetId="41" r:id="rId33"/>
    <sheet name="DayOfWeek" sheetId="42" r:id="rId34"/>
    <sheet name="ClaseDos" sheetId="6" r:id="rId35"/>
    <sheet name="ClaseSeis" sheetId="7" r:id="rId36"/>
    <sheet name="Valores" sheetId="4" state="hidden" r:id="rId37"/>
  </sheets>
  <definedNames>
    <definedName name="_xlnm._FilterDatabase" localSheetId="3" hidden="1">Branch!$A$21:$A$22</definedName>
    <definedName name="_xlnm._FilterDatabase" localSheetId="22" hidden="1">BranchSchedule!$A$12:$A$13</definedName>
    <definedName name="_xlnm._FilterDatabase" localSheetId="20" hidden="1">BranchServiceInfo!$A$12:$A$13</definedName>
    <definedName name="_xlnm._FilterDatabase" localSheetId="25" hidden="1">BranchStatus!$A$11:$A$12</definedName>
    <definedName name="_xlnm._FilterDatabase" localSheetId="9" hidden="1">Brand!$A$12:$A$13</definedName>
    <definedName name="_xlnm._FilterDatabase" localSheetId="10" hidden="1">City!$A$12:$A$13</definedName>
    <definedName name="_xlnm._FilterDatabase" localSheetId="34" hidden="1">ClaseDos!$A$11:$A$12</definedName>
    <definedName name="_xlnm._FilterDatabase" localSheetId="35" hidden="1">ClaseSeis!$A$11:$A$12</definedName>
    <definedName name="_xlnm._FilterDatabase" localSheetId="15" hidden="1">CompletedService!$A$16:$A$17</definedName>
    <definedName name="_xlnm._FilterDatabase" localSheetId="16" hidden="1">CompletedServiceItem!$A$12:$A$13</definedName>
    <definedName name="_xlnm._FilterDatabase" localSheetId="33" hidden="1">DayOfWeek!$A$11:$A$12</definedName>
    <definedName name="_xlnm._FilterDatabase" localSheetId="11" hidden="1">Department!$A$12:$A$13</definedName>
    <definedName name="_xlnm._FilterDatabase" localSheetId="13" hidden="1">Diagnostic!$A$14:$A$15</definedName>
    <definedName name="_xlnm._FilterDatabase" localSheetId="14" hidden="1">DiagnosticPermission!$A$12:$A$13</definedName>
    <definedName name="_xlnm._FilterDatabase" localSheetId="26" hidden="1">DisplacementRange!$A$11:$A$12</definedName>
    <definedName name="_xlnm._FilterDatabase" localSheetId="31" hidden="1">EntryType!$A$11:$A$12</definedName>
    <definedName name="_xlnm._FilterDatabase" localSheetId="24" hidden="1">EstablishmentType!$A$11:$A$12</definedName>
    <definedName name="_xlnm._FilterDatabase" localSheetId="32" hidden="1">EvidenceAngle!$A$11:$A$12</definedName>
    <definedName name="_xlnm._FilterDatabase" localSheetId="4" hidden="1">Franchise!$A$11:$A$12</definedName>
    <definedName name="_xlnm._FilterDatabase" localSheetId="5" hidden="1">Location!$A$13:$A$14</definedName>
    <definedName name="_xlnm._FilterDatabase" localSheetId="12" hidden="1">Message!$A$11:$A$12</definedName>
    <definedName name="_xlnm._FilterDatabase" localSheetId="30" hidden="1">MessageType!$A$11:$A$12</definedName>
    <definedName name="_xlnm._FilterDatabase" localSheetId="6" hidden="1">Motorcycle!$A$16:$A$17</definedName>
    <definedName name="_xlnm._FilterDatabase" localSheetId="8" hidden="1">MotorcycleEvidence!$A$12:$A$13</definedName>
    <definedName name="_xlnm._FilterDatabase" localSheetId="7" hidden="1">MotorcycleReference!$A$12:$A$13</definedName>
    <definedName name="_xlnm._FilterDatabase" localSheetId="2" hidden="1">Person!$A$14:$A$15</definedName>
    <definedName name="_xlnm._FilterDatabase" localSheetId="27" hidden="1">Role!$A$11:$A$12</definedName>
    <definedName name="_xlnm._FilterDatabase" localSheetId="23" hidden="1">ScheduleDetail!$A$13:$A$14</definedName>
    <definedName name="_xlnm._FilterDatabase" localSheetId="18" hidden="1">Service!$A$14:$A$15</definedName>
    <definedName name="_xlnm._FilterDatabase" localSheetId="19" hidden="1">ServiceReview!$A$11:$A$12</definedName>
    <definedName name="_xlnm._FilterDatabase" localSheetId="21" hidden="1">ServiceReviewSummary!$A$12:$A$13</definedName>
    <definedName name="_xlnm._FilterDatabase" localSheetId="28" hidden="1">ServiceStatus!$A$12:$A$13</definedName>
    <definedName name="_xlnm._FilterDatabase" localSheetId="17" hidden="1">ServiceStatusHistory!$A$13:$A$14</definedName>
    <definedName name="_xlnm._FilterDatabase" localSheetId="29" hidden="1">ServiceType!$A$11:$A$12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/>
  <c r="E9" i="8"/>
  <c r="B2" i="42"/>
  <c r="B4" i="42"/>
  <c r="B3" i="42"/>
  <c r="E9" i="42"/>
  <c r="A4" i="42"/>
  <c r="A3" i="42"/>
  <c r="A2" i="42"/>
  <c r="B4" i="41"/>
  <c r="B3" i="41"/>
  <c r="B2" i="41"/>
  <c r="E9" i="41"/>
  <c r="A4" i="41"/>
  <c r="A3" i="41"/>
  <c r="A2" i="41"/>
  <c r="B4" i="40"/>
  <c r="B3" i="40"/>
  <c r="B2" i="40"/>
  <c r="E9" i="40"/>
  <c r="A4" i="40"/>
  <c r="A3" i="40"/>
  <c r="A2" i="40"/>
  <c r="B4" i="39"/>
  <c r="B3" i="39"/>
  <c r="B2" i="39"/>
  <c r="E9" i="39"/>
  <c r="A4" i="39"/>
  <c r="A3" i="39"/>
  <c r="A2" i="39"/>
  <c r="B4" i="38"/>
  <c r="B3" i="38"/>
  <c r="B2" i="38"/>
  <c r="E9" i="38"/>
  <c r="A4" i="38"/>
  <c r="A3" i="38"/>
  <c r="A2" i="38"/>
  <c r="E10" i="37"/>
  <c r="B4" i="37"/>
  <c r="B3" i="37"/>
  <c r="B2" i="37"/>
  <c r="E9" i="37"/>
  <c r="A4" i="37"/>
  <c r="A3" i="37"/>
  <c r="A2" i="37"/>
  <c r="B4" i="36"/>
  <c r="B3" i="36"/>
  <c r="B2" i="36"/>
  <c r="E9" i="36"/>
  <c r="A4" i="36"/>
  <c r="A3" i="36"/>
  <c r="A2" i="36"/>
  <c r="B4" i="35"/>
  <c r="B3" i="35"/>
  <c r="B2" i="35"/>
  <c r="E9" i="35"/>
  <c r="A4" i="35"/>
  <c r="A3" i="35"/>
  <c r="A2" i="35"/>
  <c r="B2" i="34"/>
  <c r="B4" i="34"/>
  <c r="B3" i="34"/>
  <c r="E9" i="34"/>
  <c r="A4" i="34"/>
  <c r="A3" i="34"/>
  <c r="A2" i="34"/>
  <c r="B4" i="33"/>
  <c r="B3" i="33"/>
  <c r="B2" i="33"/>
  <c r="E9" i="33"/>
  <c r="A4" i="33"/>
  <c r="A3" i="33"/>
  <c r="A2" i="33"/>
  <c r="B4" i="32"/>
  <c r="B3" i="32"/>
  <c r="B2" i="32"/>
  <c r="E11" i="32"/>
  <c r="E10" i="32"/>
  <c r="E9" i="32"/>
  <c r="A4" i="32"/>
  <c r="A3" i="32"/>
  <c r="B30" i="32"/>
  <c r="A2" i="32"/>
  <c r="B4" i="31"/>
  <c r="B3" i="31"/>
  <c r="B2" i="31"/>
  <c r="E10" i="31"/>
  <c r="E9" i="31"/>
  <c r="A4" i="31"/>
  <c r="A3" i="31"/>
  <c r="B24" i="31"/>
  <c r="A2" i="31"/>
  <c r="B4" i="30"/>
  <c r="B3" i="30"/>
  <c r="B2" i="30"/>
  <c r="E10" i="30"/>
  <c r="E9" i="30"/>
  <c r="A4" i="30"/>
  <c r="A3" i="30"/>
  <c r="B20" i="30"/>
  <c r="A2" i="30"/>
  <c r="B4" i="29"/>
  <c r="B3" i="29"/>
  <c r="B2" i="29"/>
  <c r="E10" i="29"/>
  <c r="E9" i="29"/>
  <c r="A4" i="29"/>
  <c r="A3" i="29"/>
  <c r="B23" i="29"/>
  <c r="A2" i="29"/>
  <c r="B4" i="28"/>
  <c r="B3" i="28"/>
  <c r="B2" i="28"/>
  <c r="E9" i="28"/>
  <c r="A4" i="28"/>
  <c r="A3" i="28"/>
  <c r="B21" i="28"/>
  <c r="A2" i="28"/>
  <c r="B4" i="27"/>
  <c r="B3" i="27"/>
  <c r="B2" i="27"/>
  <c r="B24" i="27" s="1"/>
  <c r="E12" i="27"/>
  <c r="E11" i="27"/>
  <c r="E10" i="27"/>
  <c r="E9" i="27"/>
  <c r="A4" i="27"/>
  <c r="A3" i="27"/>
  <c r="A2" i="27"/>
  <c r="B4" i="26"/>
  <c r="B3" i="25"/>
  <c r="B2" i="25"/>
  <c r="B4" i="25"/>
  <c r="B3" i="26"/>
  <c r="B2" i="26"/>
  <c r="E11" i="26"/>
  <c r="E10" i="26"/>
  <c r="E9" i="26"/>
  <c r="A4" i="26"/>
  <c r="A3" i="26"/>
  <c r="B24" i="26"/>
  <c r="A2" i="26"/>
  <c r="E10" i="25"/>
  <c r="E9" i="25"/>
  <c r="A4" i="25"/>
  <c r="A3" i="25"/>
  <c r="B25" i="25"/>
  <c r="A2" i="25"/>
  <c r="B4" i="24"/>
  <c r="B3" i="24"/>
  <c r="B2" i="24"/>
  <c r="E14" i="24"/>
  <c r="E13" i="24"/>
  <c r="E12" i="24"/>
  <c r="E11" i="24"/>
  <c r="E10" i="24"/>
  <c r="E9" i="24"/>
  <c r="A4" i="24"/>
  <c r="A3" i="24"/>
  <c r="B36" i="24"/>
  <c r="A2" i="24"/>
  <c r="B3" i="23"/>
  <c r="B4" i="23"/>
  <c r="B2" i="23"/>
  <c r="E10" i="23"/>
  <c r="E9" i="23"/>
  <c r="A4" i="23"/>
  <c r="A3" i="23"/>
  <c r="B21" i="23"/>
  <c r="A2" i="23"/>
  <c r="B4" i="22"/>
  <c r="B3" i="22"/>
  <c r="B2" i="22"/>
  <c r="E9" i="22"/>
  <c r="A4" i="22"/>
  <c r="A3" i="22"/>
  <c r="B26" i="22"/>
  <c r="A2" i="22"/>
  <c r="B3" i="21"/>
  <c r="B4" i="21"/>
  <c r="B2" i="21"/>
  <c r="E10" i="21"/>
  <c r="E9" i="21"/>
  <c r="A4" i="21"/>
  <c r="A3" i="21"/>
  <c r="B19" i="21"/>
  <c r="A2" i="21"/>
  <c r="B4" i="20"/>
  <c r="B3" i="20"/>
  <c r="B2" i="20"/>
  <c r="E10" i="20"/>
  <c r="E9" i="20"/>
  <c r="A4" i="20"/>
  <c r="A3" i="20"/>
  <c r="B20" i="20"/>
  <c r="A2" i="20"/>
  <c r="B4" i="19"/>
  <c r="B3" i="19"/>
  <c r="B2" i="19"/>
  <c r="E10" i="19"/>
  <c r="E9" i="19"/>
  <c r="A4" i="19"/>
  <c r="A3" i="19"/>
  <c r="A2" i="19"/>
  <c r="B26" i="18"/>
  <c r="B3" i="18"/>
  <c r="B4" i="18"/>
  <c r="B2" i="18"/>
  <c r="E12" i="18"/>
  <c r="E11" i="18"/>
  <c r="E10" i="18"/>
  <c r="E9" i="18"/>
  <c r="A4" i="18"/>
  <c r="A3" i="18"/>
  <c r="A2" i="18"/>
  <c r="B4" i="17"/>
  <c r="B3" i="17"/>
  <c r="B2" i="17"/>
  <c r="E10" i="17"/>
  <c r="E9" i="17"/>
  <c r="A4" i="17"/>
  <c r="A3" i="17"/>
  <c r="A2" i="17"/>
  <c r="B4" i="16"/>
  <c r="B3" i="16"/>
  <c r="B2" i="16"/>
  <c r="B23" i="16" s="1"/>
  <c r="E10" i="16"/>
  <c r="E9" i="16"/>
  <c r="A4" i="16"/>
  <c r="A3" i="16"/>
  <c r="A2" i="16"/>
  <c r="B4" i="15"/>
  <c r="B3" i="15"/>
  <c r="B2" i="15"/>
  <c r="E14" i="15"/>
  <c r="E13" i="15"/>
  <c r="E12" i="15"/>
  <c r="E11" i="15"/>
  <c r="E10" i="15"/>
  <c r="E9" i="15"/>
  <c r="A4" i="15"/>
  <c r="A3" i="15"/>
  <c r="A2" i="15"/>
  <c r="E10" i="14"/>
  <c r="E11" i="14"/>
  <c r="E9" i="14"/>
  <c r="E9" i="13"/>
  <c r="E10" i="12"/>
  <c r="E11" i="12"/>
  <c r="E12" i="12"/>
  <c r="E13" i="12"/>
  <c r="E14" i="12"/>
  <c r="E15" i="12"/>
  <c r="E16" i="12"/>
  <c r="E17" i="12"/>
  <c r="E18" i="12"/>
  <c r="E19" i="12"/>
  <c r="E9" i="12"/>
  <c r="E10" i="8"/>
  <c r="E11" i="8"/>
  <c r="E12" i="8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B4" i="14"/>
  <c r="B3" i="14"/>
  <c r="B2" i="14"/>
  <c r="A4" i="14"/>
  <c r="A3" i="14"/>
  <c r="B27" i="14"/>
  <c r="A2" i="14"/>
  <c r="B4" i="13"/>
  <c r="B3" i="13"/>
  <c r="B2" i="13"/>
  <c r="A4" i="13"/>
  <c r="A3" i="13"/>
  <c r="B20" i="13"/>
  <c r="A2" i="13"/>
  <c r="B4" i="12"/>
  <c r="B3" i="12"/>
  <c r="B2" i="12"/>
  <c r="B37" i="12" s="1"/>
  <c r="A4" i="12"/>
  <c r="A3" i="12"/>
  <c r="A2" i="12"/>
  <c r="A4" i="8"/>
  <c r="A3" i="8"/>
  <c r="A2" i="8"/>
  <c r="B4" i="7"/>
  <c r="B3" i="7"/>
  <c r="B2" i="7"/>
  <c r="B21" i="7" s="1"/>
  <c r="B4" i="6"/>
  <c r="B3" i="6"/>
  <c r="B2" i="6"/>
  <c r="A4" i="7"/>
  <c r="A3" i="7"/>
  <c r="A2" i="7"/>
  <c r="A4" i="6"/>
  <c r="A3" i="6"/>
  <c r="A2" i="6"/>
  <c r="B21" i="6" l="1"/>
  <c r="B20" i="6"/>
  <c r="B20" i="7"/>
  <c r="E9" i="7"/>
  <c r="A2" i="2"/>
  <c r="B2" i="8"/>
  <c r="E9" i="6" l="1"/>
</calcChain>
</file>

<file path=xl/sharedStrings.xml><?xml version="1.0" encoding="utf-8"?>
<sst xmlns="http://schemas.openxmlformats.org/spreadsheetml/2006/main" count="5131" uniqueCount="509">
  <si>
    <t>En esta hoja se ubica la imagen del modelo, asegurando que sea clara y legible</t>
  </si>
  <si>
    <t>Struct</t>
  </si>
  <si>
    <t>Estereotipo</t>
  </si>
  <si>
    <t>Desripción</t>
  </si>
  <si>
    <t>Modificador de acceso</t>
  </si>
  <si>
    <t>Tipo de Clase</t>
  </si>
  <si>
    <t>struct</t>
  </si>
  <si>
    <t>Estructura que representa a una persona registrada en el sistema (usuario, representante o administrador). Contiene información personal, credenciales y rol asignado.</t>
  </si>
  <si>
    <t xml:space="preserve">exported		</t>
  </si>
  <si>
    <t>N/A</t>
  </si>
  <si>
    <t>Person</t>
  </si>
  <si>
    <t>Estructura que representa una sede (taller, tienda o taller-tienda). Contiene información del representante, franquicia, ubicación, marcas atendidas y rangos de cilindraje.</t>
  </si>
  <si>
    <t>Branch</t>
  </si>
  <si>
    <t>Estructura que representa una franquicia que agrupa múltiples sedes bajo una misma marca comercial.</t>
  </si>
  <si>
    <t>Franchise</t>
  </si>
  <si>
    <t>Estructura que representa la ubicación geográfica de una sede, incluyendo departamento, ciudad, dirección y coordenadas GPS.</t>
  </si>
  <si>
    <t>Location</t>
  </si>
  <si>
    <t>Estructura que representa una motocicleta registrada por un usuario. Incluye placa, referencia técnica, año, kilometraje y foto de perfil.</t>
  </si>
  <si>
    <t>Motorcycle</t>
  </si>
  <si>
    <t>Estructura que representa la referencia técnica de una motocicleta, incluyendo marca, modelo, categoría y cilindraje del motor.</t>
  </si>
  <si>
    <t>MotorcycleReference</t>
  </si>
  <si>
    <t>Estructura que representa una foto de evidencia de una motocicleta, categorizada por ángulo (frontal, lateral, trasera).</t>
  </si>
  <si>
    <t>MotorcycleEvidence</t>
  </si>
  <si>
    <t>Estructura que representa una marca de motocicleta del catálogo de referencia.</t>
  </si>
  <si>
    <t>Brand</t>
  </si>
  <si>
    <t>Estructura que representa una ciudad dentro del catálogo geográfico, asociada a un departamento.</t>
  </si>
  <si>
    <t>City</t>
  </si>
  <si>
    <t>Estructura que representa un departamento dentro del catálogo geográfico nacional.</t>
  </si>
  <si>
    <t>Department</t>
  </si>
  <si>
    <t>Estructura que representa un mensaje del sistema centralizado. Contiene código, tipo, categoría, módulo, título, contenido y estado de activación.</t>
  </si>
  <si>
    <t>Message</t>
  </si>
  <si>
    <t>Estructura que representa un diagnóstico solicitado para una motocicleta en una sede específica, con descripción del problema y posible solución.</t>
  </si>
  <si>
    <t>Diagnostic</t>
  </si>
  <si>
    <t>Estructura que representa los permisos de un diagnóstico, controlando qué acciones pueden realizarse sobre él.</t>
  </si>
  <si>
    <t>DiagnosticPermission</t>
  </si>
  <si>
    <t>Estructura que representa un servicio completado (realizado) sobre una motocicleta en una sede. Incluye estado, precios, notas y lista de ítems de servicio.</t>
  </si>
  <si>
    <t>CompletedService</t>
  </si>
  <si>
    <t>Estructura que representa un ítem individual dentro de un servicio completado, incluyendo calificación y comentario del usuario.</t>
  </si>
  <si>
    <t>CompletedServiceItem</t>
  </si>
  <si>
    <t>Estructura que registra el historial de cambios de estado de un servicio completado, con el estado anterior, nuevo, autor y fecha.</t>
  </si>
  <si>
    <t>ServiceStatusHistory</t>
  </si>
  <si>
    <t>Estructura que representa un servicio del catálogo global (por ejemplo: cambio de aceite, revisión de frenos). Incluye nombre, descripción, tipo y estado.</t>
  </si>
  <si>
    <t>Service</t>
  </si>
  <si>
    <t>Estructura que representa una reseña individual de un servicio, con nombre del revisor, calificación, comentario y modelo de moto.</t>
  </si>
  <si>
    <t>ServiceReview</t>
  </si>
  <si>
    <t>Estructura que agrega el resumen de reseñas de un servicio: promedio, total, desglose por estrellas y lista de reseñas.</t>
  </si>
  <si>
    <t>ServiceReviewSummary</t>
  </si>
  <si>
    <t>Estructura que relaciona un servicio del catálogo con una sede específica, incluyendo la fecha de asociación y estado de activación.</t>
  </si>
  <si>
    <t>BranchServiceInfo</t>
  </si>
  <si>
    <t>Estructura que representa el horario general de una sede, con fechas de vigencia y estado de activación.</t>
  </si>
  <si>
    <t>BranchSchedule</t>
  </si>
  <si>
    <t>Estructura que representa el detalle de un horario: día de la semana o excepción, hora de apertura/cierre y estado.</t>
  </si>
  <si>
    <t>ScheduleDetail</t>
  </si>
  <si>
    <t>enum</t>
  </si>
  <si>
    <t>Enumeración que define el tipo de establecimiento de una sede: WORKSHOP (taller), STORE (tienda) o WORKSHOP_STORE (taller-tienda).</t>
  </si>
  <si>
    <t>EstablishmentType</t>
  </si>
  <si>
    <t>Enumeración que define el estado de una sede: ACTIVE (activa) o INACTIVE (inactiva).</t>
  </si>
  <si>
    <t>BranchStatus</t>
  </si>
  <si>
    <t>Enumeración que define los rangos de cilindraje del motor: RANGE_0_125, RANGE_126_250, RANGE_251_500, RANGE_501_PLUS.</t>
  </si>
  <si>
    <t>DisplacementRange</t>
  </si>
  <si>
    <t>Enumeración que define los roles de usuario en el sistema: USER (usuario final), REPRESENTATIVE (representante de sede) y ADMIN (administrador).</t>
  </si>
  <si>
    <t>Role</t>
  </si>
  <si>
    <t>Enumeración que define los estados del ciclo de vida de un servicio: SOLICITADO, EN_PROCESO, FINALIZADO, CANCELADO.</t>
  </si>
  <si>
    <t>ServiceStatus</t>
  </si>
  <si>
    <t>Enumeración que define los tipos de servicio del catálogo: MAINTENANCE, REPAIR, DETAILING, DIAGNOSTIC, OTHER.</t>
  </si>
  <si>
    <t>ServiceType</t>
  </si>
  <si>
    <t>Enumeración que define los tipos de mensaje del sistema: ERROR, SUCCESS/EXITO, WARNING, INFO.</t>
  </si>
  <si>
    <t>MessageType</t>
  </si>
  <si>
    <t>Enumeración que define el tipo de entrada de horario: REGULAR (día normal) o EXCEPTION (excepción programada).</t>
  </si>
  <si>
    <t>EntryType</t>
  </si>
  <si>
    <t>Enumeración que define los ángulos de captura de evidencia fotográfica de motocicleta: FRONTAL, LATERAL, REAR.</t>
  </si>
  <si>
    <t>EvidenceAngle</t>
  </si>
  <si>
    <t>Enumeración que define los días de la semana: 0 (Domingo) a 6 (Sábado).</t>
  </si>
  <si>
    <t>DayOfWeek</t>
  </si>
  <si>
    <t>&lt;-Volver al inicio</t>
  </si>
  <si>
    <t>Modificador acceso:</t>
  </si>
  <si>
    <t>Tipo clase:</t>
  </si>
  <si>
    <t>Relaciones</t>
  </si>
  <si>
    <t>Relación</t>
  </si>
  <si>
    <t>Tipo relación</t>
  </si>
  <si>
    <t>Estructura</t>
  </si>
  <si>
    <t>Necesita de</t>
  </si>
  <si>
    <t>Asociación</t>
  </si>
  <si>
    <t>Es usada por</t>
  </si>
  <si>
    <t>Atributos</t>
  </si>
  <si>
    <t>Nombre</t>
  </si>
  <si>
    <t>Tipo de dato</t>
  </si>
  <si>
    <t>Tipo modificación atributo</t>
  </si>
  <si>
    <t>Tipo acceso atributo</t>
  </si>
  <si>
    <t>Valor por defecto</t>
  </si>
  <si>
    <t>Descripción atributo</t>
  </si>
  <si>
    <t>¿Cuál?</t>
  </si>
  <si>
    <t>ID</t>
  </si>
  <si>
    <t>String</t>
  </si>
  <si>
    <t>no static</t>
  </si>
  <si>
    <t>""</t>
  </si>
  <si>
    <t>Identificador único UUID de la persona</t>
  </si>
  <si>
    <t>IdentityNumber</t>
  </si>
  <si>
    <t>Número de documento de identidad</t>
  </si>
  <si>
    <t>FirstName</t>
  </si>
  <si>
    <t>Primer nombre</t>
  </si>
  <si>
    <t>LastName</t>
  </si>
  <si>
    <t>Primer apellido</t>
  </si>
  <si>
    <t>SecondLastName</t>
  </si>
  <si>
    <t>Segundo apellido</t>
  </si>
  <si>
    <t>Email</t>
  </si>
  <si>
    <t>Correo electrónico</t>
  </si>
  <si>
    <t>PhoneNumber</t>
  </si>
  <si>
    <t>Número de teléfono</t>
  </si>
  <si>
    <t>Password</t>
  </si>
  <si>
    <t>Contraseña (no serializada en JSON)</t>
  </si>
  <si>
    <t>Otro</t>
  </si>
  <si>
    <t>Rol asignado (USER, REPRESENTATIVE, ADMIN)</t>
  </si>
  <si>
    <t>KeycloakUserID</t>
  </si>
  <si>
    <t>ID del usuario en Keycloak</t>
  </si>
  <si>
    <t>Constructores</t>
  </si>
  <si>
    <t>Tipo constructor</t>
  </si>
  <si>
    <t>Descripción</t>
  </si>
  <si>
    <t>Parámetros</t>
  </si>
  <si>
    <t>Excepciones</t>
  </si>
  <si>
    <t>Tipo parámetro</t>
  </si>
  <si>
    <t>Defecto (zero value)</t>
  </si>
  <si>
    <t>Inicialización por zero value de Go. Todos los campos toman su valor por defecto.</t>
  </si>
  <si>
    <t>SetID</t>
  </si>
  <si>
    <t>Inyección</t>
  </si>
  <si>
    <t>Genera y asigna un UUID al campo ID</t>
  </si>
  <si>
    <t>Métodos accesores</t>
  </si>
  <si>
    <t>Tipo método accesor</t>
  </si>
  <si>
    <t>Tipo modificación método</t>
  </si>
  <si>
    <t>Tipo dato de retorno</t>
  </si>
  <si>
    <t>En Go los campos exported se acceden directamente (ej: struct.Campo)</t>
  </si>
  <si>
    <t>Métodos</t>
  </si>
  <si>
    <t>Tipo acceso método</t>
  </si>
  <si>
    <t>Composición</t>
  </si>
  <si>
    <t>string</t>
  </si>
  <si>
    <t> </t>
  </si>
  <si>
    <t>Identificador único UUID de la sede</t>
  </si>
  <si>
    <t>RepresentativeID</t>
  </si>
  <si>
    <t>FK al representante (Person)</t>
  </si>
  <si>
    <t>RepresentativePhone</t>
  </si>
  <si>
    <t>nil</t>
  </si>
  <si>
    <t>Teléfono del representante (desde JOIN)</t>
  </si>
  <si>
    <t>FranchiseID</t>
  </si>
  <si>
    <t>FK a la franquicia (opcional)</t>
  </si>
  <si>
    <t>Name</t>
  </si>
  <si>
    <t>Nombre de la sede</t>
  </si>
  <si>
    <t>Tipo de establecimiento</t>
  </si>
  <si>
    <t>ProfileImageURL</t>
  </si>
  <si>
    <t>URL de imagen de perfil</t>
  </si>
  <si>
    <t>Status</t>
  </si>
  <si>
    <t>Estado de la sede (ACTIVE/INACTIVE)</t>
  </si>
  <si>
    <t>*Location</t>
  </si>
  <si>
    <t>Ubicación geográfica</t>
  </si>
  <si>
    <t>Brands</t>
  </si>
  <si>
    <t>Marcas de motocicleta atendidas</t>
  </si>
  <si>
    <t>DisplacementRanges</t>
  </si>
  <si>
    <t>[]DisplacementRange</t>
  </si>
  <si>
    <t>Rangos de cilindraje atendidos</t>
  </si>
  <si>
    <t>void</t>
  </si>
  <si>
    <t>IsValidEstablishmentType</t>
  </si>
  <si>
    <t>Valida que el tipo de establecimiento sea válido</t>
  </si>
  <si>
    <t>Parámetro que se va a imprimir</t>
  </si>
  <si>
    <t>boolean/Boolean</t>
  </si>
  <si>
    <t>ToLogger</t>
  </si>
  <si>
    <t>Retorna representación para logging</t>
  </si>
  <si>
    <t>Identificador único UUID</t>
  </si>
  <si>
    <t>Nombre de la franquicia</t>
  </si>
  <si>
    <t>Description</t>
  </si>
  <si>
    <t>Descripción opcional</t>
  </si>
  <si>
    <t>Branches</t>
  </si>
  <si>
    <t>[]Branch</t>
  </si>
  <si>
    <t>Lista de sedes asociadas</t>
  </si>
  <si>
    <t>BranchID</t>
  </si>
  <si>
    <t>FK a la sede</t>
  </si>
  <si>
    <t>DepartmentID</t>
  </si>
  <si>
    <t>FK al departamento</t>
  </si>
  <si>
    <t>CityID</t>
  </si>
  <si>
    <t>FK a la ciudad</t>
  </si>
  <si>
    <t>Address</t>
  </si>
  <si>
    <t>Dirección completa</t>
  </si>
  <si>
    <t>Latitude</t>
  </si>
  <si>
    <t>float/Float</t>
  </si>
  <si>
    <t>Latitud GPS (opcional)</t>
  </si>
  <si>
    <t>Longitude</t>
  </si>
  <si>
    <t>Longitud GPS (opcional)</t>
  </si>
  <si>
    <t>CityName</t>
  </si>
  <si>
    <t>Nombre de la ciudad (denormalizado)</t>
  </si>
  <si>
    <t>DepartmentName</t>
  </si>
  <si>
    <t>Nombre del departamento (denormalizado)</t>
  </si>
  <si>
    <t>LicensePlate</t>
  </si>
  <si>
    <t>Placa única de la motocicleta</t>
  </si>
  <si>
    <t>ReferenceID</t>
  </si>
  <si>
    <t>FK a la referencia del catálogo</t>
  </si>
  <si>
    <t>OwnerID</t>
  </si>
  <si>
    <t>FK al dueño (Person con rol USER)</t>
  </si>
  <si>
    <t>Year</t>
  </si>
  <si>
    <t>int/Integer</t>
  </si>
  <si>
    <t>Año de la motocicleta (opcional)</t>
  </si>
  <si>
    <t>CurrentMileage</t>
  </si>
  <si>
    <t>Kilometraje actual (opcional)</t>
  </si>
  <si>
    <t>OwnerNotes</t>
  </si>
  <si>
    <t>Notas del dueño (opcional)</t>
  </si>
  <si>
    <t>URL de foto de perfil (Firebase Storage)</t>
  </si>
  <si>
    <t>Reference</t>
  </si>
  <si>
    <t>*MotorcycleReference</t>
  </si>
  <si>
    <t>Referencia técnica (poblada en lectura)</t>
  </si>
  <si>
    <t>BrandID</t>
  </si>
  <si>
    <t>FK a la marca del catálogo</t>
  </si>
  <si>
    <t>BrandName</t>
  </si>
  <si>
    <t>Nombre de la marca (denormalizado)</t>
  </si>
  <si>
    <t>Model</t>
  </si>
  <si>
    <t>Nombre del modelo (ej: CB 190R)</t>
  </si>
  <si>
    <t>Category</t>
  </si>
  <si>
    <t>Categoría (Sport, Scooter, etc.)</t>
  </si>
  <si>
    <t>EngineDisplacement</t>
  </si>
  <si>
    <t>Cilindraje del motor en cc</t>
  </si>
  <si>
    <t>MotorcycleID</t>
  </si>
  <si>
    <t>FK a la motocicleta</t>
  </si>
  <si>
    <t>Angle</t>
  </si>
  <si>
    <t>*EvidenceAngle</t>
  </si>
  <si>
    <t>Ángulo de la foto (FRONTAL, LATERAL, REAR)</t>
  </si>
  <si>
    <t>ImageURL</t>
  </si>
  <si>
    <t>URL de la imagen (Firebase Storage)</t>
  </si>
  <si>
    <t>CreatedAt</t>
  </si>
  <si>
    <t>time.Time</t>
  </si>
  <si>
    <t>Fecha de subida</t>
  </si>
  <si>
    <t>exported</t>
  </si>
  <si>
    <t>Nombre de la marca</t>
  </si>
  <si>
    <t>Nombre de la ciudad</t>
  </si>
  <si>
    <t>Code</t>
  </si>
  <si>
    <t>Código único del mensaje</t>
  </si>
  <si>
    <t>Type</t>
  </si>
  <si>
    <t>Tipo de mensaje (ERROR, EXITO, WARNING, INFO)</t>
  </si>
  <si>
    <t>Categoría del mensaje</t>
  </si>
  <si>
    <t>Module</t>
  </si>
  <si>
    <t>Módulo al que pertenece</t>
  </si>
  <si>
    <t>Title</t>
  </si>
  <si>
    <t>Título del mensaje</t>
  </si>
  <si>
    <t>Content</t>
  </si>
  <si>
    <t>Contenido del mensaje</t>
  </si>
  <si>
    <t>Active</t>
  </si>
  <si>
    <t>false</t>
  </si>
  <si>
    <t>Estado de activación</t>
  </si>
  <si>
    <t>time.time</t>
  </si>
  <si>
    <t>Fecha de creación</t>
  </si>
  <si>
    <t>UpdatedAt</t>
  </si>
  <si>
    <t>Fecha de última actualización</t>
  </si>
  <si>
    <t>FK a la sede que emite el diagnóstico</t>
  </si>
  <si>
    <t>BranchName</t>
  </si>
  <si>
    <t>Nombre de la sede (desde JOIN)</t>
  </si>
  <si>
    <t>Date</t>
  </si>
  <si>
    <t>Fecha del diagnóstico</t>
  </si>
  <si>
    <t>ProblemDescription</t>
  </si>
  <si>
    <t>Descripción del problema</t>
  </si>
  <si>
    <t>PossibleSolution</t>
  </si>
  <si>
    <t>Posible solución propuesta</t>
  </si>
  <si>
    <t>FK a la sede autorizada</t>
  </si>
  <si>
    <t>Si el permiso está activo</t>
  </si>
  <si>
    <t>Agregación</t>
  </si>
  <si>
    <t>FK a la sede (del token del representante)</t>
  </si>
  <si>
    <t>"</t>
  </si>
  <si>
    <t>DiagnosticID</t>
  </si>
  <si>
    <t>FK al diagnóstico (opcional)</t>
  </si>
  <si>
    <t>RequestDate</t>
  </si>
  <si>
    <t>Fecha de solicitud del servicio</t>
  </si>
  <si>
    <t>CompletionDate</t>
  </si>
  <si>
    <t>Fecha de finalización</t>
  </si>
  <si>
    <t>Estado del servicio</t>
  </si>
  <si>
    <t>QuotedPrice</t>
  </si>
  <si>
    <t>Precio cotizado</t>
  </si>
  <si>
    <t>FinalPrice</t>
  </si>
  <si>
    <t>Precio final cobrado</t>
  </si>
  <si>
    <t>RepresentativeNotes</t>
  </si>
  <si>
    <t>Notas del representante</t>
  </si>
  <si>
    <t>Services</t>
  </si>
  <si>
    <t>[]CompletedServiceItem</t>
  </si>
  <si>
    <t>Ítems de servicio asociados</t>
  </si>
  <si>
    <t>DeletedAt</t>
  </si>
  <si>
    <t>Marca de borrado suave</t>
  </si>
  <si>
    <t>CompletedServiceID</t>
  </si>
  <si>
    <t>FK al servicio completado</t>
  </si>
  <si>
    <t>ServiceID</t>
  </si>
  <si>
    <t>FK al servicio del catálogo</t>
  </si>
  <si>
    <t>ServiceName</t>
  </si>
  <si>
    <t>Nombre del servicio (desde JOIN)</t>
  </si>
  <si>
    <t>Rating</t>
  </si>
  <si>
    <t>Calificación 1-5 (NULL hasta que califique)</t>
  </si>
  <si>
    <t>Comment</t>
  </si>
  <si>
    <t>Comentario de reseña del cliente</t>
  </si>
  <si>
    <t>RatedAt</t>
  </si>
  <si>
    <t>Fecha de calificación</t>
  </si>
  <si>
    <t>IsOffensiveComment</t>
  </si>
  <si>
    <t>Bandera de comentario ofensivo</t>
  </si>
  <si>
    <t>PreviousStatus</t>
  </si>
  <si>
    <t>*ServiceStatus</t>
  </si>
  <si>
    <t>Estado anterior (nil en creación)</t>
  </si>
  <si>
    <t>NewStatus</t>
  </si>
  <si>
    <t>Nuevo estado asignado</t>
  </si>
  <si>
    <t>CreatedBy</t>
  </si>
  <si>
    <t>FK a la persona que realizó el cambio</t>
  </si>
  <si>
    <t>Fecha del cambio de estado</t>
  </si>
  <si>
    <t>Nombre del servicio</t>
  </si>
  <si>
    <t>Descripción del servicio</t>
  </si>
  <si>
    <t>Tipo de servicio del catálogo</t>
  </si>
  <si>
    <t>IsActive</t>
  </si>
  <si>
    <t>ReviewerName</t>
  </si>
  <si>
    <t>Nombre del revisor (formato privacidad)</t>
  </si>
  <si>
    <t>Calificación 1-5</t>
  </si>
  <si>
    <t>Comentario de la reseña (opcional)</t>
  </si>
  <si>
    <t>Fecha de la reseña</t>
  </si>
  <si>
    <t>MotorcycleModel</t>
  </si>
  <si>
    <t>Modelo de la motocicleta</t>
  </si>
  <si>
    <t> Service</t>
  </si>
  <si>
    <t>Servicio del catálogo asociado</t>
  </si>
  <si>
    <t>AddedAt</t>
  </si>
  <si>
    <t>Fecha de asociación a la sede</t>
  </si>
  <si>
    <t>Estado de activación de la asociación</t>
  </si>
  <si>
    <t>UUID del servicio</t>
  </si>
  <si>
    <t>AverageRating</t>
  </si>
  <si>
    <t>Promedio de calificación</t>
  </si>
  <si>
    <t>TotalReviews</t>
  </si>
  <si>
    <t>Total de reseñas</t>
  </si>
  <si>
    <t>Breakdown</t>
  </si>
  <si>
    <t>map[int]int</t>
  </si>
  <si>
    <t>Desglose por estrellas {5:18, 4:7, ...}</t>
  </si>
  <si>
    <t>Reviews</t>
  </si>
  <si>
    <t>[]ServiceReview</t>
  </si>
  <si>
    <t>Lista de reseñas individuales</t>
  </si>
  <si>
    <t>Si el horario está activo</t>
  </si>
  <si>
    <t>StartDate</t>
  </si>
  <si>
    <t>Fecha de inicio de vigencia</t>
  </si>
  <si>
    <t>EndDate</t>
  </si>
  <si>
    <t>Fecha de fin (nil = indefinido)</t>
  </si>
  <si>
    <t>ScheduleID</t>
  </si>
  <si>
    <t>FK al horario principal</t>
  </si>
  <si>
    <t>Tipo de entrada (REGULAR/EXCEPTION)</t>
  </si>
  <si>
    <t>Día de la semana (1-7, opcional)</t>
  </si>
  <si>
    <t>ExceptionStartDate</t>
  </si>
  <si>
    <t>Fecha inicio de excepción</t>
  </si>
  <si>
    <t>ExceptionEndDate</t>
  </si>
  <si>
    <t>Fecha fin de excepción</t>
  </si>
  <si>
    <t>OpeningTime</t>
  </si>
  <si>
    <t>Hora de apertura</t>
  </si>
  <si>
    <t>ClosingTime</t>
  </si>
  <si>
    <t>Hora de cierre</t>
  </si>
  <si>
    <t>IsClosed</t>
  </si>
  <si>
    <t>Si está cerrado ese día/periodo</t>
  </si>
  <si>
    <t>WORKSHOP</t>
  </si>
  <si>
    <t>final</t>
  </si>
  <si>
    <t>static</t>
  </si>
  <si>
    <t>Taller</t>
  </si>
  <si>
    <t>STORE</t>
  </si>
  <si>
    <t>Tienda</t>
  </si>
  <si>
    <t>WORKSHOP_STORE</t>
  </si>
  <si>
    <t>Taller y Tienda</t>
  </si>
  <si>
    <t>Los enums se definen como constantes</t>
  </si>
  <si>
    <t>GetAllEstablishmentTypes</t>
  </si>
  <si>
    <t>Retorna todos los tipos de establecimiento con etiquetas</t>
  </si>
  <si>
    <t>[]EstablishmentTypeInfo</t>
  </si>
  <si>
    <t>GetEstablishmentTypeLabel</t>
  </si>
  <si>
    <t>Retorna la etiqueta de un tipo de establecimiento</t>
  </si>
  <si>
    <t>code</t>
  </si>
  <si>
    <t>Por valor</t>
  </si>
  <si>
    <t>ACTIVE</t>
  </si>
  <si>
    <t>Sede activa</t>
  </si>
  <si>
    <t>INACTIVE</t>
  </si>
  <si>
    <t>Sede inactiva</t>
  </si>
  <si>
    <t>BAJO</t>
  </si>
  <si>
    <t>50-200cc</t>
  </si>
  <si>
    <t>MEDIO</t>
  </si>
  <si>
    <t>201-400cc</t>
  </si>
  <si>
    <t>ALTO</t>
  </si>
  <si>
    <t>401-3000cc</t>
  </si>
  <si>
    <t>IsValidDisplacementRange</t>
  </si>
  <si>
    <t>Valida si un rango es válido</t>
  </si>
  <si>
    <t>r</t>
  </si>
  <si>
    <t>bool</t>
  </si>
  <si>
    <t>ValidateDisplacementRanges</t>
  </si>
  <si>
    <t>Valida una lista de rangos</t>
  </si>
  <si>
    <t>ranges</t>
  </si>
  <si>
    <t>Por refrencia</t>
  </si>
  <si>
    <t>error</t>
  </si>
  <si>
    <t>user</t>
  </si>
  <si>
    <t>Usuario final motociclista</t>
  </si>
  <si>
    <t>representative</t>
  </si>
  <si>
    <t>Representante de sede</t>
  </si>
  <si>
    <t>admin</t>
  </si>
  <si>
    <t>Administrador del sistema</t>
  </si>
  <si>
    <t>PENDIENTE</t>
  </si>
  <si>
    <t>Servicio solicitado, pendiente de inicio</t>
  </si>
  <si>
    <t>EN_PROCESO</t>
  </si>
  <si>
    <t>Servicio en ejecución</t>
  </si>
  <si>
    <t>FINALIZADO</t>
  </si>
  <si>
    <t>Servicio completado</t>
  </si>
  <si>
    <t>CANCELADO</t>
  </si>
  <si>
    <t>Servicio cancelado</t>
  </si>
  <si>
    <t>AllServiceStatuses</t>
  </si>
  <si>
    <t>Retorna todos los estados válidos</t>
  </si>
  <si>
    <t>[]ServiceStatus</t>
  </si>
  <si>
    <t>IsValidServiceStatus</t>
  </si>
  <si>
    <t>Valida si un estado es válido</t>
  </si>
  <si>
    <t>s</t>
  </si>
  <si>
    <t>IsValidTransition</t>
  </si>
  <si>
    <t>Valida si una transición de estado es permitida</t>
  </si>
  <si>
    <t>from</t>
  </si>
  <si>
    <t>Mantenimiento</t>
  </si>
  <si>
    <t>Servicios de mantenimiento preventivo</t>
  </si>
  <si>
    <t>Reparación</t>
  </si>
  <si>
    <t>Servicios de reparación</t>
  </si>
  <si>
    <t>Llantas</t>
  </si>
  <si>
    <t>Servicios de llantas</t>
  </si>
  <si>
    <t>Diagnóstico</t>
  </si>
  <si>
    <t>Servicios de diagnóstico</t>
  </si>
  <si>
    <t>Estética</t>
  </si>
  <si>
    <t>Servicios estéticos</t>
  </si>
  <si>
    <t>Accesorios</t>
  </si>
  <si>
    <t>Servicios de accesorios</t>
  </si>
  <si>
    <t>Eléctrico</t>
  </si>
  <si>
    <t>Servicios eléctricos</t>
  </si>
  <si>
    <t>Legal</t>
  </si>
  <si>
    <t>Servicios legales</t>
  </si>
  <si>
    <t>AllServiceTypes</t>
  </si>
  <si>
    <t>Retorna todos los tipos de servicio</t>
  </si>
  <si>
    <t>[]ServiceType</t>
  </si>
  <si>
    <t>IsValidServiceType</t>
  </si>
  <si>
    <t>Valida si un tipo de servicio es válido</t>
  </si>
  <si>
    <t>ERROR</t>
  </si>
  <si>
    <t>Mensaje de error</t>
  </si>
  <si>
    <t>EXITO</t>
  </si>
  <si>
    <t>Mensaje de éxito</t>
  </si>
  <si>
    <t>WARNING</t>
  </si>
  <si>
    <t>Mensaje de advertencia</t>
  </si>
  <si>
    <t>INFO</t>
  </si>
  <si>
    <t>Mensaje informativo</t>
  </si>
  <si>
    <t>DEBUG</t>
  </si>
  <si>
    <t>Mensaje de depuración</t>
  </si>
  <si>
    <t>REGULAR</t>
  </si>
  <si>
    <t>Entrada de horario regular (día de la semana)</t>
  </si>
  <si>
    <t>EXCEPTION</t>
  </si>
  <si>
    <t>Entrada de excepción (fecha específica)</t>
  </si>
  <si>
    <t>FRONTAL</t>
  </si>
  <si>
    <t>Vista frontal de la motocicleta</t>
  </si>
  <si>
    <t>LATERAL</t>
  </si>
  <si>
    <t>Vista lateral de la motocicleta</t>
  </si>
  <si>
    <t>REAR</t>
  </si>
  <si>
    <t>Vista trasera de la motocicleta</t>
  </si>
  <si>
    <t>DayOfWeek (int)</t>
  </si>
  <si>
    <t>Lunes</t>
  </si>
  <si>
    <t>Martes</t>
  </si>
  <si>
    <t>Miércoles</t>
  </si>
  <si>
    <t>Jueves</t>
  </si>
  <si>
    <t>Viernes</t>
  </si>
  <si>
    <t>Sábado</t>
  </si>
  <si>
    <t>Domingo</t>
  </si>
  <si>
    <t>DayName</t>
  </si>
  <si>
    <t>Retorna el nombre en español del día</t>
  </si>
  <si>
    <t>IsValid</t>
  </si>
  <si>
    <t>Valida si el día está entre 1 y 7</t>
  </si>
  <si>
    <t>AllDaysOfWeek</t>
  </si>
  <si>
    <t>Retorna todos los días de la semana</t>
  </si>
  <si>
    <t>[]DayOfWeek</t>
  </si>
  <si>
    <t>default</t>
  </si>
  <si>
    <t>no final</t>
  </si>
  <si>
    <t>private</t>
  </si>
  <si>
    <t>atributoUno</t>
  </si>
  <si>
    <t>short/Short</t>
  </si>
  <si>
    <t>atributoDos</t>
  </si>
  <si>
    <t>List&lt;String&gt;</t>
  </si>
  <si>
    <t>atributoTres</t>
  </si>
  <si>
    <t>List&lt;ClaseDos&gt;</t>
  </si>
  <si>
    <t>atributoCuatro</t>
  </si>
  <si>
    <t>ClaseTres</t>
  </si>
  <si>
    <t>new ClaseTres()</t>
  </si>
  <si>
    <t>Defecto</t>
  </si>
  <si>
    <t>Constructor por defecto que….</t>
  </si>
  <si>
    <t>public</t>
  </si>
  <si>
    <t>Parametrizado</t>
  </si>
  <si>
    <t>Constructor parametrizado que…</t>
  </si>
  <si>
    <t>valorAtributoUno</t>
  </si>
  <si>
    <t>Parámetro que…</t>
  </si>
  <si>
    <t>getAtributoUno</t>
  </si>
  <si>
    <t>getter</t>
  </si>
  <si>
    <t>Método encargado de obtener el valor del atributo atributoUno</t>
  </si>
  <si>
    <t>setAtributoUno</t>
  </si>
  <si>
    <t>setter</t>
  </si>
  <si>
    <t>Método encargado de colocar el valor al atributo atributoUno</t>
  </si>
  <si>
    <t>hacerAlgo</t>
  </si>
  <si>
    <t>Método encargado de hacer algo</t>
  </si>
  <si>
    <t>imprimirAlgo</t>
  </si>
  <si>
    <t>Método encargado de imprimir algo</t>
  </si>
  <si>
    <t>texto</t>
  </si>
  <si>
    <t>En caso de que el valor recibido por parámetro llegue vacío</t>
  </si>
  <si>
    <t>Modificador acceso clase top level</t>
  </si>
  <si>
    <t>Tipo estructura</t>
  </si>
  <si>
    <t>Tipo acceso</t>
  </si>
  <si>
    <t>Tipo de dato retorno método</t>
  </si>
  <si>
    <t>class</t>
  </si>
  <si>
    <t>byte/Byte</t>
  </si>
  <si>
    <t>abstract class</t>
  </si>
  <si>
    <t>protected</t>
  </si>
  <si>
    <t>Por referencia</t>
  </si>
  <si>
    <t>interface</t>
  </si>
  <si>
    <t>Dependencia</t>
  </si>
  <si>
    <t>long/Long</t>
  </si>
  <si>
    <t>record</t>
  </si>
  <si>
    <t>Herencia</t>
  </si>
  <si>
    <t>Realización</t>
  </si>
  <si>
    <t>double/Double</t>
  </si>
  <si>
    <t>char/Character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</si>
</sst>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name val="Consolas"/>
      <family val="2"/>
    </font>
    <font>
      <sz val="10"/>
      <name val="Calibri"/>
      <family val="2"/>
    </font>
    <font>
      <sz val="11"/>
      <color rgb="FF000000"/>
      <name val="Consolas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E4F0"/>
        <bgColor rgb="FFD6E4F0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2" fillId="0" borderId="6" xfId="1" applyBorder="1" applyAlignment="1">
      <alignment vertical="center"/>
    </xf>
    <xf numFmtId="0" fontId="2" fillId="0" borderId="12" xfId="1" applyBorder="1" applyAlignment="1">
      <alignment vertical="center"/>
    </xf>
    <xf numFmtId="0" fontId="0" fillId="8" borderId="0" xfId="0" applyFill="1"/>
    <xf numFmtId="0" fontId="3" fillId="0" borderId="18" xfId="0" applyFont="1" applyBorder="1" applyAlignment="1">
      <alignment wrapText="1"/>
    </xf>
    <xf numFmtId="0" fontId="3" fillId="9" borderId="18" xfId="0" applyFont="1" applyFill="1" applyBorder="1" applyAlignment="1">
      <alignment wrapText="1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5" fillId="0" borderId="18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0" fillId="0" borderId="25" xfId="0" applyBorder="1" applyAlignment="1">
      <alignment vertical="center"/>
    </xf>
    <xf numFmtId="0" fontId="0" fillId="0" borderId="15" xfId="0" applyBorder="1" applyAlignment="1">
      <alignment vertical="center"/>
    </xf>
    <xf numFmtId="0" fontId="4" fillId="0" borderId="16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15" xfId="0" applyFont="1" applyBorder="1" applyAlignment="1">
      <alignment horizontal="left" wrapText="1"/>
    </xf>
    <xf numFmtId="0" fontId="5" fillId="0" borderId="16" xfId="0" applyFont="1" applyBorder="1" applyAlignment="1">
      <alignment horizontal="left" wrapText="1"/>
    </xf>
    <xf numFmtId="0" fontId="2" fillId="9" borderId="1" xfId="2" applyFill="1" applyBorder="1" applyAlignment="1">
      <alignment wrapText="1"/>
    </xf>
    <xf numFmtId="0" fontId="2" fillId="0" borderId="0" xfId="2" applyAlignment="1">
      <alignment vertical="center"/>
    </xf>
    <xf numFmtId="0" fontId="1" fillId="6" borderId="12" xfId="0" applyFont="1" applyFill="1" applyBorder="1" applyAlignment="1">
      <alignment vertical="center"/>
    </xf>
    <xf numFmtId="0" fontId="2" fillId="0" borderId="26" xfId="2" applyBorder="1"/>
    <xf numFmtId="0" fontId="2" fillId="0" borderId="30" xfId="2" applyBorder="1"/>
    <xf numFmtId="0" fontId="6" fillId="9" borderId="26" xfId="0" applyFont="1" applyFill="1" applyBorder="1"/>
    <xf numFmtId="0" fontId="7" fillId="9" borderId="26" xfId="0" applyFont="1" applyFill="1" applyBorder="1" applyAlignment="1">
      <alignment wrapText="1"/>
    </xf>
    <xf numFmtId="0" fontId="8" fillId="0" borderId="26" xfId="0" applyFont="1" applyBorder="1"/>
    <xf numFmtId="0" fontId="6" fillId="0" borderId="26" xfId="0" applyFont="1" applyBorder="1"/>
    <xf numFmtId="0" fontId="7" fillId="0" borderId="26" xfId="0" applyFont="1" applyBorder="1" applyAlignment="1">
      <alignment wrapText="1"/>
    </xf>
    <xf numFmtId="0" fontId="6" fillId="0" borderId="30" xfId="0" applyFont="1" applyBorder="1"/>
    <xf numFmtId="0" fontId="7" fillId="0" borderId="30" xfId="0" applyFont="1" applyBorder="1" applyAlignment="1">
      <alignment wrapText="1"/>
    </xf>
    <xf numFmtId="0" fontId="8" fillId="0" borderId="30" xfId="0" applyFont="1" applyBorder="1"/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8" fillId="0" borderId="0" xfId="0" applyFont="1"/>
    <xf numFmtId="0" fontId="10" fillId="0" borderId="0" xfId="0" applyFont="1" applyAlignment="1">
      <alignment wrapText="1"/>
    </xf>
    <xf numFmtId="0" fontId="2" fillId="0" borderId="31" xfId="2" applyBorder="1" applyAlignment="1">
      <alignment vertical="center"/>
    </xf>
    <xf numFmtId="0" fontId="11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0" fontId="10" fillId="0" borderId="18" xfId="0" applyFont="1" applyBorder="1" applyAlignment="1">
      <alignment wrapText="1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5" fillId="0" borderId="17" xfId="0" applyFont="1" applyBorder="1" applyAlignment="1">
      <alignment horizontal="left" wrapText="1"/>
    </xf>
    <xf numFmtId="0" fontId="5" fillId="0" borderId="32" xfId="0" applyFont="1" applyBorder="1" applyAlignment="1">
      <alignment horizontal="left" wrapText="1"/>
    </xf>
    <xf numFmtId="0" fontId="10" fillId="0" borderId="33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0" fillId="0" borderId="14" xfId="0" applyBorder="1" applyAlignment="1">
      <alignment vertical="center"/>
    </xf>
    <xf numFmtId="0" fontId="5" fillId="0" borderId="38" xfId="0" applyFont="1" applyBorder="1" applyAlignment="1">
      <alignment horizontal="left" wrapText="1"/>
    </xf>
    <xf numFmtId="0" fontId="5" fillId="0" borderId="39" xfId="0" applyFont="1" applyBorder="1" applyAlignment="1">
      <alignment horizontal="left" wrapText="1"/>
    </xf>
    <xf numFmtId="0" fontId="5" fillId="0" borderId="40" xfId="0" applyFont="1" applyBorder="1" applyAlignment="1">
      <alignment horizontal="left" wrapText="1"/>
    </xf>
    <xf numFmtId="0" fontId="5" fillId="0" borderId="41" xfId="0" applyFont="1" applyBorder="1" applyAlignment="1">
      <alignment horizontal="left" wrapText="1"/>
    </xf>
    <xf numFmtId="0" fontId="0" fillId="0" borderId="35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1" fillId="5" borderId="20" xfId="0" applyFont="1" applyFill="1" applyBorder="1" applyAlignment="1">
      <alignment vertical="center"/>
    </xf>
    <xf numFmtId="0" fontId="1" fillId="5" borderId="21" xfId="0" applyFont="1" applyFill="1" applyBorder="1" applyAlignment="1">
      <alignment vertical="center"/>
    </xf>
    <xf numFmtId="0" fontId="1" fillId="5" borderId="22" xfId="0" applyFont="1" applyFill="1" applyBorder="1" applyAlignment="1">
      <alignment vertical="center"/>
    </xf>
    <xf numFmtId="0" fontId="1" fillId="5" borderId="23" xfId="0" applyFont="1" applyFill="1" applyBorder="1" applyAlignment="1">
      <alignment vertical="center"/>
    </xf>
    <xf numFmtId="0" fontId="1" fillId="5" borderId="24" xfId="0" applyFont="1" applyFill="1" applyBorder="1" applyAlignment="1">
      <alignment vertical="center"/>
    </xf>
    <xf numFmtId="0" fontId="1" fillId="5" borderId="19" xfId="0" applyFont="1" applyFill="1" applyBorder="1" applyAlignment="1">
      <alignment vertical="center"/>
    </xf>
    <xf numFmtId="0" fontId="5" fillId="0" borderId="23" xfId="0" applyFont="1" applyBorder="1" applyAlignment="1">
      <alignment wrapText="1"/>
    </xf>
    <xf numFmtId="0" fontId="5" fillId="0" borderId="34" xfId="0" applyFont="1" applyBorder="1" applyAlignment="1">
      <alignment wrapText="1"/>
    </xf>
    <xf numFmtId="0" fontId="5" fillId="0" borderId="33" xfId="0" applyFont="1" applyBorder="1" applyAlignment="1">
      <alignment wrapText="1"/>
    </xf>
    <xf numFmtId="0" fontId="0" fillId="0" borderId="26" xfId="0" applyBorder="1" applyAlignment="1">
      <alignment vertical="center"/>
    </xf>
    <xf numFmtId="0" fontId="5" fillId="0" borderId="48" xfId="0" applyFont="1" applyBorder="1" applyAlignment="1">
      <alignment wrapText="1"/>
    </xf>
    <xf numFmtId="0" fontId="0" fillId="0" borderId="21" xfId="0" applyBorder="1" applyAlignment="1">
      <alignment vertical="center"/>
    </xf>
    <xf numFmtId="0" fontId="5" fillId="0" borderId="31" xfId="0" applyFont="1" applyBorder="1" applyAlignment="1">
      <alignment horizontal="left" wrapText="1"/>
    </xf>
    <xf numFmtId="0" fontId="5" fillId="0" borderId="49" xfId="0" applyFont="1" applyBorder="1" applyAlignment="1">
      <alignment horizontal="left" wrapText="1"/>
    </xf>
    <xf numFmtId="0" fontId="5" fillId="0" borderId="50" xfId="0" applyFont="1" applyBorder="1" applyAlignment="1">
      <alignment horizontal="left" wrapText="1"/>
    </xf>
    <xf numFmtId="0" fontId="1" fillId="2" borderId="11" xfId="0" applyFont="1" applyFill="1" applyBorder="1" applyAlignment="1">
      <alignment vertical="center"/>
    </xf>
    <xf numFmtId="0" fontId="4" fillId="0" borderId="26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5" fillId="0" borderId="24" xfId="0" applyFont="1" applyBorder="1" applyAlignment="1">
      <alignment horizontal="left" wrapText="1"/>
    </xf>
    <xf numFmtId="0" fontId="0" fillId="0" borderId="31" xfId="0" applyBorder="1" applyAlignment="1">
      <alignment vertical="center"/>
    </xf>
    <xf numFmtId="0" fontId="0" fillId="0" borderId="50" xfId="0" applyBorder="1" applyAlignment="1">
      <alignment vertical="center"/>
    </xf>
    <xf numFmtId="0" fontId="5" fillId="0" borderId="52" xfId="0" applyFont="1" applyBorder="1" applyAlignment="1">
      <alignment horizontal="left" wrapText="1"/>
    </xf>
    <xf numFmtId="0" fontId="12" fillId="0" borderId="15" xfId="0" applyFont="1" applyBorder="1" applyAlignment="1">
      <alignment vertical="center"/>
    </xf>
    <xf numFmtId="0" fontId="5" fillId="0" borderId="14" xfId="0" applyFont="1" applyBorder="1" applyAlignment="1">
      <alignment wrapText="1"/>
    </xf>
    <xf numFmtId="0" fontId="0" fillId="0" borderId="16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5" fillId="0" borderId="16" xfId="0" applyFont="1" applyBorder="1" applyAlignment="1">
      <alignment horizontal="left" wrapText="1"/>
    </xf>
    <xf numFmtId="0" fontId="5" fillId="0" borderId="17" xfId="0" applyFont="1" applyBorder="1" applyAlignment="1">
      <alignment horizontal="left" wrapText="1"/>
    </xf>
    <xf numFmtId="0" fontId="1" fillId="4" borderId="25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18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2" fillId="0" borderId="13" xfId="2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32" xfId="0" applyFont="1" applyBorder="1" applyAlignment="1">
      <alignment horizontal="left" wrapText="1"/>
    </xf>
    <xf numFmtId="0" fontId="5" fillId="0" borderId="38" xfId="0" applyFont="1" applyBorder="1" applyAlignment="1">
      <alignment horizontal="left" wrapText="1"/>
    </xf>
    <xf numFmtId="0" fontId="1" fillId="4" borderId="24" xfId="0" applyFont="1" applyFill="1" applyBorder="1" applyAlignment="1">
      <alignment horizontal="left" vertical="center"/>
    </xf>
    <xf numFmtId="0" fontId="5" fillId="0" borderId="35" xfId="0" applyFont="1" applyBorder="1" applyAlignment="1">
      <alignment horizontal="left" wrapText="1"/>
    </xf>
    <xf numFmtId="0" fontId="5" fillId="0" borderId="36" xfId="0" applyFont="1" applyBorder="1" applyAlignment="1">
      <alignment horizontal="left" wrapText="1"/>
    </xf>
    <xf numFmtId="0" fontId="5" fillId="0" borderId="37" xfId="0" applyFont="1" applyBorder="1" applyAlignment="1">
      <alignment horizontal="left" wrapText="1"/>
    </xf>
    <xf numFmtId="0" fontId="1" fillId="5" borderId="11" xfId="0" applyFont="1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0" fontId="5" fillId="0" borderId="23" xfId="0" applyFont="1" applyBorder="1" applyAlignment="1">
      <alignment horizontal="left" wrapText="1"/>
    </xf>
    <xf numFmtId="0" fontId="5" fillId="0" borderId="24" xfId="0" applyFont="1" applyBorder="1" applyAlignment="1">
      <alignment horizontal="left" wrapText="1"/>
    </xf>
    <xf numFmtId="0" fontId="5" fillId="0" borderId="47" xfId="0" applyFont="1" applyBorder="1" applyAlignment="1">
      <alignment horizontal="left" wrapText="1"/>
    </xf>
    <xf numFmtId="0" fontId="5" fillId="0" borderId="44" xfId="0" applyFont="1" applyBorder="1" applyAlignment="1">
      <alignment horizontal="left" wrapText="1"/>
    </xf>
    <xf numFmtId="0" fontId="5" fillId="0" borderId="45" xfId="0" applyFont="1" applyBorder="1" applyAlignment="1">
      <alignment horizontal="left" wrapText="1"/>
    </xf>
    <xf numFmtId="0" fontId="5" fillId="0" borderId="46" xfId="0" applyFont="1" applyBorder="1" applyAlignment="1">
      <alignment horizontal="left" wrapText="1"/>
    </xf>
    <xf numFmtId="0" fontId="5" fillId="0" borderId="23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5" fillId="0" borderId="47" xfId="0" applyFont="1" applyBorder="1" applyAlignment="1">
      <alignment horizontal="center" wrapText="1"/>
    </xf>
    <xf numFmtId="0" fontId="5" fillId="0" borderId="20" xfId="0" applyFont="1" applyBorder="1" applyAlignment="1">
      <alignment horizontal="left" wrapText="1"/>
    </xf>
    <xf numFmtId="0" fontId="5" fillId="0" borderId="21" xfId="0" applyFont="1" applyBorder="1" applyAlignment="1">
      <alignment horizontal="left" wrapText="1"/>
    </xf>
    <xf numFmtId="0" fontId="5" fillId="0" borderId="51" xfId="0" applyFont="1" applyBorder="1" applyAlignment="1">
      <alignment horizontal="left" wrapText="1"/>
    </xf>
    <xf numFmtId="0" fontId="1" fillId="4" borderId="52" xfId="0" applyFont="1" applyFill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2" xfId="0" applyFont="1" applyBorder="1" applyAlignment="1">
      <alignment horizontal="left" wrapText="1"/>
    </xf>
    <xf numFmtId="0" fontId="1" fillId="4" borderId="5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2" fillId="0" borderId="13" xfId="1" applyBorder="1" applyAlignment="1">
      <alignment horizontal="left" vertic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7">
    <dxf>
      <font>
        <b val="0"/>
        <color rgb="FF000000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color rgb="FF000000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color rgb="FF000000"/>
      </font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-9525</xdr:colOff>
      <xdr:row>20</xdr:row>
      <xdr:rowOff>104775</xdr:rowOff>
    </xdr:from>
    <xdr:to>
      <xdr:col>28</xdr:col>
      <xdr:colOff>638175</xdr:colOff>
      <xdr:row>99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87457F-A2F8-84DE-1EF0-71C0F8223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9525" y="3914775"/>
          <a:ext cx="22840950" cy="150209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D6939D-1201-4F3A-AF6C-7E2EEEE31EFC}" name="Tabla1" displayName="Tabla1" ref="A1:E33" totalsRowShown="0" headerRowDxfId="6" tableBorderDxfId="5">
  <autoFilter ref="A1:E33" xr:uid="{09D6939D-1201-4F3A-AF6C-7E2EEEE31EFC}"/>
  <tableColumns count="5">
    <tableColumn id="1" xr3:uid="{739ECD16-0AD6-4712-AAFC-AE8EC9BFB08F}" name="Struct" dataDxfId="4" dataCellStyle="Hyperlink">
      <calculatedColumnFormula>HYPERLINK("#'"&amp;I2&amp;"'!A1", I2)</calculatedColumnFormula>
    </tableColumn>
    <tableColumn id="2" xr3:uid="{CD4C6A17-3281-4246-932B-4CA11709E8F5}" name="Estereotipo" dataDxfId="3"/>
    <tableColumn id="3" xr3:uid="{6C024DBF-A97E-4024-AD97-FE095EED35C3}" name="Desripción" dataDxfId="2"/>
    <tableColumn id="4" xr3:uid="{3FC56B9B-3934-4962-B482-A80FA6A65462}" name="Modificador de acceso" dataDxfId="1"/>
    <tableColumn id="5" xr3:uid="{9885BE4B-C478-4BC1-B46C-D4101A9760D8}" name="Tipo de Clas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DD5C-C31B-494F-AC8C-D9C6DB3214A6}">
  <dimension ref="A2"/>
  <sheetViews>
    <sheetView workbookViewId="0">
      <selection activeCell="E27" sqref="E27"/>
    </sheetView>
  </sheetViews>
  <sheetFormatPr defaultColWidth="11.42578125" defaultRowHeight="15"/>
  <cols>
    <col min="1" max="1" width="24.28515625" style="20" bestFit="1" customWidth="1"/>
    <col min="2" max="16384" width="11.42578125" style="20"/>
  </cols>
  <sheetData>
    <row r="2" spans="1:1">
      <c r="A2" s="20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5403-6348-4EA1-A621-73D3E528C0B5}">
  <dimension ref="A1:I33"/>
  <sheetViews>
    <sheetView workbookViewId="0">
      <selection activeCell="A2" sqref="A2"/>
    </sheetView>
  </sheetViews>
  <sheetFormatPr defaultColWidth="11.42578125" defaultRowHeight="15"/>
  <cols>
    <col min="1" max="1" width="31.28515625" customWidth="1"/>
    <col min="2" max="2" width="20.42578125" customWidth="1"/>
    <col min="3" max="3" width="68.7109375" customWidth="1"/>
    <col min="4" max="4" width="23.85546875" bestFit="1" customWidth="1"/>
    <col min="5" max="5" width="15.140625" customWidth="1"/>
    <col min="8" max="8" width="25.5703125" customWidth="1"/>
    <col min="9" max="9" width="1.28515625" hidden="1" customWidth="1"/>
  </cols>
  <sheetData>
    <row r="1" spans="1:9">
      <c r="A1" s="48" t="s">
        <v>1</v>
      </c>
      <c r="B1" s="49" t="s">
        <v>2</v>
      </c>
      <c r="C1" s="50" t="s">
        <v>3</v>
      </c>
      <c r="D1" s="51" t="s">
        <v>4</v>
      </c>
      <c r="E1" s="51" t="s">
        <v>5</v>
      </c>
    </row>
    <row r="2" spans="1:9" ht="45.75">
      <c r="A2" s="38" t="str">
        <f>HYPERLINK("#'"&amp;I2&amp;"'!A1", I2)</f>
        <v>Person</v>
      </c>
      <c r="B2" s="40" t="s">
        <v>6</v>
      </c>
      <c r="C2" s="41" t="s">
        <v>7</v>
      </c>
      <c r="D2" s="42" t="s">
        <v>8</v>
      </c>
      <c r="E2" s="42" t="s">
        <v>9</v>
      </c>
      <c r="I2" s="35" t="s">
        <v>10</v>
      </c>
    </row>
    <row r="3" spans="1:9" ht="45.75">
      <c r="A3" s="38" t="str">
        <f>HYPERLINK("#'"&amp;I3&amp;"'!A1", I3)</f>
        <v>Branch</v>
      </c>
      <c r="B3" s="43" t="s">
        <v>6</v>
      </c>
      <c r="C3" s="44" t="s">
        <v>11</v>
      </c>
      <c r="D3" s="42" t="s">
        <v>8</v>
      </c>
      <c r="E3" s="42" t="s">
        <v>9</v>
      </c>
      <c r="G3" s="23"/>
      <c r="I3" s="21" t="s">
        <v>12</v>
      </c>
    </row>
    <row r="4" spans="1:9" ht="30.75">
      <c r="A4" s="38" t="str">
        <f>HYPERLINK("#'"&amp;I4&amp;"'!A1", I4)</f>
        <v>Franchise</v>
      </c>
      <c r="B4" s="40" t="s">
        <v>6</v>
      </c>
      <c r="C4" s="41" t="s">
        <v>13</v>
      </c>
      <c r="D4" s="42" t="s">
        <v>8</v>
      </c>
      <c r="E4" s="42" t="s">
        <v>9</v>
      </c>
      <c r="G4" s="23"/>
      <c r="I4" s="22" t="s">
        <v>14</v>
      </c>
    </row>
    <row r="5" spans="1:9" ht="30.75">
      <c r="A5" s="38" t="str">
        <f>HYPERLINK("#'"&amp;I5&amp;"'!A1", I5)</f>
        <v>Location</v>
      </c>
      <c r="B5" s="43" t="s">
        <v>6</v>
      </c>
      <c r="C5" s="44" t="s">
        <v>15</v>
      </c>
      <c r="D5" s="42" t="s">
        <v>8</v>
      </c>
      <c r="E5" s="42" t="s">
        <v>9</v>
      </c>
      <c r="G5" s="23"/>
      <c r="I5" s="21" t="s">
        <v>16</v>
      </c>
    </row>
    <row r="6" spans="1:9" ht="30.75">
      <c r="A6" s="38" t="str">
        <f>HYPERLINK("#'"&amp;I6&amp;"'!A1", I6)</f>
        <v>Motorcycle</v>
      </c>
      <c r="B6" s="40" t="s">
        <v>6</v>
      </c>
      <c r="C6" s="41" t="s">
        <v>17</v>
      </c>
      <c r="D6" s="42" t="s">
        <v>8</v>
      </c>
      <c r="E6" s="42" t="s">
        <v>9</v>
      </c>
      <c r="G6" s="23"/>
      <c r="I6" s="22" t="s">
        <v>18</v>
      </c>
    </row>
    <row r="7" spans="1:9" ht="30.75">
      <c r="A7" s="38" t="str">
        <f>HYPERLINK("#'"&amp;I7&amp;"'!A1", I7)</f>
        <v>MotorcycleReference</v>
      </c>
      <c r="B7" s="43" t="s">
        <v>6</v>
      </c>
      <c r="C7" s="44" t="s">
        <v>19</v>
      </c>
      <c r="D7" s="42" t="s">
        <v>8</v>
      </c>
      <c r="E7" s="42" t="s">
        <v>9</v>
      </c>
      <c r="I7" s="21" t="s">
        <v>20</v>
      </c>
    </row>
    <row r="8" spans="1:9" ht="30.75">
      <c r="A8" s="38" t="str">
        <f>HYPERLINK("#'"&amp;I8&amp;"'!A1", I8)</f>
        <v>MotorcycleEvidence</v>
      </c>
      <c r="B8" s="40" t="s">
        <v>6</v>
      </c>
      <c r="C8" s="41" t="s">
        <v>21</v>
      </c>
      <c r="D8" s="42" t="s">
        <v>8</v>
      </c>
      <c r="E8" s="42" t="s">
        <v>9</v>
      </c>
      <c r="I8" s="22" t="s">
        <v>22</v>
      </c>
    </row>
    <row r="9" spans="1:9" ht="30.75">
      <c r="A9" s="38" t="str">
        <f>HYPERLINK("#'"&amp;I9&amp;"'!A1", I9)</f>
        <v>Brand</v>
      </c>
      <c r="B9" s="43" t="s">
        <v>6</v>
      </c>
      <c r="C9" s="44" t="s">
        <v>23</v>
      </c>
      <c r="D9" s="42" t="s">
        <v>8</v>
      </c>
      <c r="E9" s="42" t="s">
        <v>9</v>
      </c>
      <c r="I9" s="21" t="s">
        <v>24</v>
      </c>
    </row>
    <row r="10" spans="1:9" ht="30.75">
      <c r="A10" s="38" t="str">
        <f>HYPERLINK("#'"&amp;I10&amp;"'!A1", I10)</f>
        <v>City</v>
      </c>
      <c r="B10" s="40" t="s">
        <v>6</v>
      </c>
      <c r="C10" s="41" t="s">
        <v>25</v>
      </c>
      <c r="D10" s="42" t="s">
        <v>8</v>
      </c>
      <c r="E10" s="42" t="s">
        <v>9</v>
      </c>
      <c r="I10" s="22" t="s">
        <v>26</v>
      </c>
    </row>
    <row r="11" spans="1:9" ht="30.75">
      <c r="A11" s="38" t="str">
        <f>HYPERLINK("#'"&amp;I11&amp;"'!A1", I11)</f>
        <v>Department</v>
      </c>
      <c r="B11" s="43" t="s">
        <v>6</v>
      </c>
      <c r="C11" s="44" t="s">
        <v>27</v>
      </c>
      <c r="D11" s="42" t="s">
        <v>8</v>
      </c>
      <c r="E11" s="42" t="s">
        <v>9</v>
      </c>
      <c r="I11" s="21" t="s">
        <v>28</v>
      </c>
    </row>
    <row r="12" spans="1:9" ht="30.75">
      <c r="A12" s="38" t="str">
        <f>HYPERLINK("#'"&amp;I12&amp;"'!A1", I12)</f>
        <v>Message</v>
      </c>
      <c r="B12" s="40" t="s">
        <v>6</v>
      </c>
      <c r="C12" s="41" t="s">
        <v>29</v>
      </c>
      <c r="D12" s="42" t="s">
        <v>8</v>
      </c>
      <c r="E12" s="42" t="s">
        <v>9</v>
      </c>
      <c r="I12" s="22" t="s">
        <v>30</v>
      </c>
    </row>
    <row r="13" spans="1:9" ht="30.75">
      <c r="A13" s="38" t="str">
        <f>HYPERLINK("#'"&amp;I13&amp;"'!A1", I13)</f>
        <v>Diagnostic</v>
      </c>
      <c r="B13" s="43" t="s">
        <v>6</v>
      </c>
      <c r="C13" s="44" t="s">
        <v>31</v>
      </c>
      <c r="D13" s="42" t="s">
        <v>8</v>
      </c>
      <c r="E13" s="42" t="s">
        <v>9</v>
      </c>
      <c r="I13" s="21" t="s">
        <v>32</v>
      </c>
    </row>
    <row r="14" spans="1:9" ht="30.75">
      <c r="A14" s="38" t="str">
        <f>HYPERLINK("#'"&amp;I14&amp;"'!A1", I14)</f>
        <v>DiagnosticPermission</v>
      </c>
      <c r="B14" s="40" t="s">
        <v>6</v>
      </c>
      <c r="C14" s="41" t="s">
        <v>33</v>
      </c>
      <c r="D14" s="42" t="s">
        <v>8</v>
      </c>
      <c r="E14" s="42" t="s">
        <v>9</v>
      </c>
      <c r="I14" s="22" t="s">
        <v>34</v>
      </c>
    </row>
    <row r="15" spans="1:9" ht="45.75">
      <c r="A15" s="38" t="str">
        <f>HYPERLINK("#'"&amp;I15&amp;"'!A1", I15)</f>
        <v>CompletedService</v>
      </c>
      <c r="B15" s="43" t="s">
        <v>6</v>
      </c>
      <c r="C15" s="44" t="s">
        <v>35</v>
      </c>
      <c r="D15" s="42" t="s">
        <v>8</v>
      </c>
      <c r="E15" s="42" t="s">
        <v>9</v>
      </c>
      <c r="I15" s="21" t="s">
        <v>36</v>
      </c>
    </row>
    <row r="16" spans="1:9" ht="30.75">
      <c r="A16" s="38" t="str">
        <f>HYPERLINK("#'"&amp;I16&amp;"'!A1", I16)</f>
        <v>CompletedServiceItem</v>
      </c>
      <c r="B16" s="40" t="s">
        <v>6</v>
      </c>
      <c r="C16" s="41" t="s">
        <v>37</v>
      </c>
      <c r="D16" s="42" t="s">
        <v>8</v>
      </c>
      <c r="E16" s="42" t="s">
        <v>9</v>
      </c>
      <c r="I16" s="22" t="s">
        <v>38</v>
      </c>
    </row>
    <row r="17" spans="1:9" ht="30.75">
      <c r="A17" s="38" t="str">
        <f>HYPERLINK("#'"&amp;I17&amp;"'!A1", I17)</f>
        <v>ServiceStatusHistory</v>
      </c>
      <c r="B17" s="43" t="s">
        <v>6</v>
      </c>
      <c r="C17" s="44" t="s">
        <v>39</v>
      </c>
      <c r="D17" s="42" t="s">
        <v>8</v>
      </c>
      <c r="E17" s="42" t="s">
        <v>9</v>
      </c>
      <c r="I17" s="21" t="s">
        <v>40</v>
      </c>
    </row>
    <row r="18" spans="1:9" ht="45.75">
      <c r="A18" s="38" t="str">
        <f>HYPERLINK("#'"&amp;I18&amp;"'!A1", I18)</f>
        <v>Service</v>
      </c>
      <c r="B18" s="40" t="s">
        <v>6</v>
      </c>
      <c r="C18" s="41" t="s">
        <v>41</v>
      </c>
      <c r="D18" s="42" t="s">
        <v>8</v>
      </c>
      <c r="E18" s="42" t="s">
        <v>9</v>
      </c>
      <c r="I18" s="22" t="s">
        <v>42</v>
      </c>
    </row>
    <row r="19" spans="1:9" ht="30.75">
      <c r="A19" s="38" t="str">
        <f>HYPERLINK("#'"&amp;I19&amp;"'!A1", I19)</f>
        <v>ServiceReview</v>
      </c>
      <c r="B19" s="43" t="s">
        <v>6</v>
      </c>
      <c r="C19" s="44" t="s">
        <v>43</v>
      </c>
      <c r="D19" s="42" t="s">
        <v>8</v>
      </c>
      <c r="E19" s="42" t="s">
        <v>9</v>
      </c>
      <c r="I19" s="21" t="s">
        <v>44</v>
      </c>
    </row>
    <row r="20" spans="1:9" ht="45.75" customHeight="1">
      <c r="A20" s="38" t="str">
        <f>HYPERLINK("#'"&amp;I20&amp;"'!A1", I20)</f>
        <v>ServiceReviewSummary</v>
      </c>
      <c r="B20" s="40" t="s">
        <v>6</v>
      </c>
      <c r="C20" s="41" t="s">
        <v>45</v>
      </c>
      <c r="D20" s="42" t="s">
        <v>8</v>
      </c>
      <c r="E20" s="42" t="s">
        <v>9</v>
      </c>
      <c r="I20" s="22" t="s">
        <v>46</v>
      </c>
    </row>
    <row r="21" spans="1:9" ht="30.75">
      <c r="A21" s="38" t="str">
        <f>HYPERLINK("#'"&amp;I21&amp;"'!A1", I21)</f>
        <v>BranchServiceInfo</v>
      </c>
      <c r="B21" s="43" t="s">
        <v>6</v>
      </c>
      <c r="C21" s="44" t="s">
        <v>47</v>
      </c>
      <c r="D21" s="42" t="s">
        <v>8</v>
      </c>
      <c r="E21" s="42" t="s">
        <v>9</v>
      </c>
      <c r="I21" s="21" t="s">
        <v>48</v>
      </c>
    </row>
    <row r="22" spans="1:9" ht="30.75">
      <c r="A22" s="38" t="str">
        <f>HYPERLINK("#'"&amp;I22&amp;"'!A1", I22)</f>
        <v>BranchSchedule</v>
      </c>
      <c r="B22" s="40" t="s">
        <v>6</v>
      </c>
      <c r="C22" s="41" t="s">
        <v>49</v>
      </c>
      <c r="D22" s="42" t="s">
        <v>8</v>
      </c>
      <c r="E22" s="42" t="s">
        <v>9</v>
      </c>
      <c r="I22" s="22" t="s">
        <v>50</v>
      </c>
    </row>
    <row r="23" spans="1:9" ht="30.75">
      <c r="A23" s="38" t="str">
        <f>HYPERLINK("#'"&amp;I23&amp;"'!A1", I23)</f>
        <v>ScheduleDetail</v>
      </c>
      <c r="B23" s="43" t="s">
        <v>6</v>
      </c>
      <c r="C23" s="44" t="s">
        <v>51</v>
      </c>
      <c r="D23" s="42" t="s">
        <v>8</v>
      </c>
      <c r="E23" s="42" t="s">
        <v>9</v>
      </c>
      <c r="I23" s="21" t="s">
        <v>52</v>
      </c>
    </row>
    <row r="24" spans="1:9" ht="30.75">
      <c r="A24" s="38" t="str">
        <f>HYPERLINK("#'"&amp;I24&amp;"'!A1", I24)</f>
        <v>EstablishmentType</v>
      </c>
      <c r="B24" s="40" t="s">
        <v>53</v>
      </c>
      <c r="C24" s="41" t="s">
        <v>54</v>
      </c>
      <c r="D24" s="42" t="s">
        <v>8</v>
      </c>
      <c r="E24" s="42" t="s">
        <v>9</v>
      </c>
      <c r="I24" s="22" t="s">
        <v>55</v>
      </c>
    </row>
    <row r="25" spans="1:9" ht="30.75">
      <c r="A25" s="38" t="str">
        <f>HYPERLINK("#'"&amp;I25&amp;"'!A1", I25)</f>
        <v>BranchStatus</v>
      </c>
      <c r="B25" s="43" t="s">
        <v>53</v>
      </c>
      <c r="C25" s="44" t="s">
        <v>56</v>
      </c>
      <c r="D25" s="42" t="s">
        <v>8</v>
      </c>
      <c r="E25" s="42" t="s">
        <v>9</v>
      </c>
      <c r="I25" s="21" t="s">
        <v>57</v>
      </c>
    </row>
    <row r="26" spans="1:9" ht="30.75">
      <c r="A26" s="38" t="str">
        <f>HYPERLINK("#'"&amp;I26&amp;"'!A1", I26)</f>
        <v>DisplacementRange</v>
      </c>
      <c r="B26" s="40" t="s">
        <v>53</v>
      </c>
      <c r="C26" s="41" t="s">
        <v>58</v>
      </c>
      <c r="D26" s="42" t="s">
        <v>8</v>
      </c>
      <c r="E26" s="42" t="s">
        <v>9</v>
      </c>
      <c r="I26" s="22" t="s">
        <v>59</v>
      </c>
    </row>
    <row r="27" spans="1:9" ht="30.75">
      <c r="A27" s="38" t="str">
        <f>HYPERLINK("#'"&amp;I27&amp;"'!A1", I27)</f>
        <v>Role</v>
      </c>
      <c r="B27" s="43" t="s">
        <v>53</v>
      </c>
      <c r="C27" s="44" t="s">
        <v>60</v>
      </c>
      <c r="D27" s="42" t="s">
        <v>8</v>
      </c>
      <c r="E27" s="42" t="s">
        <v>9</v>
      </c>
      <c r="I27" s="21" t="s">
        <v>61</v>
      </c>
    </row>
    <row r="28" spans="1:9" ht="30.75">
      <c r="A28" s="38" t="str">
        <f>HYPERLINK("#'"&amp;I28&amp;"'!A1", I28)</f>
        <v>ServiceStatus</v>
      </c>
      <c r="B28" s="40" t="s">
        <v>53</v>
      </c>
      <c r="C28" s="41" t="s">
        <v>62</v>
      </c>
      <c r="D28" s="42" t="s">
        <v>8</v>
      </c>
      <c r="E28" s="42" t="s">
        <v>9</v>
      </c>
      <c r="I28" s="22" t="s">
        <v>63</v>
      </c>
    </row>
    <row r="29" spans="1:9" ht="30.75">
      <c r="A29" s="38" t="str">
        <f>HYPERLINK("#'"&amp;I29&amp;"'!A1", I29)</f>
        <v>ServiceType</v>
      </c>
      <c r="B29" s="43" t="s">
        <v>53</v>
      </c>
      <c r="C29" s="44" t="s">
        <v>64</v>
      </c>
      <c r="D29" s="42" t="s">
        <v>8</v>
      </c>
      <c r="E29" s="42" t="s">
        <v>9</v>
      </c>
      <c r="I29" s="21" t="s">
        <v>65</v>
      </c>
    </row>
    <row r="30" spans="1:9" ht="30.75">
      <c r="A30" s="38" t="str">
        <f>HYPERLINK("#'"&amp;I30&amp;"'!A1", I30)</f>
        <v>MessageType</v>
      </c>
      <c r="B30" s="40" t="s">
        <v>53</v>
      </c>
      <c r="C30" s="41" t="s">
        <v>66</v>
      </c>
      <c r="D30" s="42" t="s">
        <v>8</v>
      </c>
      <c r="E30" s="42" t="s">
        <v>9</v>
      </c>
      <c r="I30" s="22" t="s">
        <v>67</v>
      </c>
    </row>
    <row r="31" spans="1:9" ht="30.75">
      <c r="A31" s="38" t="str">
        <f>HYPERLINK("#'"&amp;I31&amp;"'!A1", I31)</f>
        <v>EntryType</v>
      </c>
      <c r="B31" s="43" t="s">
        <v>53</v>
      </c>
      <c r="C31" s="44" t="s">
        <v>68</v>
      </c>
      <c r="D31" s="42" t="s">
        <v>8</v>
      </c>
      <c r="E31" s="42" t="s">
        <v>9</v>
      </c>
      <c r="I31" s="21" t="s">
        <v>69</v>
      </c>
    </row>
    <row r="32" spans="1:9" ht="30.75">
      <c r="A32" s="38" t="str">
        <f>HYPERLINK("#'"&amp;I32&amp;"'!A1", I32)</f>
        <v>EvidenceAngle</v>
      </c>
      <c r="B32" s="40" t="s">
        <v>53</v>
      </c>
      <c r="C32" s="41" t="s">
        <v>70</v>
      </c>
      <c r="D32" s="42" t="s">
        <v>8</v>
      </c>
      <c r="E32" s="42" t="s">
        <v>9</v>
      </c>
      <c r="I32" s="22" t="s">
        <v>71</v>
      </c>
    </row>
    <row r="33" spans="1:9">
      <c r="A33" s="39" t="str">
        <f>HYPERLINK("#'"&amp;I33&amp;"'!A1", I33)</f>
        <v>DayOfWeek</v>
      </c>
      <c r="B33" s="45" t="s">
        <v>53</v>
      </c>
      <c r="C33" s="46" t="s">
        <v>72</v>
      </c>
      <c r="D33" s="47" t="s">
        <v>8</v>
      </c>
      <c r="E33" s="47" t="s">
        <v>9</v>
      </c>
      <c r="I33" s="21" t="s">
        <v>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0C1C-4F29-4751-A060-841BF0A0CA78}">
  <dimension ref="A1:N38"/>
  <sheetViews>
    <sheetView tabSelected="1" zoomScale="55" zoomScaleNormal="55" workbookViewId="0">
      <pane ySplit="1" topLeftCell="A17" activePane="bottomLeft" state="frozen"/>
      <selection pane="bottomLeft" activeCell="O43" sqref="O43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Structs!I2</f>
        <v>Person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Structs!B2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Structs!C2</f>
        <v>Estructura que representa a una persona registrada en el sistema (usuario, representante o administrador). Contiene información personal, credenciales y rol asignado.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40" t="s">
        <v>82</v>
      </c>
      <c r="C9" s="140"/>
      <c r="D9" s="106"/>
      <c r="E9" s="53" t="str">
        <f>HYPERLINK("#'"&amp;F9&amp;"'!A1", F9)</f>
        <v>Role</v>
      </c>
      <c r="F9" s="54" t="s">
        <v>61</v>
      </c>
    </row>
    <row r="10" spans="1:14">
      <c r="A10" s="25" t="s">
        <v>83</v>
      </c>
      <c r="B10" s="141" t="s">
        <v>82</v>
      </c>
      <c r="C10" s="141"/>
      <c r="D10" s="142"/>
      <c r="E10" s="53" t="str">
        <f>HYPERLINK("#'"&amp;F10&amp;"'!A1", F10)</f>
        <v>Branch</v>
      </c>
      <c r="F10" s="54" t="s">
        <v>12</v>
      </c>
    </row>
    <row r="11" spans="1:14">
      <c r="A11" s="25" t="s">
        <v>83</v>
      </c>
      <c r="B11" s="141" t="s">
        <v>82</v>
      </c>
      <c r="C11" s="141"/>
      <c r="D11" s="142"/>
      <c r="E11" s="53" t="str">
        <f>HYPERLINK("#'"&amp;F11&amp;"'!A1", F11)</f>
        <v>Motorcycle</v>
      </c>
      <c r="F11" s="54" t="s">
        <v>18</v>
      </c>
    </row>
    <row r="12" spans="1:14">
      <c r="A12" s="25" t="s">
        <v>83</v>
      </c>
      <c r="B12" s="141" t="s">
        <v>82</v>
      </c>
      <c r="C12" s="141"/>
      <c r="D12" s="142"/>
      <c r="E12" s="53" t="str">
        <f>HYPERLINK("#'"&amp;F12&amp;"'!A1", F12)</f>
        <v>ServiceStatusHistory</v>
      </c>
      <c r="F12" s="54" t="s">
        <v>40</v>
      </c>
    </row>
    <row r="13" spans="1:14">
      <c r="A13" s="124" t="s">
        <v>84</v>
      </c>
      <c r="B13" s="125"/>
      <c r="C13" s="125"/>
      <c r="D13" s="125"/>
      <c r="E13" s="126"/>
      <c r="F13" s="126"/>
      <c r="G13" s="125"/>
      <c r="H13" s="125"/>
      <c r="I13" s="125"/>
      <c r="J13" s="125"/>
      <c r="K13" s="125"/>
      <c r="L13" s="125"/>
      <c r="M13" s="125"/>
      <c r="N13" s="127"/>
    </row>
    <row r="14" spans="1:14">
      <c r="A14" s="128" t="s">
        <v>4</v>
      </c>
      <c r="B14" s="129" t="s">
        <v>85</v>
      </c>
      <c r="C14" s="129" t="s">
        <v>86</v>
      </c>
      <c r="D14" s="129"/>
      <c r="E14" s="129" t="s">
        <v>87</v>
      </c>
      <c r="F14" s="129" t="s">
        <v>88</v>
      </c>
      <c r="G14" s="130" t="s">
        <v>89</v>
      </c>
      <c r="H14" s="131"/>
      <c r="I14" s="132"/>
      <c r="J14" s="129" t="s">
        <v>90</v>
      </c>
      <c r="K14" s="129"/>
      <c r="L14" s="129"/>
      <c r="M14" s="129"/>
      <c r="N14" s="136"/>
    </row>
    <row r="15" spans="1:14">
      <c r="A15" s="128"/>
      <c r="B15" s="129"/>
      <c r="C15" s="10" t="s">
        <v>86</v>
      </c>
      <c r="D15" s="10" t="s">
        <v>91</v>
      </c>
      <c r="E15" s="129"/>
      <c r="F15" s="129"/>
      <c r="G15" s="133"/>
      <c r="H15" s="134"/>
      <c r="I15" s="135"/>
      <c r="J15" s="129"/>
      <c r="K15" s="129"/>
      <c r="L15" s="129"/>
      <c r="M15" s="129"/>
      <c r="N15" s="136"/>
    </row>
    <row r="16" spans="1:14">
      <c r="A16" s="6" t="s">
        <v>8</v>
      </c>
      <c r="B16" s="26" t="s">
        <v>92</v>
      </c>
      <c r="C16" s="3" t="s">
        <v>93</v>
      </c>
      <c r="D16" s="3"/>
      <c r="E16" s="3" t="s">
        <v>9</v>
      </c>
      <c r="F16" s="3" t="s">
        <v>94</v>
      </c>
      <c r="G16" s="114" t="s">
        <v>95</v>
      </c>
      <c r="H16" s="115"/>
      <c r="I16" s="116"/>
      <c r="J16" s="114" t="s">
        <v>96</v>
      </c>
      <c r="K16" s="115"/>
      <c r="L16" s="115"/>
      <c r="M16" s="115"/>
      <c r="N16" s="117"/>
    </row>
    <row r="17" spans="1:14">
      <c r="A17" s="6" t="s">
        <v>8</v>
      </c>
      <c r="B17" s="27" t="s">
        <v>97</v>
      </c>
      <c r="C17" s="3" t="s">
        <v>93</v>
      </c>
      <c r="D17" s="3"/>
      <c r="E17" s="3" t="s">
        <v>9</v>
      </c>
      <c r="F17" s="3" t="s">
        <v>94</v>
      </c>
      <c r="G17" s="114" t="s">
        <v>95</v>
      </c>
      <c r="H17" s="115"/>
      <c r="I17" s="116"/>
      <c r="J17" s="114" t="s">
        <v>98</v>
      </c>
      <c r="K17" s="115"/>
      <c r="L17" s="115"/>
      <c r="M17" s="115"/>
      <c r="N17" s="117"/>
    </row>
    <row r="18" spans="1:14">
      <c r="A18" s="6" t="s">
        <v>8</v>
      </c>
      <c r="B18" s="27" t="s">
        <v>99</v>
      </c>
      <c r="C18" s="3" t="s">
        <v>93</v>
      </c>
      <c r="D18" s="3"/>
      <c r="E18" s="3" t="s">
        <v>9</v>
      </c>
      <c r="F18" s="3" t="s">
        <v>94</v>
      </c>
      <c r="G18" s="114" t="s">
        <v>95</v>
      </c>
      <c r="H18" s="115"/>
      <c r="I18" s="116"/>
      <c r="J18" s="114" t="s">
        <v>100</v>
      </c>
      <c r="K18" s="115"/>
      <c r="L18" s="115"/>
      <c r="M18" s="115"/>
      <c r="N18" s="117"/>
    </row>
    <row r="19" spans="1:14">
      <c r="A19" s="6" t="s">
        <v>8</v>
      </c>
      <c r="B19" s="27" t="s">
        <v>101</v>
      </c>
      <c r="C19" s="3" t="s">
        <v>93</v>
      </c>
      <c r="D19" s="3"/>
      <c r="E19" s="3" t="s">
        <v>9</v>
      </c>
      <c r="F19" s="3" t="s">
        <v>94</v>
      </c>
      <c r="G19" s="114" t="s">
        <v>95</v>
      </c>
      <c r="H19" s="115"/>
      <c r="I19" s="116"/>
      <c r="J19" s="114" t="s">
        <v>102</v>
      </c>
      <c r="K19" s="115"/>
      <c r="L19" s="115"/>
      <c r="M19" s="115"/>
      <c r="N19" s="117"/>
    </row>
    <row r="20" spans="1:14">
      <c r="A20" s="6" t="s">
        <v>8</v>
      </c>
      <c r="B20" s="27" t="s">
        <v>103</v>
      </c>
      <c r="C20" s="3" t="s">
        <v>93</v>
      </c>
      <c r="D20" s="3"/>
      <c r="E20" s="3" t="s">
        <v>9</v>
      </c>
      <c r="F20" s="3" t="s">
        <v>94</v>
      </c>
      <c r="G20" s="114" t="s">
        <v>95</v>
      </c>
      <c r="H20" s="115"/>
      <c r="I20" s="116"/>
      <c r="J20" s="114" t="s">
        <v>104</v>
      </c>
      <c r="K20" s="115"/>
      <c r="L20" s="115"/>
      <c r="M20" s="115"/>
      <c r="N20" s="117"/>
    </row>
    <row r="21" spans="1:14">
      <c r="A21" s="6" t="s">
        <v>8</v>
      </c>
      <c r="B21" s="27" t="s">
        <v>105</v>
      </c>
      <c r="C21" s="3" t="s">
        <v>93</v>
      </c>
      <c r="D21" s="3"/>
      <c r="E21" s="3" t="s">
        <v>9</v>
      </c>
      <c r="F21" s="3" t="s">
        <v>94</v>
      </c>
      <c r="G21" s="114" t="s">
        <v>95</v>
      </c>
      <c r="H21" s="115"/>
      <c r="I21" s="116"/>
      <c r="J21" s="114" t="s">
        <v>106</v>
      </c>
      <c r="K21" s="115"/>
      <c r="L21" s="115"/>
      <c r="M21" s="115"/>
      <c r="N21" s="117"/>
    </row>
    <row r="22" spans="1:14">
      <c r="A22" s="6" t="s">
        <v>8</v>
      </c>
      <c r="B22" s="27" t="s">
        <v>107</v>
      </c>
      <c r="C22" s="3" t="s">
        <v>93</v>
      </c>
      <c r="D22" s="3"/>
      <c r="E22" s="3" t="s">
        <v>9</v>
      </c>
      <c r="F22" s="3" t="s">
        <v>94</v>
      </c>
      <c r="G22" s="114" t="s">
        <v>95</v>
      </c>
      <c r="H22" s="115"/>
      <c r="I22" s="116"/>
      <c r="J22" s="114" t="s">
        <v>108</v>
      </c>
      <c r="K22" s="115"/>
      <c r="L22" s="115"/>
      <c r="M22" s="115"/>
      <c r="N22" s="117"/>
    </row>
    <row r="23" spans="1:14">
      <c r="A23" s="6" t="s">
        <v>8</v>
      </c>
      <c r="B23" s="27" t="s">
        <v>109</v>
      </c>
      <c r="C23" s="3" t="s">
        <v>93</v>
      </c>
      <c r="D23" s="3"/>
      <c r="E23" s="3" t="s">
        <v>9</v>
      </c>
      <c r="F23" s="3" t="s">
        <v>94</v>
      </c>
      <c r="G23" s="114" t="s">
        <v>95</v>
      </c>
      <c r="H23" s="115"/>
      <c r="I23" s="116"/>
      <c r="J23" s="114" t="s">
        <v>110</v>
      </c>
      <c r="K23" s="115"/>
      <c r="L23" s="115"/>
      <c r="M23" s="115"/>
      <c r="N23" s="117"/>
    </row>
    <row r="24" spans="1:14" ht="27" customHeight="1">
      <c r="A24" s="6" t="s">
        <v>8</v>
      </c>
      <c r="B24" s="27" t="s">
        <v>61</v>
      </c>
      <c r="C24" s="3" t="s">
        <v>111</v>
      </c>
      <c r="D24" s="3" t="s">
        <v>61</v>
      </c>
      <c r="E24" s="3" t="s">
        <v>9</v>
      </c>
      <c r="F24" s="3" t="s">
        <v>94</v>
      </c>
      <c r="G24" s="114" t="s">
        <v>95</v>
      </c>
      <c r="H24" s="115"/>
      <c r="I24" s="116"/>
      <c r="J24" s="114" t="s">
        <v>112</v>
      </c>
      <c r="K24" s="115"/>
      <c r="L24" s="115"/>
      <c r="M24" s="115"/>
      <c r="N24" s="117"/>
    </row>
    <row r="25" spans="1:14">
      <c r="A25" s="6" t="s">
        <v>8</v>
      </c>
      <c r="B25" s="27" t="s">
        <v>113</v>
      </c>
      <c r="C25" s="3" t="s">
        <v>93</v>
      </c>
      <c r="D25" s="3"/>
      <c r="E25" s="3" t="s">
        <v>9</v>
      </c>
      <c r="F25" s="3" t="s">
        <v>94</v>
      </c>
      <c r="G25" s="114" t="s">
        <v>95</v>
      </c>
      <c r="H25" s="115"/>
      <c r="I25" s="116"/>
      <c r="J25" s="114" t="s">
        <v>114</v>
      </c>
      <c r="K25" s="115"/>
      <c r="L25" s="115"/>
      <c r="M25" s="115"/>
      <c r="N25" s="117"/>
    </row>
    <row r="26" spans="1:14">
      <c r="A26" s="118" t="s">
        <v>115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20"/>
    </row>
    <row r="27" spans="1:14">
      <c r="A27" s="121" t="s">
        <v>4</v>
      </c>
      <c r="B27" s="122" t="s">
        <v>85</v>
      </c>
      <c r="C27" s="122" t="s">
        <v>116</v>
      </c>
      <c r="D27" s="122" t="s">
        <v>117</v>
      </c>
      <c r="E27" s="122" t="s">
        <v>118</v>
      </c>
      <c r="F27" s="122"/>
      <c r="G27" s="122"/>
      <c r="H27" s="122"/>
      <c r="I27" s="122"/>
      <c r="J27" s="122"/>
      <c r="K27" s="122"/>
      <c r="L27" s="122"/>
      <c r="M27" s="122" t="s">
        <v>119</v>
      </c>
      <c r="N27" s="123"/>
    </row>
    <row r="28" spans="1:14">
      <c r="A28" s="121"/>
      <c r="B28" s="122"/>
      <c r="C28" s="122"/>
      <c r="D28" s="122"/>
      <c r="E28" s="11" t="s">
        <v>85</v>
      </c>
      <c r="F28" s="11" t="s">
        <v>86</v>
      </c>
      <c r="G28" s="11" t="s">
        <v>91</v>
      </c>
      <c r="H28" s="11" t="s">
        <v>120</v>
      </c>
      <c r="I28" s="11" t="s">
        <v>87</v>
      </c>
      <c r="J28" s="122" t="s">
        <v>117</v>
      </c>
      <c r="K28" s="122"/>
      <c r="L28" s="122"/>
      <c r="M28" s="122"/>
      <c r="N28" s="123"/>
    </row>
    <row r="29" spans="1:14" ht="27">
      <c r="A29" s="6" t="s">
        <v>9</v>
      </c>
      <c r="B29" s="26" t="s">
        <v>10</v>
      </c>
      <c r="C29" s="28" t="s">
        <v>121</v>
      </c>
      <c r="D29" s="28" t="s">
        <v>122</v>
      </c>
      <c r="E29" s="3"/>
      <c r="F29" s="3"/>
      <c r="G29" s="3"/>
      <c r="H29" s="3"/>
      <c r="I29" s="3"/>
      <c r="J29" s="106"/>
      <c r="K29" s="107"/>
      <c r="L29" s="108"/>
      <c r="M29" s="106"/>
      <c r="N29" s="109"/>
    </row>
    <row r="30" spans="1:14">
      <c r="A30" s="6" t="s">
        <v>8</v>
      </c>
      <c r="B30" s="26" t="s">
        <v>123</v>
      </c>
      <c r="C30" s="28" t="s">
        <v>124</v>
      </c>
      <c r="D30" s="28" t="s">
        <v>125</v>
      </c>
      <c r="E30" s="3"/>
      <c r="F30" s="3"/>
      <c r="G30" s="3"/>
      <c r="H30" s="3" t="s">
        <v>9</v>
      </c>
      <c r="I30" s="3" t="s">
        <v>9</v>
      </c>
      <c r="J30" s="106" t="s">
        <v>96</v>
      </c>
      <c r="K30" s="107"/>
      <c r="L30" s="108"/>
      <c r="M30" s="106"/>
      <c r="N30" s="109"/>
    </row>
    <row r="31" spans="1:14">
      <c r="A31" s="110" t="s">
        <v>126</v>
      </c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2"/>
    </row>
    <row r="32" spans="1:14">
      <c r="A32" s="113" t="s">
        <v>4</v>
      </c>
      <c r="B32" s="100" t="s">
        <v>85</v>
      </c>
      <c r="C32" s="100" t="s">
        <v>127</v>
      </c>
      <c r="D32" s="100" t="s">
        <v>128</v>
      </c>
      <c r="E32" s="100" t="s">
        <v>117</v>
      </c>
      <c r="F32" s="100" t="s">
        <v>118</v>
      </c>
      <c r="G32" s="100"/>
      <c r="H32" s="100"/>
      <c r="I32" s="100"/>
      <c r="J32" s="100"/>
      <c r="K32" s="100"/>
      <c r="L32" s="100" t="s">
        <v>129</v>
      </c>
      <c r="M32" s="100"/>
      <c r="N32" s="101" t="s">
        <v>119</v>
      </c>
    </row>
    <row r="33" spans="1:14">
      <c r="A33" s="113"/>
      <c r="B33" s="100"/>
      <c r="C33" s="100"/>
      <c r="D33" s="100"/>
      <c r="E33" s="100"/>
      <c r="F33" s="12" t="s">
        <v>85</v>
      </c>
      <c r="G33" s="12" t="s">
        <v>86</v>
      </c>
      <c r="H33" s="12" t="s">
        <v>91</v>
      </c>
      <c r="I33" s="12" t="s">
        <v>120</v>
      </c>
      <c r="J33" s="12" t="s">
        <v>87</v>
      </c>
      <c r="K33" s="12" t="s">
        <v>117</v>
      </c>
      <c r="L33" s="12" t="s">
        <v>86</v>
      </c>
      <c r="M33" s="12" t="s">
        <v>91</v>
      </c>
      <c r="N33" s="101"/>
    </row>
    <row r="34" spans="1:14">
      <c r="A34" s="6" t="s">
        <v>9</v>
      </c>
      <c r="B34" s="24" t="s">
        <v>9</v>
      </c>
      <c r="C34" s="28" t="s">
        <v>9</v>
      </c>
      <c r="D34" s="28" t="s">
        <v>9</v>
      </c>
      <c r="E34" s="3" t="s">
        <v>130</v>
      </c>
      <c r="F34" s="3"/>
      <c r="G34" s="3"/>
      <c r="H34" s="3"/>
      <c r="I34" s="3"/>
      <c r="J34" s="3"/>
      <c r="K34" s="3"/>
      <c r="L34" s="3"/>
      <c r="M34" s="3"/>
      <c r="N34" s="7"/>
    </row>
    <row r="35" spans="1:14">
      <c r="A35" s="102" t="s">
        <v>131</v>
      </c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4"/>
    </row>
    <row r="36" spans="1:14">
      <c r="A36" s="105" t="s">
        <v>4</v>
      </c>
      <c r="B36" s="98" t="s">
        <v>85</v>
      </c>
      <c r="C36" s="98" t="s">
        <v>132</v>
      </c>
      <c r="D36" s="98" t="s">
        <v>128</v>
      </c>
      <c r="E36" s="98" t="s">
        <v>117</v>
      </c>
      <c r="F36" s="98" t="s">
        <v>118</v>
      </c>
      <c r="G36" s="98"/>
      <c r="H36" s="98"/>
      <c r="I36" s="98"/>
      <c r="J36" s="98"/>
      <c r="K36" s="98"/>
      <c r="L36" s="98" t="s">
        <v>129</v>
      </c>
      <c r="M36" s="98"/>
      <c r="N36" s="99" t="s">
        <v>119</v>
      </c>
    </row>
    <row r="37" spans="1:14">
      <c r="A37" s="105"/>
      <c r="B37" s="98"/>
      <c r="C37" s="98"/>
      <c r="D37" s="98"/>
      <c r="E37" s="98"/>
      <c r="F37" s="13" t="s">
        <v>85</v>
      </c>
      <c r="G37" s="13" t="s">
        <v>86</v>
      </c>
      <c r="H37" s="13" t="s">
        <v>91</v>
      </c>
      <c r="I37" s="13" t="s">
        <v>120</v>
      </c>
      <c r="J37" s="13" t="s">
        <v>87</v>
      </c>
      <c r="K37" s="13" t="s">
        <v>117</v>
      </c>
      <c r="L37" s="13" t="s">
        <v>86</v>
      </c>
      <c r="M37" s="13" t="s">
        <v>91</v>
      </c>
      <c r="N37" s="99"/>
    </row>
    <row r="38" spans="1:14">
      <c r="A38" s="6" t="s">
        <v>9</v>
      </c>
      <c r="B38" s="26" t="s">
        <v>9</v>
      </c>
      <c r="C38" s="3"/>
      <c r="D38" s="3" t="s">
        <v>9</v>
      </c>
      <c r="E38" s="24" t="s">
        <v>9</v>
      </c>
      <c r="F38" s="3"/>
      <c r="G38" s="3"/>
      <c r="H38" s="3"/>
      <c r="I38" s="3"/>
      <c r="J38" s="3" t="s">
        <v>9</v>
      </c>
      <c r="K38" s="3" t="s">
        <v>9</v>
      </c>
      <c r="L38" s="3"/>
      <c r="M38" s="3"/>
      <c r="N38" s="7"/>
    </row>
  </sheetData>
  <mergeCells count="70">
    <mergeCell ref="B12:D12"/>
    <mergeCell ref="A1:E1"/>
    <mergeCell ref="B2:E2"/>
    <mergeCell ref="B3:E3"/>
    <mergeCell ref="B4:E4"/>
    <mergeCell ref="B5:E5"/>
    <mergeCell ref="B6:E6"/>
    <mergeCell ref="A7:E7"/>
    <mergeCell ref="B8:D8"/>
    <mergeCell ref="B9:D9"/>
    <mergeCell ref="B10:D10"/>
    <mergeCell ref="B11:D11"/>
    <mergeCell ref="G16:I16"/>
    <mergeCell ref="G17:I17"/>
    <mergeCell ref="G18:I18"/>
    <mergeCell ref="A13:N13"/>
    <mergeCell ref="A14:A15"/>
    <mergeCell ref="B14:B15"/>
    <mergeCell ref="C14:D14"/>
    <mergeCell ref="E14:E15"/>
    <mergeCell ref="F14:F15"/>
    <mergeCell ref="G14:I15"/>
    <mergeCell ref="J14:N15"/>
    <mergeCell ref="J16:N16"/>
    <mergeCell ref="J17:N17"/>
    <mergeCell ref="J18:N18"/>
    <mergeCell ref="G19:I19"/>
    <mergeCell ref="J19:N19"/>
    <mergeCell ref="A26:N26"/>
    <mergeCell ref="A27:A28"/>
    <mergeCell ref="B27:B28"/>
    <mergeCell ref="C27:C28"/>
    <mergeCell ref="D27:D28"/>
    <mergeCell ref="E27:L27"/>
    <mergeCell ref="M27:N28"/>
    <mergeCell ref="J28:L28"/>
    <mergeCell ref="J23:N23"/>
    <mergeCell ref="J24:N24"/>
    <mergeCell ref="J25:N25"/>
    <mergeCell ref="G20:I20"/>
    <mergeCell ref="G21:I21"/>
    <mergeCell ref="G22:I22"/>
    <mergeCell ref="J29:L29"/>
    <mergeCell ref="L36:M36"/>
    <mergeCell ref="M29:N29"/>
    <mergeCell ref="J30:L30"/>
    <mergeCell ref="M30:N30"/>
    <mergeCell ref="A31:N31"/>
    <mergeCell ref="A32:A33"/>
    <mergeCell ref="B32:B33"/>
    <mergeCell ref="C32:C33"/>
    <mergeCell ref="D32:D33"/>
    <mergeCell ref="E32:E33"/>
    <mergeCell ref="N36:N37"/>
    <mergeCell ref="F32:K32"/>
    <mergeCell ref="L32:M32"/>
    <mergeCell ref="N32:N33"/>
    <mergeCell ref="A35:N35"/>
    <mergeCell ref="G23:I23"/>
    <mergeCell ref="G24:I24"/>
    <mergeCell ref="G25:I25"/>
    <mergeCell ref="J20:N20"/>
    <mergeCell ref="J21:N21"/>
    <mergeCell ref="J22:N22"/>
    <mergeCell ref="F36:K36"/>
    <mergeCell ref="A36:A37"/>
    <mergeCell ref="B36:B37"/>
    <mergeCell ref="C36:C37"/>
    <mergeCell ref="D36:D37"/>
    <mergeCell ref="E36:E37"/>
  </mergeCells>
  <hyperlinks>
    <hyperlink ref="A1:E1" location="'Structs'!A1" display="&lt;-Volver al inicio" xr:uid="{BC99B6AE-66C4-4D58-8367-1E8B789FB33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301D83E-1625-4C2C-A116-E68F88D61885}">
          <x14:formula1>
            <xm:f>Valores!$L$2:$L$13</xm:f>
          </x14:formula1>
          <xm:sqref>L38</xm:sqref>
        </x14:dataValidation>
        <x14:dataValidation type="list" allowBlank="1" showInputMessage="1" showErrorMessage="1" xr:uid="{ED8F884B-FA9E-4C8A-8680-2075D4F66007}">
          <x14:formula1>
            <xm:f>Valores!$J$2:$J$3</xm:f>
          </x14:formula1>
          <xm:sqref>I38 I34 H29</xm:sqref>
        </x14:dataValidation>
        <x14:dataValidation type="list" allowBlank="1" showInputMessage="1" showErrorMessage="1" xr:uid="{BC82CDDD-0931-4935-B4B6-07EC30909774}">
          <x14:formula1>
            <xm:f>Valores!$H$2:$H$3</xm:f>
          </x14:formula1>
          <xm:sqref>F16:F25 C38</xm:sqref>
        </x14:dataValidation>
        <x14:dataValidation type="list" allowBlank="1" showInputMessage="1" showErrorMessage="1" xr:uid="{0EC525A9-57EF-4E95-8421-4046A6C2D709}">
          <x14:formula1>
            <xm:f>Valores!$G$2:$G$12</xm:f>
          </x14:formula1>
          <xm:sqref>F29:F30 G34 L34 G38 C16:C25</xm:sqref>
        </x14:dataValidation>
        <x14:dataValidation type="list" allowBlank="1" showInputMessage="1" showErrorMessage="1" xr:uid="{98158EA0-A702-4756-ACDA-F622759FF316}">
          <x14:formula1>
            <xm:f>Structs!$D$2</xm:f>
          </x14:formula1>
          <xm:sqref>A16:A25 B5:E5</xm:sqref>
        </x14:dataValidation>
        <x14:dataValidation type="list" allowBlank="1" showInputMessage="1" showErrorMessage="1" xr:uid="{8EA45F45-F33E-4E41-851D-C60B38A13029}">
          <x14:formula1>
            <xm:f>Structs!$E$2</xm:f>
          </x14:formula1>
          <xm:sqref>B6:E6 J38 H30 D38 I29:I30 J34 E16:E25</xm:sqref>
        </x14:dataValidation>
        <x14:dataValidation type="list" allowBlank="1" showInputMessage="1" showErrorMessage="1" xr:uid="{AFC48923-35DD-400E-9C92-6710DD4D8328}">
          <x14:formula1>
            <xm:f>Valores!$C$2:$C$7</xm:f>
          </x14:formula1>
          <xm:sqref>B9:B12</xm:sqref>
        </x14:dataValidation>
        <x14:dataValidation type="list" allowBlank="1" showInputMessage="1" showErrorMessage="1" xr:uid="{36E4F840-CF32-4D34-A1A9-62D76FA304A5}">
          <x14:formula1>
            <xm:f>Structs!$D$2:$E$2</xm:f>
          </x14:formula1>
          <xm:sqref>A29:A30 A34 A38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6AA5-DDE8-4B9D-887F-A4C77D641D1B}">
  <dimension ref="A1:N48"/>
  <sheetViews>
    <sheetView zoomScale="55" zoomScaleNormal="55" workbookViewId="0">
      <pane ySplit="1" topLeftCell="K16" activePane="bottomLeft" state="frozen"/>
      <selection pane="bottomLeft" activeCell="K16" sqref="K16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Structs!I3</f>
        <v>Branch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Structs!B3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Structs!C3</f>
        <v>Estructura que representa una sede (taller, tienda o taller-tienda). Contiene información del representante, franquicia, ubicación, marcas atendidas y rangos de cilindraje.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41" t="s">
        <v>82</v>
      </c>
      <c r="C9" s="141"/>
      <c r="D9" s="142"/>
      <c r="E9" s="53" t="str">
        <f>HYPERLINK("#'"&amp;F9&amp;"'!A1", F9)</f>
        <v>Person</v>
      </c>
      <c r="F9" s="52" t="s">
        <v>10</v>
      </c>
    </row>
    <row r="10" spans="1:14">
      <c r="A10" s="25" t="s">
        <v>81</v>
      </c>
      <c r="B10" s="141" t="s">
        <v>82</v>
      </c>
      <c r="C10" s="141"/>
      <c r="D10" s="142"/>
      <c r="E10" s="53" t="str">
        <f>HYPERLINK("#'"&amp;F10&amp;"'!A1", F10)</f>
        <v>EstablishmentType</v>
      </c>
      <c r="F10" s="52" t="s">
        <v>55</v>
      </c>
    </row>
    <row r="11" spans="1:14">
      <c r="A11" s="25" t="s">
        <v>81</v>
      </c>
      <c r="B11" s="141" t="s">
        <v>82</v>
      </c>
      <c r="C11" s="141"/>
      <c r="D11" s="142"/>
      <c r="E11" s="53" t="str">
        <f>HYPERLINK("#'"&amp;F11&amp;"'!A1", F11)</f>
        <v>BranchStatus</v>
      </c>
      <c r="F11" s="52" t="s">
        <v>57</v>
      </c>
    </row>
    <row r="12" spans="1:14">
      <c r="A12" s="25" t="s">
        <v>81</v>
      </c>
      <c r="B12" s="141" t="s">
        <v>133</v>
      </c>
      <c r="C12" s="141"/>
      <c r="D12" s="142"/>
      <c r="E12" s="53" t="str">
        <f>HYPERLINK("#'"&amp;F12&amp;"'!A1", F12)</f>
        <v>Location</v>
      </c>
      <c r="F12" s="52" t="s">
        <v>16</v>
      </c>
    </row>
    <row r="13" spans="1:14">
      <c r="A13" s="25" t="s">
        <v>81</v>
      </c>
      <c r="B13" s="141" t="s">
        <v>82</v>
      </c>
      <c r="C13" s="141"/>
      <c r="D13" s="142"/>
      <c r="E13" s="53" t="str">
        <f>HYPERLINK("#'"&amp;F13&amp;"'!A1", F13)</f>
        <v>DisplacementRange</v>
      </c>
      <c r="F13" s="52" t="s">
        <v>59</v>
      </c>
    </row>
    <row r="14" spans="1:14">
      <c r="A14" s="25" t="s">
        <v>83</v>
      </c>
      <c r="B14" s="141" t="s">
        <v>82</v>
      </c>
      <c r="C14" s="141"/>
      <c r="D14" s="142"/>
      <c r="E14" s="53" t="str">
        <f>HYPERLINK("#'"&amp;F14&amp;"'!A1", F14)</f>
        <v>Franchise</v>
      </c>
      <c r="F14" s="52" t="s">
        <v>14</v>
      </c>
    </row>
    <row r="15" spans="1:14">
      <c r="A15" s="25" t="s">
        <v>83</v>
      </c>
      <c r="B15" s="141" t="s">
        <v>82</v>
      </c>
      <c r="C15" s="141"/>
      <c r="D15" s="142"/>
      <c r="E15" s="53" t="str">
        <f>HYPERLINK("#'"&amp;F15&amp;"'!A1", F15)</f>
        <v>BranchSchedule</v>
      </c>
      <c r="F15" s="52" t="s">
        <v>50</v>
      </c>
    </row>
    <row r="16" spans="1:14">
      <c r="A16" s="25" t="s">
        <v>83</v>
      </c>
      <c r="B16" s="141" t="s">
        <v>82</v>
      </c>
      <c r="C16" s="141"/>
      <c r="D16" s="142"/>
      <c r="E16" s="53" t="str">
        <f>HYPERLINK("#'"&amp;F16&amp;"'!A1", F16)</f>
        <v>Diagnostic</v>
      </c>
      <c r="F16" s="52" t="s">
        <v>32</v>
      </c>
    </row>
    <row r="17" spans="1:14">
      <c r="A17" s="25" t="s">
        <v>83</v>
      </c>
      <c r="B17" s="141" t="s">
        <v>82</v>
      </c>
      <c r="C17" s="141"/>
      <c r="D17" s="142"/>
      <c r="E17" s="53" t="str">
        <f>HYPERLINK("#'"&amp;F17&amp;"'!A1", F17)</f>
        <v>CompletedService</v>
      </c>
      <c r="F17" s="52" t="s">
        <v>36</v>
      </c>
    </row>
    <row r="18" spans="1:14">
      <c r="A18" s="25" t="s">
        <v>83</v>
      </c>
      <c r="B18" s="141" t="s">
        <v>82</v>
      </c>
      <c r="C18" s="141"/>
      <c r="D18" s="142"/>
      <c r="E18" s="53" t="str">
        <f>HYPERLINK("#'"&amp;F18&amp;"'!A1", F18)</f>
        <v>BranchServiceInfo</v>
      </c>
      <c r="F18" s="52" t="s">
        <v>48</v>
      </c>
    </row>
    <row r="19" spans="1:14">
      <c r="A19" s="25" t="s">
        <v>83</v>
      </c>
      <c r="B19" s="141" t="s">
        <v>82</v>
      </c>
      <c r="C19" s="141"/>
      <c r="D19" s="142"/>
      <c r="E19" s="53" t="str">
        <f>HYPERLINK("#'"&amp;F19&amp;"'!A1", F19)</f>
        <v>DiagnosticPermission</v>
      </c>
      <c r="F19" s="52" t="s">
        <v>34</v>
      </c>
    </row>
    <row r="20" spans="1:14">
      <c r="A20" s="124" t="s">
        <v>84</v>
      </c>
      <c r="B20" s="125"/>
      <c r="C20" s="125"/>
      <c r="D20" s="125"/>
      <c r="E20" s="126"/>
      <c r="F20" s="126"/>
      <c r="G20" s="125"/>
      <c r="H20" s="125"/>
      <c r="I20" s="125"/>
      <c r="J20" s="125"/>
      <c r="K20" s="125"/>
      <c r="L20" s="125"/>
      <c r="M20" s="125"/>
      <c r="N20" s="127"/>
    </row>
    <row r="21" spans="1:14">
      <c r="A21" s="128" t="s">
        <v>4</v>
      </c>
      <c r="B21" s="129" t="s">
        <v>85</v>
      </c>
      <c r="C21" s="129" t="s">
        <v>86</v>
      </c>
      <c r="D21" s="129"/>
      <c r="E21" s="129" t="s">
        <v>87</v>
      </c>
      <c r="F21" s="129" t="s">
        <v>88</v>
      </c>
      <c r="G21" s="130" t="s">
        <v>89</v>
      </c>
      <c r="H21" s="131"/>
      <c r="I21" s="132"/>
      <c r="J21" s="129" t="s">
        <v>90</v>
      </c>
      <c r="K21" s="129"/>
      <c r="L21" s="129"/>
      <c r="M21" s="129"/>
      <c r="N21" s="136"/>
    </row>
    <row r="22" spans="1:14">
      <c r="A22" s="128"/>
      <c r="B22" s="129"/>
      <c r="C22" s="10" t="s">
        <v>86</v>
      </c>
      <c r="D22" s="10" t="s">
        <v>91</v>
      </c>
      <c r="E22" s="129"/>
      <c r="F22" s="129"/>
      <c r="G22" s="133"/>
      <c r="H22" s="134"/>
      <c r="I22" s="135"/>
      <c r="J22" s="129"/>
      <c r="K22" s="129"/>
      <c r="L22" s="129"/>
      <c r="M22" s="129"/>
      <c r="N22" s="136"/>
    </row>
    <row r="23" spans="1:14">
      <c r="A23" s="6" t="s">
        <v>8</v>
      </c>
      <c r="B23" s="26" t="s">
        <v>92</v>
      </c>
      <c r="C23" s="24" t="s">
        <v>134</v>
      </c>
      <c r="D23" s="24" t="s">
        <v>135</v>
      </c>
      <c r="E23" s="3" t="s">
        <v>9</v>
      </c>
      <c r="F23" s="3" t="s">
        <v>94</v>
      </c>
      <c r="G23" s="114" t="s">
        <v>95</v>
      </c>
      <c r="H23" s="115"/>
      <c r="I23" s="116"/>
      <c r="J23" s="114" t="s">
        <v>136</v>
      </c>
      <c r="K23" s="115"/>
      <c r="L23" s="115"/>
      <c r="M23" s="115"/>
      <c r="N23" s="117"/>
    </row>
    <row r="24" spans="1:14" ht="25.5">
      <c r="A24" s="6" t="s">
        <v>8</v>
      </c>
      <c r="B24" s="27" t="s">
        <v>137</v>
      </c>
      <c r="C24" s="25" t="s">
        <v>134</v>
      </c>
      <c r="D24" s="25" t="s">
        <v>135</v>
      </c>
      <c r="E24" s="3" t="s">
        <v>9</v>
      </c>
      <c r="F24" s="3" t="s">
        <v>94</v>
      </c>
      <c r="G24" s="114" t="s">
        <v>95</v>
      </c>
      <c r="H24" s="115"/>
      <c r="I24" s="116"/>
      <c r="J24" s="114" t="s">
        <v>138</v>
      </c>
      <c r="K24" s="115"/>
      <c r="L24" s="115"/>
      <c r="M24" s="115"/>
      <c r="N24" s="117"/>
    </row>
    <row r="25" spans="1:14" ht="25.5">
      <c r="A25" s="6" t="s">
        <v>8</v>
      </c>
      <c r="B25" s="27" t="s">
        <v>139</v>
      </c>
      <c r="C25" s="25" t="s">
        <v>134</v>
      </c>
      <c r="D25" s="25" t="s">
        <v>135</v>
      </c>
      <c r="E25" s="3" t="s">
        <v>9</v>
      </c>
      <c r="F25" s="3" t="s">
        <v>94</v>
      </c>
      <c r="G25" s="114" t="s">
        <v>140</v>
      </c>
      <c r="H25" s="115"/>
      <c r="I25" s="116"/>
      <c r="J25" s="114" t="s">
        <v>141</v>
      </c>
      <c r="K25" s="115"/>
      <c r="L25" s="115"/>
      <c r="M25" s="115"/>
      <c r="N25" s="117"/>
    </row>
    <row r="26" spans="1:14">
      <c r="A26" s="6" t="s">
        <v>8</v>
      </c>
      <c r="B26" s="27" t="s">
        <v>142</v>
      </c>
      <c r="C26" s="25" t="s">
        <v>134</v>
      </c>
      <c r="D26" s="25" t="s">
        <v>135</v>
      </c>
      <c r="E26" s="3" t="s">
        <v>9</v>
      </c>
      <c r="F26" s="3" t="s">
        <v>94</v>
      </c>
      <c r="G26" s="114" t="s">
        <v>140</v>
      </c>
      <c r="H26" s="115"/>
      <c r="I26" s="116"/>
      <c r="J26" s="114" t="s">
        <v>143</v>
      </c>
      <c r="K26" s="115"/>
      <c r="L26" s="115"/>
      <c r="M26" s="115"/>
      <c r="N26" s="117"/>
    </row>
    <row r="27" spans="1:14">
      <c r="A27" s="6" t="s">
        <v>8</v>
      </c>
      <c r="B27" s="27" t="s">
        <v>144</v>
      </c>
      <c r="C27" s="25" t="s">
        <v>134</v>
      </c>
      <c r="D27" s="25" t="s">
        <v>135</v>
      </c>
      <c r="E27" s="3" t="s">
        <v>9</v>
      </c>
      <c r="F27" s="3" t="s">
        <v>94</v>
      </c>
      <c r="G27" s="114" t="s">
        <v>95</v>
      </c>
      <c r="H27" s="115"/>
      <c r="I27" s="116"/>
      <c r="J27" s="114" t="s">
        <v>145</v>
      </c>
      <c r="K27" s="115"/>
      <c r="L27" s="115"/>
      <c r="M27" s="115"/>
      <c r="N27" s="117"/>
    </row>
    <row r="28" spans="1:14" ht="25.5">
      <c r="A28" s="6" t="s">
        <v>8</v>
      </c>
      <c r="B28" s="27" t="s">
        <v>55</v>
      </c>
      <c r="C28" s="25" t="s">
        <v>111</v>
      </c>
      <c r="D28" s="25" t="s">
        <v>55</v>
      </c>
      <c r="E28" s="3" t="s">
        <v>9</v>
      </c>
      <c r="F28" s="3" t="s">
        <v>94</v>
      </c>
      <c r="G28" s="114" t="s">
        <v>95</v>
      </c>
      <c r="H28" s="115"/>
      <c r="I28" s="116"/>
      <c r="J28" s="114" t="s">
        <v>146</v>
      </c>
      <c r="K28" s="115"/>
      <c r="L28" s="115"/>
      <c r="M28" s="115"/>
      <c r="N28" s="117"/>
    </row>
    <row r="29" spans="1:14">
      <c r="A29" s="6" t="s">
        <v>8</v>
      </c>
      <c r="B29" s="27" t="s">
        <v>147</v>
      </c>
      <c r="C29" s="25" t="s">
        <v>134</v>
      </c>
      <c r="D29" s="25" t="s">
        <v>135</v>
      </c>
      <c r="E29" s="3" t="s">
        <v>9</v>
      </c>
      <c r="F29" s="3" t="s">
        <v>94</v>
      </c>
      <c r="G29" s="114" t="s">
        <v>140</v>
      </c>
      <c r="H29" s="115"/>
      <c r="I29" s="116"/>
      <c r="J29" s="114" t="s">
        <v>148</v>
      </c>
      <c r="K29" s="115"/>
      <c r="L29" s="115"/>
      <c r="M29" s="115"/>
      <c r="N29" s="117"/>
    </row>
    <row r="30" spans="1:14">
      <c r="A30" s="6" t="s">
        <v>8</v>
      </c>
      <c r="B30" s="27" t="s">
        <v>149</v>
      </c>
      <c r="C30" s="25" t="s">
        <v>111</v>
      </c>
      <c r="D30" s="25" t="s">
        <v>57</v>
      </c>
      <c r="E30" s="3" t="s">
        <v>9</v>
      </c>
      <c r="F30" s="3" t="s">
        <v>94</v>
      </c>
      <c r="G30" s="114" t="s">
        <v>95</v>
      </c>
      <c r="H30" s="115"/>
      <c r="I30" s="116"/>
      <c r="J30" s="114" t="s">
        <v>150</v>
      </c>
      <c r="K30" s="115"/>
      <c r="L30" s="115"/>
      <c r="M30" s="115"/>
      <c r="N30" s="117"/>
    </row>
    <row r="31" spans="1:14" ht="15.75" customHeight="1">
      <c r="A31" s="6" t="s">
        <v>8</v>
      </c>
      <c r="B31" s="27" t="s">
        <v>16</v>
      </c>
      <c r="C31" s="25" t="s">
        <v>111</v>
      </c>
      <c r="D31" s="25" t="s">
        <v>151</v>
      </c>
      <c r="E31" s="3" t="s">
        <v>9</v>
      </c>
      <c r="F31" s="3" t="s">
        <v>94</v>
      </c>
      <c r="G31" s="114" t="s">
        <v>140</v>
      </c>
      <c r="H31" s="115"/>
      <c r="I31" s="116"/>
      <c r="J31" s="114" t="s">
        <v>152</v>
      </c>
      <c r="K31" s="115"/>
      <c r="L31" s="115"/>
      <c r="M31" s="115"/>
      <c r="N31" s="117"/>
    </row>
    <row r="32" spans="1:14">
      <c r="A32" s="6" t="s">
        <v>8</v>
      </c>
      <c r="B32" s="27" t="s">
        <v>153</v>
      </c>
      <c r="C32" s="25" t="s">
        <v>134</v>
      </c>
      <c r="D32" s="25" t="s">
        <v>135</v>
      </c>
      <c r="E32" s="3" t="s">
        <v>9</v>
      </c>
      <c r="F32" s="3" t="s">
        <v>94</v>
      </c>
      <c r="G32" s="114" t="s">
        <v>140</v>
      </c>
      <c r="H32" s="115"/>
      <c r="I32" s="116"/>
      <c r="J32" s="114" t="s">
        <v>154</v>
      </c>
      <c r="K32" s="115"/>
      <c r="L32" s="115"/>
      <c r="M32" s="115"/>
      <c r="N32" s="117"/>
    </row>
    <row r="33" spans="1:14" ht="25.5">
      <c r="A33" s="29" t="s">
        <v>8</v>
      </c>
      <c r="B33" s="27" t="s">
        <v>155</v>
      </c>
      <c r="C33" s="25" t="s">
        <v>111</v>
      </c>
      <c r="D33" s="25" t="s">
        <v>156</v>
      </c>
      <c r="E33" s="30" t="s">
        <v>9</v>
      </c>
      <c r="F33" s="30" t="s">
        <v>94</v>
      </c>
      <c r="G33" s="114" t="s">
        <v>140</v>
      </c>
      <c r="H33" s="115"/>
      <c r="I33" s="116"/>
      <c r="J33" s="114" t="s">
        <v>157</v>
      </c>
      <c r="K33" s="115"/>
      <c r="L33" s="115"/>
      <c r="M33" s="115"/>
      <c r="N33" s="117"/>
    </row>
    <row r="34" spans="1:14">
      <c r="A34" s="118" t="s">
        <v>115</v>
      </c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20"/>
    </row>
    <row r="35" spans="1:14">
      <c r="A35" s="121" t="s">
        <v>4</v>
      </c>
      <c r="B35" s="122" t="s">
        <v>85</v>
      </c>
      <c r="C35" s="122" t="s">
        <v>116</v>
      </c>
      <c r="D35" s="122" t="s">
        <v>117</v>
      </c>
      <c r="E35" s="122" t="s">
        <v>118</v>
      </c>
      <c r="F35" s="122"/>
      <c r="G35" s="122"/>
      <c r="H35" s="122"/>
      <c r="I35" s="122"/>
      <c r="J35" s="122"/>
      <c r="K35" s="122"/>
      <c r="L35" s="122"/>
      <c r="M35" s="122" t="s">
        <v>119</v>
      </c>
      <c r="N35" s="123"/>
    </row>
    <row r="36" spans="1:14">
      <c r="A36" s="121"/>
      <c r="B36" s="122"/>
      <c r="C36" s="122"/>
      <c r="D36" s="122"/>
      <c r="E36" s="11" t="s">
        <v>85</v>
      </c>
      <c r="F36" s="11" t="s">
        <v>86</v>
      </c>
      <c r="G36" s="11" t="s">
        <v>91</v>
      </c>
      <c r="H36" s="11" t="s">
        <v>120</v>
      </c>
      <c r="I36" s="11" t="s">
        <v>87</v>
      </c>
      <c r="J36" s="122" t="s">
        <v>117</v>
      </c>
      <c r="K36" s="122"/>
      <c r="L36" s="122"/>
      <c r="M36" s="122"/>
      <c r="N36" s="123"/>
    </row>
    <row r="37" spans="1:14" ht="27">
      <c r="A37" s="6" t="s">
        <v>9</v>
      </c>
      <c r="B37" s="26" t="str">
        <f>B2</f>
        <v>Branch</v>
      </c>
      <c r="C37" s="28" t="s">
        <v>121</v>
      </c>
      <c r="D37" s="28" t="s">
        <v>122</v>
      </c>
      <c r="E37" s="3"/>
      <c r="F37" s="3"/>
      <c r="G37" s="3"/>
      <c r="H37" s="3"/>
      <c r="I37" s="3"/>
      <c r="J37" s="106"/>
      <c r="K37" s="107"/>
      <c r="L37" s="108"/>
      <c r="M37" s="106"/>
      <c r="N37" s="109"/>
    </row>
    <row r="38" spans="1:14">
      <c r="A38" s="6" t="s">
        <v>8</v>
      </c>
      <c r="B38" s="26" t="s">
        <v>123</v>
      </c>
      <c r="C38" s="28" t="s">
        <v>124</v>
      </c>
      <c r="D38" s="28" t="s">
        <v>125</v>
      </c>
      <c r="E38" s="3"/>
      <c r="F38" s="3"/>
      <c r="G38" s="3"/>
      <c r="H38" s="3" t="s">
        <v>9</v>
      </c>
      <c r="I38" s="3" t="s">
        <v>9</v>
      </c>
      <c r="J38" s="106" t="s">
        <v>136</v>
      </c>
      <c r="K38" s="107"/>
      <c r="L38" s="108"/>
      <c r="M38" s="106"/>
      <c r="N38" s="109"/>
    </row>
    <row r="39" spans="1:14">
      <c r="A39" s="110" t="s">
        <v>126</v>
      </c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2"/>
    </row>
    <row r="40" spans="1:14">
      <c r="A40" s="113" t="s">
        <v>4</v>
      </c>
      <c r="B40" s="100" t="s">
        <v>85</v>
      </c>
      <c r="C40" s="100" t="s">
        <v>127</v>
      </c>
      <c r="D40" s="100" t="s">
        <v>128</v>
      </c>
      <c r="E40" s="100" t="s">
        <v>117</v>
      </c>
      <c r="F40" s="100" t="s">
        <v>118</v>
      </c>
      <c r="G40" s="100"/>
      <c r="H40" s="100"/>
      <c r="I40" s="100"/>
      <c r="J40" s="100"/>
      <c r="K40" s="100"/>
      <c r="L40" s="100" t="s">
        <v>129</v>
      </c>
      <c r="M40" s="100"/>
      <c r="N40" s="101" t="s">
        <v>119</v>
      </c>
    </row>
    <row r="41" spans="1:14">
      <c r="A41" s="113"/>
      <c r="B41" s="100"/>
      <c r="C41" s="100"/>
      <c r="D41" s="100"/>
      <c r="E41" s="100"/>
      <c r="F41" s="12" t="s">
        <v>85</v>
      </c>
      <c r="G41" s="12" t="s">
        <v>86</v>
      </c>
      <c r="H41" s="12" t="s">
        <v>91</v>
      </c>
      <c r="I41" s="12" t="s">
        <v>120</v>
      </c>
      <c r="J41" s="12" t="s">
        <v>87</v>
      </c>
      <c r="K41" s="12" t="s">
        <v>117</v>
      </c>
      <c r="L41" s="12" t="s">
        <v>86</v>
      </c>
      <c r="M41" s="12" t="s">
        <v>91</v>
      </c>
      <c r="N41" s="101"/>
    </row>
    <row r="42" spans="1:14">
      <c r="A42" s="6" t="s">
        <v>9</v>
      </c>
      <c r="B42" s="24" t="s">
        <v>9</v>
      </c>
      <c r="C42" s="28" t="s">
        <v>9</v>
      </c>
      <c r="D42" s="28" t="s">
        <v>9</v>
      </c>
      <c r="E42" s="3" t="s">
        <v>130</v>
      </c>
      <c r="F42" s="3"/>
      <c r="G42" s="3"/>
      <c r="H42" s="3"/>
      <c r="I42" s="3"/>
      <c r="J42" s="3"/>
      <c r="K42" s="3"/>
      <c r="L42" s="3"/>
      <c r="M42" s="3"/>
      <c r="N42" s="7"/>
    </row>
    <row r="43" spans="1:14">
      <c r="A43" s="102" t="s">
        <v>131</v>
      </c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4"/>
    </row>
    <row r="44" spans="1:14">
      <c r="A44" s="105" t="s">
        <v>4</v>
      </c>
      <c r="B44" s="98" t="s">
        <v>85</v>
      </c>
      <c r="C44" s="98" t="s">
        <v>132</v>
      </c>
      <c r="D44" s="98" t="s">
        <v>128</v>
      </c>
      <c r="E44" s="98" t="s">
        <v>117</v>
      </c>
      <c r="F44" s="98" t="s">
        <v>118</v>
      </c>
      <c r="G44" s="98"/>
      <c r="H44" s="98"/>
      <c r="I44" s="98"/>
      <c r="J44" s="98"/>
      <c r="K44" s="98"/>
      <c r="L44" s="98" t="s">
        <v>129</v>
      </c>
      <c r="M44" s="98"/>
      <c r="N44" s="99" t="s">
        <v>119</v>
      </c>
    </row>
    <row r="45" spans="1:14">
      <c r="A45" s="105"/>
      <c r="B45" s="98"/>
      <c r="C45" s="98"/>
      <c r="D45" s="98"/>
      <c r="E45" s="98"/>
      <c r="F45" s="13" t="s">
        <v>85</v>
      </c>
      <c r="G45" s="13" t="s">
        <v>86</v>
      </c>
      <c r="H45" s="13" t="s">
        <v>91</v>
      </c>
      <c r="I45" s="13" t="s">
        <v>120</v>
      </c>
      <c r="J45" s="13" t="s">
        <v>87</v>
      </c>
      <c r="K45" s="13" t="s">
        <v>117</v>
      </c>
      <c r="L45" s="13" t="s">
        <v>86</v>
      </c>
      <c r="M45" s="13" t="s">
        <v>91</v>
      </c>
      <c r="N45" s="99"/>
    </row>
    <row r="46" spans="1:14">
      <c r="A46" s="6" t="s">
        <v>8</v>
      </c>
      <c r="B46" s="26" t="s">
        <v>123</v>
      </c>
      <c r="C46" s="3" t="s">
        <v>94</v>
      </c>
      <c r="D46" s="3" t="s">
        <v>9</v>
      </c>
      <c r="E46" s="24" t="s">
        <v>125</v>
      </c>
      <c r="F46" s="3"/>
      <c r="G46" s="3"/>
      <c r="H46" s="3"/>
      <c r="I46" s="3" t="s">
        <v>9</v>
      </c>
      <c r="J46" s="3" t="s">
        <v>9</v>
      </c>
      <c r="K46" s="3"/>
      <c r="L46" s="3" t="s">
        <v>158</v>
      </c>
      <c r="M46" s="3"/>
      <c r="N46" s="7"/>
    </row>
    <row r="47" spans="1:14" ht="25.5">
      <c r="A47" s="14" t="s">
        <v>8</v>
      </c>
      <c r="B47" s="26" t="s">
        <v>159</v>
      </c>
      <c r="C47" s="3" t="s">
        <v>94</v>
      </c>
      <c r="D47" s="3" t="s">
        <v>9</v>
      </c>
      <c r="E47" s="25" t="s">
        <v>160</v>
      </c>
      <c r="F47" s="15"/>
      <c r="G47" s="15"/>
      <c r="H47" s="15"/>
      <c r="I47" s="15" t="s">
        <v>9</v>
      </c>
      <c r="J47" s="15" t="s">
        <v>9</v>
      </c>
      <c r="K47" s="15" t="s">
        <v>161</v>
      </c>
      <c r="L47" s="15" t="s">
        <v>162</v>
      </c>
      <c r="M47" s="15"/>
      <c r="N47" s="8"/>
    </row>
    <row r="48" spans="1:14">
      <c r="A48" s="14" t="s">
        <v>8</v>
      </c>
      <c r="B48" s="31" t="s">
        <v>163</v>
      </c>
      <c r="C48" s="3" t="s">
        <v>94</v>
      </c>
      <c r="D48" s="15" t="s">
        <v>9</v>
      </c>
      <c r="E48" s="28" t="s">
        <v>164</v>
      </c>
      <c r="F48" s="28" t="s">
        <v>135</v>
      </c>
      <c r="G48" s="28" t="s">
        <v>135</v>
      </c>
      <c r="H48" s="28" t="s">
        <v>135</v>
      </c>
      <c r="I48" s="28" t="s">
        <v>9</v>
      </c>
      <c r="J48" s="28" t="s">
        <v>9</v>
      </c>
      <c r="K48" s="28" t="s">
        <v>135</v>
      </c>
      <c r="L48" s="15" t="s">
        <v>93</v>
      </c>
      <c r="M48" s="28" t="s">
        <v>135</v>
      </c>
      <c r="N48" s="28" t="s">
        <v>135</v>
      </c>
    </row>
  </sheetData>
  <mergeCells count="79">
    <mergeCell ref="A43:N43"/>
    <mergeCell ref="A44:A45"/>
    <mergeCell ref="B44:B45"/>
    <mergeCell ref="C44:C45"/>
    <mergeCell ref="B18:D18"/>
    <mergeCell ref="B19:D19"/>
    <mergeCell ref="G33:I33"/>
    <mergeCell ref="F40:K40"/>
    <mergeCell ref="L40:M40"/>
    <mergeCell ref="D44:D45"/>
    <mergeCell ref="E44:E45"/>
    <mergeCell ref="F44:K44"/>
    <mergeCell ref="J37:L37"/>
    <mergeCell ref="L44:M44"/>
    <mergeCell ref="M37:N37"/>
    <mergeCell ref="J38:L38"/>
    <mergeCell ref="B40:B41"/>
    <mergeCell ref="C40:C41"/>
    <mergeCell ref="D40:D41"/>
    <mergeCell ref="E40:E41"/>
    <mergeCell ref="B13:D13"/>
    <mergeCell ref="B14:D14"/>
    <mergeCell ref="B15:D15"/>
    <mergeCell ref="B16:D16"/>
    <mergeCell ref="B17:D17"/>
    <mergeCell ref="A20:N20"/>
    <mergeCell ref="A21:A22"/>
    <mergeCell ref="B21:B22"/>
    <mergeCell ref="C21:D21"/>
    <mergeCell ref="E21:E22"/>
    <mergeCell ref="F21:F22"/>
    <mergeCell ref="G21:I22"/>
    <mergeCell ref="N44:N45"/>
    <mergeCell ref="N40:N41"/>
    <mergeCell ref="G32:I32"/>
    <mergeCell ref="J32:N32"/>
    <mergeCell ref="A34:N34"/>
    <mergeCell ref="A35:A36"/>
    <mergeCell ref="B35:B36"/>
    <mergeCell ref="C35:C36"/>
    <mergeCell ref="D35:D36"/>
    <mergeCell ref="E35:L35"/>
    <mergeCell ref="M35:N36"/>
    <mergeCell ref="J36:L36"/>
    <mergeCell ref="J33:N33"/>
    <mergeCell ref="M38:N38"/>
    <mergeCell ref="A39:N39"/>
    <mergeCell ref="A40:A41"/>
    <mergeCell ref="G29:I29"/>
    <mergeCell ref="J29:N29"/>
    <mergeCell ref="G30:I30"/>
    <mergeCell ref="J30:N30"/>
    <mergeCell ref="G31:I31"/>
    <mergeCell ref="J31:N31"/>
    <mergeCell ref="G26:I26"/>
    <mergeCell ref="J26:N26"/>
    <mergeCell ref="G27:I27"/>
    <mergeCell ref="J27:N27"/>
    <mergeCell ref="G28:I28"/>
    <mergeCell ref="J28:N28"/>
    <mergeCell ref="G23:I23"/>
    <mergeCell ref="J23:N23"/>
    <mergeCell ref="G24:I24"/>
    <mergeCell ref="J24:N24"/>
    <mergeCell ref="G25:I25"/>
    <mergeCell ref="J25:N25"/>
    <mergeCell ref="J21:N22"/>
    <mergeCell ref="B12:D12"/>
    <mergeCell ref="A1:E1"/>
    <mergeCell ref="B2:E2"/>
    <mergeCell ref="B3:E3"/>
    <mergeCell ref="B4:E4"/>
    <mergeCell ref="B5:E5"/>
    <mergeCell ref="B6:E6"/>
    <mergeCell ref="A7:E7"/>
    <mergeCell ref="B8:D8"/>
    <mergeCell ref="B9:D9"/>
    <mergeCell ref="B10:D10"/>
    <mergeCell ref="B11:D11"/>
  </mergeCells>
  <hyperlinks>
    <hyperlink ref="A1:E1" location="'Structs'!A1" display="&lt;-Volver al inicio" xr:uid="{9CA2F470-A93B-4DA3-A041-BD5C6175C6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89F0C7B-5CE8-4F57-8DA7-74FE4F08324C}">
          <x14:formula1>
            <xm:f>Structs!$D$2:$E$2</xm:f>
          </x14:formula1>
          <xm:sqref>A37:A38 A42 A46:A48</xm:sqref>
        </x14:dataValidation>
        <x14:dataValidation type="list" allowBlank="1" showInputMessage="1" showErrorMessage="1" xr:uid="{64A50A8A-B905-4145-A328-831906F54E69}">
          <x14:formula1>
            <xm:f>Structs!$E$2</xm:f>
          </x14:formula1>
          <xm:sqref>B6:E6 H38 E23:E33 I37:I38 J42 D46:D48 I46:J47</xm:sqref>
        </x14:dataValidation>
        <x14:dataValidation type="list" allowBlank="1" showInputMessage="1" showErrorMessage="1" xr:uid="{BFC444D0-4128-4CAE-9C53-2EEFF7BE1155}">
          <x14:formula1>
            <xm:f>Structs!$D$2</xm:f>
          </x14:formula1>
          <xm:sqref>A23:A33 B5:E5</xm:sqref>
        </x14:dataValidation>
        <x14:dataValidation type="list" allowBlank="1" showInputMessage="1" showErrorMessage="1" xr:uid="{EA8312C1-F3BC-42E4-A71C-08A4B2ABEB39}">
          <x14:formula1>
            <xm:f>Valores!$G$2:$G$12</xm:f>
          </x14:formula1>
          <xm:sqref>G46:G47 F37:F38 G42 L42 L47:L48 C23:C33</xm:sqref>
        </x14:dataValidation>
        <x14:dataValidation type="list" allowBlank="1" showInputMessage="1" showErrorMessage="1" xr:uid="{2940A9BC-01E3-47EA-98C5-E4EAA945B2D6}">
          <x14:formula1>
            <xm:f>Valores!$H$2:$H$3</xm:f>
          </x14:formula1>
          <xm:sqref>F23:F33 C46:C48</xm:sqref>
        </x14:dataValidation>
        <x14:dataValidation type="list" allowBlank="1" showInputMessage="1" showErrorMessage="1" xr:uid="{D686EFC0-5835-49DA-A23A-00CEA3EAFBE4}">
          <x14:formula1>
            <xm:f>Valores!$J$2:$J$3</xm:f>
          </x14:formula1>
          <xm:sqref>H37 I42</xm:sqref>
        </x14:dataValidation>
        <x14:dataValidation type="list" allowBlank="1" showInputMessage="1" showErrorMessage="1" xr:uid="{1595826B-AA2F-4D0B-A776-4C492CCB3A13}">
          <x14:formula1>
            <xm:f>Valores!$L$2:$L$13</xm:f>
          </x14:formula1>
          <xm:sqref>L46</xm:sqref>
        </x14:dataValidation>
        <x14:dataValidation type="list" allowBlank="1" showInputMessage="1" showErrorMessage="1" xr:uid="{DEBFEC8D-0488-4D6A-8207-EC3B9A2928FD}">
          <x14:formula1>
            <xm:f>Valores!$C$2:$C$7</xm:f>
          </x14:formula1>
          <xm:sqref>B9:D19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34D4-5FD9-48A5-AD7C-1669129F7AB5}">
  <dimension ref="A1:N33"/>
  <sheetViews>
    <sheetView zoomScale="55" zoomScaleNormal="55" workbookViewId="0">
      <pane ySplit="1" topLeftCell="C2" activePane="bottomLeft" state="frozen"/>
      <selection pane="bottomLeft" activeCell="L7" sqref="A4:L7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Structs!I4</f>
        <v>Franchise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Structs!B4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Structs!C4</f>
        <v>Estructura que representa una franquicia que agrupa múltiples sedes bajo una misma marca comercial.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5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47" t="s">
        <v>82</v>
      </c>
      <c r="C9" s="148"/>
      <c r="D9" s="149"/>
      <c r="E9" s="36" t="str">
        <f>HYPERLINK("#'"&amp;F9&amp;"'!A1", F9)</f>
        <v>Branch</v>
      </c>
      <c r="F9" s="52" t="s">
        <v>12</v>
      </c>
    </row>
    <row r="10" spans="1:14">
      <c r="A10" s="124" t="s">
        <v>84</v>
      </c>
      <c r="B10" s="125"/>
      <c r="C10" s="125"/>
      <c r="D10" s="125"/>
      <c r="E10" s="125"/>
      <c r="F10" s="126"/>
      <c r="G10" s="125"/>
      <c r="H10" s="125"/>
      <c r="I10" s="125"/>
      <c r="J10" s="125"/>
      <c r="K10" s="125"/>
      <c r="L10" s="125"/>
      <c r="M10" s="125"/>
      <c r="N10" s="127"/>
    </row>
    <row r="11" spans="1:14">
      <c r="A11" s="128" t="s">
        <v>4</v>
      </c>
      <c r="B11" s="129" t="s">
        <v>85</v>
      </c>
      <c r="C11" s="129" t="s">
        <v>86</v>
      </c>
      <c r="D11" s="129"/>
      <c r="E11" s="129" t="s">
        <v>87</v>
      </c>
      <c r="F11" s="129" t="s">
        <v>88</v>
      </c>
      <c r="G11" s="130" t="s">
        <v>89</v>
      </c>
      <c r="H11" s="131"/>
      <c r="I11" s="132"/>
      <c r="J11" s="129" t="s">
        <v>90</v>
      </c>
      <c r="K11" s="129"/>
      <c r="L11" s="129"/>
      <c r="M11" s="129"/>
      <c r="N11" s="136"/>
    </row>
    <row r="12" spans="1:14">
      <c r="A12" s="128"/>
      <c r="B12" s="129"/>
      <c r="C12" s="10" t="s">
        <v>86</v>
      </c>
      <c r="D12" s="10" t="s">
        <v>91</v>
      </c>
      <c r="E12" s="129"/>
      <c r="F12" s="129"/>
      <c r="G12" s="133"/>
      <c r="H12" s="134"/>
      <c r="I12" s="135"/>
      <c r="J12" s="129"/>
      <c r="K12" s="129"/>
      <c r="L12" s="129"/>
      <c r="M12" s="129"/>
      <c r="N12" s="136"/>
    </row>
    <row r="13" spans="1:14">
      <c r="A13" s="6" t="s">
        <v>8</v>
      </c>
      <c r="B13" s="26" t="s">
        <v>92</v>
      </c>
      <c r="C13" s="24" t="s">
        <v>134</v>
      </c>
      <c r="D13" s="24" t="s">
        <v>135</v>
      </c>
      <c r="E13" s="3" t="s">
        <v>9</v>
      </c>
      <c r="F13" s="3" t="s">
        <v>94</v>
      </c>
      <c r="G13" s="114" t="s">
        <v>95</v>
      </c>
      <c r="H13" s="115"/>
      <c r="I13" s="116"/>
      <c r="J13" s="114" t="s">
        <v>165</v>
      </c>
      <c r="K13" s="115"/>
      <c r="L13" s="115"/>
      <c r="M13" s="115"/>
      <c r="N13" s="117"/>
    </row>
    <row r="14" spans="1:14">
      <c r="A14" s="6" t="s">
        <v>8</v>
      </c>
      <c r="B14" s="27" t="s">
        <v>144</v>
      </c>
      <c r="C14" s="25" t="s">
        <v>134</v>
      </c>
      <c r="D14" s="25" t="s">
        <v>135</v>
      </c>
      <c r="E14" s="3" t="s">
        <v>9</v>
      </c>
      <c r="F14" s="3" t="s">
        <v>94</v>
      </c>
      <c r="G14" s="114" t="s">
        <v>95</v>
      </c>
      <c r="H14" s="115"/>
      <c r="I14" s="116"/>
      <c r="J14" s="114" t="s">
        <v>166</v>
      </c>
      <c r="K14" s="115"/>
      <c r="L14" s="115"/>
      <c r="M14" s="115"/>
      <c r="N14" s="117"/>
    </row>
    <row r="15" spans="1:14">
      <c r="A15" s="6" t="s">
        <v>8</v>
      </c>
      <c r="B15" s="27" t="s">
        <v>167</v>
      </c>
      <c r="C15" s="25" t="s">
        <v>134</v>
      </c>
      <c r="D15" s="25" t="s">
        <v>135</v>
      </c>
      <c r="E15" s="3" t="s">
        <v>9</v>
      </c>
      <c r="F15" s="3" t="s">
        <v>94</v>
      </c>
      <c r="G15" s="114" t="s">
        <v>140</v>
      </c>
      <c r="H15" s="115"/>
      <c r="I15" s="116"/>
      <c r="J15" s="114" t="s">
        <v>168</v>
      </c>
      <c r="K15" s="115"/>
      <c r="L15" s="115"/>
      <c r="M15" s="115"/>
      <c r="N15" s="117"/>
    </row>
    <row r="16" spans="1:14">
      <c r="A16" s="6" t="s">
        <v>8</v>
      </c>
      <c r="B16" s="27" t="s">
        <v>169</v>
      </c>
      <c r="C16" s="25" t="s">
        <v>111</v>
      </c>
      <c r="D16" s="25" t="s">
        <v>170</v>
      </c>
      <c r="E16" s="3" t="s">
        <v>9</v>
      </c>
      <c r="F16" s="3" t="s">
        <v>94</v>
      </c>
      <c r="G16" s="114" t="s">
        <v>140</v>
      </c>
      <c r="H16" s="115"/>
      <c r="I16" s="116"/>
      <c r="J16" s="114" t="s">
        <v>171</v>
      </c>
      <c r="K16" s="115"/>
      <c r="L16" s="115"/>
      <c r="M16" s="115"/>
      <c r="N16" s="117"/>
    </row>
    <row r="17" spans="1:14">
      <c r="A17" s="118" t="s">
        <v>115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20"/>
    </row>
    <row r="18" spans="1:14">
      <c r="A18" s="121" t="s">
        <v>4</v>
      </c>
      <c r="B18" s="122" t="s">
        <v>85</v>
      </c>
      <c r="C18" s="122" t="s">
        <v>116</v>
      </c>
      <c r="D18" s="122" t="s">
        <v>117</v>
      </c>
      <c r="E18" s="122" t="s">
        <v>118</v>
      </c>
      <c r="F18" s="122"/>
      <c r="G18" s="122"/>
      <c r="H18" s="122"/>
      <c r="I18" s="122"/>
      <c r="J18" s="122"/>
      <c r="K18" s="122"/>
      <c r="L18" s="122"/>
      <c r="M18" s="122" t="s">
        <v>119</v>
      </c>
      <c r="N18" s="123"/>
    </row>
    <row r="19" spans="1:14">
      <c r="A19" s="121"/>
      <c r="B19" s="122"/>
      <c r="C19" s="122"/>
      <c r="D19" s="122"/>
      <c r="E19" s="11" t="s">
        <v>85</v>
      </c>
      <c r="F19" s="11" t="s">
        <v>86</v>
      </c>
      <c r="G19" s="11" t="s">
        <v>91</v>
      </c>
      <c r="H19" s="11" t="s">
        <v>120</v>
      </c>
      <c r="I19" s="11" t="s">
        <v>87</v>
      </c>
      <c r="J19" s="122" t="s">
        <v>117</v>
      </c>
      <c r="K19" s="122"/>
      <c r="L19" s="122"/>
      <c r="M19" s="122"/>
      <c r="N19" s="123"/>
    </row>
    <row r="20" spans="1:14" ht="27">
      <c r="A20" s="6" t="s">
        <v>9</v>
      </c>
      <c r="B20" s="26" t="str">
        <f>B2</f>
        <v>Franchise</v>
      </c>
      <c r="C20" s="28" t="s">
        <v>121</v>
      </c>
      <c r="D20" s="28" t="s">
        <v>122</v>
      </c>
      <c r="E20" s="3"/>
      <c r="F20" s="3"/>
      <c r="G20" s="3"/>
      <c r="H20" s="3"/>
      <c r="I20" s="3"/>
      <c r="J20" s="106"/>
      <c r="K20" s="107"/>
      <c r="L20" s="108"/>
      <c r="M20" s="106"/>
      <c r="N20" s="109"/>
    </row>
    <row r="21" spans="1:14">
      <c r="A21" s="6" t="s">
        <v>8</v>
      </c>
      <c r="B21" s="26" t="s">
        <v>123</v>
      </c>
      <c r="C21" s="28" t="s">
        <v>124</v>
      </c>
      <c r="D21" s="28" t="s">
        <v>125</v>
      </c>
      <c r="E21" s="3"/>
      <c r="F21" s="3"/>
      <c r="G21" s="3"/>
      <c r="H21" s="3" t="s">
        <v>9</v>
      </c>
      <c r="I21" s="3" t="s">
        <v>9</v>
      </c>
      <c r="J21" s="106" t="s">
        <v>165</v>
      </c>
      <c r="K21" s="107"/>
      <c r="L21" s="108"/>
      <c r="M21" s="106"/>
      <c r="N21" s="109"/>
    </row>
    <row r="22" spans="1:14">
      <c r="A22" s="110" t="s">
        <v>126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2"/>
    </row>
    <row r="23" spans="1:14">
      <c r="A23" s="113" t="s">
        <v>4</v>
      </c>
      <c r="B23" s="100" t="s">
        <v>85</v>
      </c>
      <c r="C23" s="100" t="s">
        <v>127</v>
      </c>
      <c r="D23" s="100" t="s">
        <v>128</v>
      </c>
      <c r="E23" s="100" t="s">
        <v>117</v>
      </c>
      <c r="F23" s="100" t="s">
        <v>118</v>
      </c>
      <c r="G23" s="100"/>
      <c r="H23" s="100"/>
      <c r="I23" s="100"/>
      <c r="J23" s="100"/>
      <c r="K23" s="100"/>
      <c r="L23" s="100" t="s">
        <v>129</v>
      </c>
      <c r="M23" s="100"/>
      <c r="N23" s="101" t="s">
        <v>119</v>
      </c>
    </row>
    <row r="24" spans="1:14">
      <c r="A24" s="113"/>
      <c r="B24" s="100"/>
      <c r="C24" s="100"/>
      <c r="D24" s="100"/>
      <c r="E24" s="100"/>
      <c r="F24" s="12" t="s">
        <v>85</v>
      </c>
      <c r="G24" s="12" t="s">
        <v>86</v>
      </c>
      <c r="H24" s="12" t="s">
        <v>91</v>
      </c>
      <c r="I24" s="12" t="s">
        <v>120</v>
      </c>
      <c r="J24" s="12" t="s">
        <v>87</v>
      </c>
      <c r="K24" s="12" t="s">
        <v>117</v>
      </c>
      <c r="L24" s="12" t="s">
        <v>86</v>
      </c>
      <c r="M24" s="12" t="s">
        <v>91</v>
      </c>
      <c r="N24" s="101"/>
    </row>
    <row r="25" spans="1:14">
      <c r="A25" s="6" t="s">
        <v>9</v>
      </c>
      <c r="B25" s="24" t="s">
        <v>9</v>
      </c>
      <c r="C25" s="28" t="s">
        <v>9</v>
      </c>
      <c r="D25" s="28" t="s">
        <v>9</v>
      </c>
      <c r="E25" s="3" t="s">
        <v>130</v>
      </c>
      <c r="F25" s="3"/>
      <c r="G25" s="3"/>
      <c r="H25" s="3"/>
      <c r="I25" s="3"/>
      <c r="J25" s="3"/>
      <c r="K25" s="3"/>
      <c r="L25" s="3"/>
      <c r="M25" s="3"/>
      <c r="N25" s="7"/>
    </row>
    <row r="26" spans="1:14">
      <c r="A26" s="102" t="s">
        <v>131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4"/>
    </row>
    <row r="27" spans="1:14">
      <c r="A27" s="105" t="s">
        <v>4</v>
      </c>
      <c r="B27" s="98" t="s">
        <v>85</v>
      </c>
      <c r="C27" s="98" t="s">
        <v>132</v>
      </c>
      <c r="D27" s="98" t="s">
        <v>128</v>
      </c>
      <c r="E27" s="98" t="s">
        <v>117</v>
      </c>
      <c r="F27" s="98" t="s">
        <v>118</v>
      </c>
      <c r="G27" s="98"/>
      <c r="H27" s="98"/>
      <c r="I27" s="98"/>
      <c r="J27" s="98"/>
      <c r="K27" s="98"/>
      <c r="L27" s="98" t="s">
        <v>129</v>
      </c>
      <c r="M27" s="98"/>
      <c r="N27" s="99" t="s">
        <v>119</v>
      </c>
    </row>
    <row r="28" spans="1:14">
      <c r="A28" s="105"/>
      <c r="B28" s="98"/>
      <c r="C28" s="98"/>
      <c r="D28" s="98"/>
      <c r="E28" s="98"/>
      <c r="F28" s="13" t="s">
        <v>85</v>
      </c>
      <c r="G28" s="13" t="s">
        <v>86</v>
      </c>
      <c r="H28" s="13" t="s">
        <v>91</v>
      </c>
      <c r="I28" s="13" t="s">
        <v>120</v>
      </c>
      <c r="J28" s="13" t="s">
        <v>87</v>
      </c>
      <c r="K28" s="13" t="s">
        <v>117</v>
      </c>
      <c r="L28" s="13" t="s">
        <v>86</v>
      </c>
      <c r="M28" s="13" t="s">
        <v>91</v>
      </c>
      <c r="N28" s="99"/>
    </row>
    <row r="29" spans="1:14">
      <c r="A29" s="6" t="s">
        <v>8</v>
      </c>
      <c r="B29" s="26" t="s">
        <v>123</v>
      </c>
      <c r="C29" s="3" t="s">
        <v>94</v>
      </c>
      <c r="D29" s="3" t="s">
        <v>9</v>
      </c>
      <c r="E29" s="24" t="s">
        <v>125</v>
      </c>
      <c r="F29" s="3"/>
      <c r="G29" s="3"/>
      <c r="H29" s="3"/>
      <c r="I29" s="3" t="s">
        <v>9</v>
      </c>
      <c r="J29" s="3" t="s">
        <v>9</v>
      </c>
      <c r="K29" s="3"/>
      <c r="L29" s="3" t="s">
        <v>158</v>
      </c>
      <c r="M29" s="3"/>
      <c r="N29" s="7"/>
    </row>
    <row r="30" spans="1:14">
      <c r="A30" s="14" t="s">
        <v>8</v>
      </c>
      <c r="B30" s="31" t="s">
        <v>163</v>
      </c>
      <c r="C30" s="3" t="s">
        <v>94</v>
      </c>
      <c r="D30" s="15" t="s">
        <v>9</v>
      </c>
      <c r="E30" s="28" t="s">
        <v>164</v>
      </c>
      <c r="F30" s="28" t="s">
        <v>135</v>
      </c>
      <c r="G30" s="28" t="s">
        <v>135</v>
      </c>
      <c r="H30" s="28" t="s">
        <v>135</v>
      </c>
      <c r="I30" s="28" t="s">
        <v>9</v>
      </c>
      <c r="J30" s="28" t="s">
        <v>9</v>
      </c>
      <c r="K30" s="28" t="s">
        <v>135</v>
      </c>
      <c r="L30" s="15" t="s">
        <v>93</v>
      </c>
      <c r="M30" s="28" t="s">
        <v>135</v>
      </c>
      <c r="N30" s="28" t="s">
        <v>135</v>
      </c>
    </row>
    <row r="32" spans="1:14">
      <c r="E32" s="32"/>
    </row>
    <row r="33" spans="5:5">
      <c r="E33" s="32"/>
    </row>
  </sheetData>
  <mergeCells count="55">
    <mergeCell ref="A26:N26"/>
    <mergeCell ref="A27:A28"/>
    <mergeCell ref="B27:B28"/>
    <mergeCell ref="C27:C28"/>
    <mergeCell ref="D27:D28"/>
    <mergeCell ref="E27:E28"/>
    <mergeCell ref="F27:K27"/>
    <mergeCell ref="L27:M27"/>
    <mergeCell ref="N27:N28"/>
    <mergeCell ref="E23:E24"/>
    <mergeCell ref="J20:L20"/>
    <mergeCell ref="M20:N20"/>
    <mergeCell ref="J21:L21"/>
    <mergeCell ref="M21:N21"/>
    <mergeCell ref="A22:N22"/>
    <mergeCell ref="F23:K23"/>
    <mergeCell ref="L23:M23"/>
    <mergeCell ref="N23:N24"/>
    <mergeCell ref="A23:A24"/>
    <mergeCell ref="B23:B24"/>
    <mergeCell ref="C23:C24"/>
    <mergeCell ref="D23:D24"/>
    <mergeCell ref="A17:N17"/>
    <mergeCell ref="A18:A19"/>
    <mergeCell ref="B18:B19"/>
    <mergeCell ref="C18:C19"/>
    <mergeCell ref="D18:D19"/>
    <mergeCell ref="E18:L18"/>
    <mergeCell ref="M18:N19"/>
    <mergeCell ref="J19:L19"/>
    <mergeCell ref="G16:I16"/>
    <mergeCell ref="J16:N16"/>
    <mergeCell ref="G13:I13"/>
    <mergeCell ref="J13:N13"/>
    <mergeCell ref="G14:I14"/>
    <mergeCell ref="J14:N14"/>
    <mergeCell ref="G15:I15"/>
    <mergeCell ref="J15:N15"/>
    <mergeCell ref="A10:N10"/>
    <mergeCell ref="A11:A12"/>
    <mergeCell ref="B11:B12"/>
    <mergeCell ref="C11:D11"/>
    <mergeCell ref="E11:E12"/>
    <mergeCell ref="F11:F12"/>
    <mergeCell ref="G11:I12"/>
    <mergeCell ref="J11:N12"/>
    <mergeCell ref="A7:E7"/>
    <mergeCell ref="B8:D8"/>
    <mergeCell ref="B9:D9"/>
    <mergeCell ref="A1:E1"/>
    <mergeCell ref="B2:E2"/>
    <mergeCell ref="B3:E3"/>
    <mergeCell ref="B4:E4"/>
    <mergeCell ref="B5:E5"/>
    <mergeCell ref="B6:E6"/>
  </mergeCells>
  <hyperlinks>
    <hyperlink ref="A1:E1" location="'Structs'!A1" display="&lt;-Volver al inicio" xr:uid="{3E881C81-3141-4482-8675-AAD26110250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1E72B38-FCC7-45EE-871C-D9A8D9B01430}">
          <x14:formula1>
            <xm:f>Valores!$L$2:$L$13</xm:f>
          </x14:formula1>
          <xm:sqref>L29</xm:sqref>
        </x14:dataValidation>
        <x14:dataValidation type="list" allowBlank="1" showInputMessage="1" showErrorMessage="1" xr:uid="{15B26AB3-5F87-4860-B1D0-513ED1D911E0}">
          <x14:formula1>
            <xm:f>Valores!$J$2:$J$3</xm:f>
          </x14:formula1>
          <xm:sqref>H20 I25</xm:sqref>
        </x14:dataValidation>
        <x14:dataValidation type="list" allowBlank="1" showInputMessage="1" showErrorMessage="1" xr:uid="{5D02F5A7-65EA-461B-87FD-451A6CC98854}">
          <x14:formula1>
            <xm:f>Valores!$H$2:$H$3</xm:f>
          </x14:formula1>
          <xm:sqref>F13:F16 C29:C30</xm:sqref>
        </x14:dataValidation>
        <x14:dataValidation type="list" allowBlank="1" showInputMessage="1" showErrorMessage="1" xr:uid="{6384E58D-24B1-4724-95DF-138B50CF8550}">
          <x14:formula1>
            <xm:f>Valores!$G$2:$G$12</xm:f>
          </x14:formula1>
          <xm:sqref>G29 F20:F21 G25 L25 C13:C16 L30</xm:sqref>
        </x14:dataValidation>
        <x14:dataValidation type="list" allowBlank="1" showInputMessage="1" showErrorMessage="1" xr:uid="{EFB9CEC2-F7B2-4343-9C31-47E48E30CC68}">
          <x14:formula1>
            <xm:f>Structs!$D$2</xm:f>
          </x14:formula1>
          <xm:sqref>A13:A16 B5:E5</xm:sqref>
        </x14:dataValidation>
        <x14:dataValidation type="list" allowBlank="1" showInputMessage="1" showErrorMessage="1" xr:uid="{F062C9F1-4737-48AC-9043-22C3296EEAF2}">
          <x14:formula1>
            <xm:f>Structs!$E$2</xm:f>
          </x14:formula1>
          <xm:sqref>B6:E6 I21 H21 E13:E16 D29:D30 J25 I20 I29:J30</xm:sqref>
        </x14:dataValidation>
        <x14:dataValidation type="list" allowBlank="1" showInputMessage="1" showErrorMessage="1" xr:uid="{EFAD00E1-7573-40BB-951B-B9107E47BB8B}">
          <x14:formula1>
            <xm:f>Structs!$D$2:$E$2</xm:f>
          </x14:formula1>
          <xm:sqref>A20:A21 A25 A29:A30</xm:sqref>
        </x14:dataValidation>
        <x14:dataValidation type="list" allowBlank="1" showInputMessage="1" showErrorMessage="1" xr:uid="{99B28BA4-8C16-4A16-9E9D-BC7548E3626B}">
          <x14:formula1>
            <xm:f>Valores!$C$2:$C$7</xm:f>
          </x14:formula1>
          <xm:sqref>B9:D9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F63D-C79B-4243-B6F7-A636F760E6A8}">
  <dimension ref="A1:N35"/>
  <sheetViews>
    <sheetView zoomScale="55" zoomScaleNormal="55" workbookViewId="0">
      <pane ySplit="1" topLeftCell="I14" activePane="bottomLeft" state="frozen"/>
      <selection pane="bottomLeft" activeCell="O41" sqref="O41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Structs!I5</f>
        <v>Location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Structs!B5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Structs!C5</f>
        <v>Estructura que representa la ubicación geográfica de una sede, incluyendo departamento, ciudad, dirección y coordenadas GPS.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41" t="s">
        <v>82</v>
      </c>
      <c r="C9" s="141"/>
      <c r="D9" s="142"/>
      <c r="E9" s="53" t="str">
        <f>HYPERLINK("#'"&amp;F9&amp;"'!A1", F9)</f>
        <v>Branch</v>
      </c>
      <c r="F9" s="52" t="s">
        <v>12</v>
      </c>
    </row>
    <row r="10" spans="1:14">
      <c r="A10" s="25" t="s">
        <v>81</v>
      </c>
      <c r="B10" s="141" t="s">
        <v>82</v>
      </c>
      <c r="C10" s="141"/>
      <c r="D10" s="142"/>
      <c r="E10" s="53" t="str">
        <f>HYPERLINK("#'"&amp;F10&amp;"'!A1", F10)</f>
        <v>City</v>
      </c>
      <c r="F10" s="52" t="s">
        <v>26</v>
      </c>
    </row>
    <row r="11" spans="1:14">
      <c r="A11" s="25" t="s">
        <v>81</v>
      </c>
      <c r="B11" s="141" t="s">
        <v>82</v>
      </c>
      <c r="C11" s="141"/>
      <c r="D11" s="142"/>
      <c r="E11" s="53" t="str">
        <f>HYPERLINK("#'"&amp;F11&amp;"'!A1", F11)</f>
        <v>Department</v>
      </c>
      <c r="F11" s="52" t="s">
        <v>28</v>
      </c>
    </row>
    <row r="12" spans="1:14">
      <c r="A12" s="124" t="s">
        <v>84</v>
      </c>
      <c r="B12" s="125"/>
      <c r="C12" s="125"/>
      <c r="D12" s="125"/>
      <c r="E12" s="126"/>
      <c r="F12" s="126"/>
      <c r="G12" s="125"/>
      <c r="H12" s="125"/>
      <c r="I12" s="125"/>
      <c r="J12" s="125"/>
      <c r="K12" s="125"/>
      <c r="L12" s="125"/>
      <c r="M12" s="125"/>
      <c r="N12" s="127"/>
    </row>
    <row r="13" spans="1:14">
      <c r="A13" s="128" t="s">
        <v>4</v>
      </c>
      <c r="B13" s="129" t="s">
        <v>85</v>
      </c>
      <c r="C13" s="129" t="s">
        <v>86</v>
      </c>
      <c r="D13" s="129"/>
      <c r="E13" s="129" t="s">
        <v>87</v>
      </c>
      <c r="F13" s="129" t="s">
        <v>88</v>
      </c>
      <c r="G13" s="130" t="s">
        <v>89</v>
      </c>
      <c r="H13" s="131"/>
      <c r="I13" s="132"/>
      <c r="J13" s="129" t="s">
        <v>90</v>
      </c>
      <c r="K13" s="129"/>
      <c r="L13" s="129"/>
      <c r="M13" s="129"/>
      <c r="N13" s="136"/>
    </row>
    <row r="14" spans="1:14">
      <c r="A14" s="128"/>
      <c r="B14" s="129"/>
      <c r="C14" s="10" t="s">
        <v>86</v>
      </c>
      <c r="D14" s="10" t="s">
        <v>91</v>
      </c>
      <c r="E14" s="129"/>
      <c r="F14" s="129"/>
      <c r="G14" s="133"/>
      <c r="H14" s="134"/>
      <c r="I14" s="135"/>
      <c r="J14" s="129"/>
      <c r="K14" s="129"/>
      <c r="L14" s="129"/>
      <c r="M14" s="129"/>
      <c r="N14" s="136"/>
    </row>
    <row r="15" spans="1:14">
      <c r="A15" s="6" t="s">
        <v>8</v>
      </c>
      <c r="B15" s="26" t="s">
        <v>92</v>
      </c>
      <c r="C15" s="24" t="s">
        <v>134</v>
      </c>
      <c r="D15" s="24" t="s">
        <v>135</v>
      </c>
      <c r="E15" s="3" t="s">
        <v>9</v>
      </c>
      <c r="F15" s="3" t="s">
        <v>94</v>
      </c>
      <c r="G15" s="114" t="s">
        <v>95</v>
      </c>
      <c r="H15" s="115"/>
      <c r="I15" s="116"/>
      <c r="J15" s="114" t="s">
        <v>165</v>
      </c>
      <c r="K15" s="115"/>
      <c r="L15" s="115"/>
      <c r="M15" s="115"/>
      <c r="N15" s="117"/>
    </row>
    <row r="16" spans="1:14">
      <c r="A16" s="6" t="s">
        <v>8</v>
      </c>
      <c r="B16" s="27" t="s">
        <v>172</v>
      </c>
      <c r="C16" s="25" t="s">
        <v>134</v>
      </c>
      <c r="D16" s="25" t="s">
        <v>135</v>
      </c>
      <c r="E16" s="3" t="s">
        <v>9</v>
      </c>
      <c r="F16" s="3" t="s">
        <v>94</v>
      </c>
      <c r="G16" s="114" t="s">
        <v>95</v>
      </c>
      <c r="H16" s="115"/>
      <c r="I16" s="116"/>
      <c r="J16" s="114" t="s">
        <v>173</v>
      </c>
      <c r="K16" s="115"/>
      <c r="L16" s="115"/>
      <c r="M16" s="115"/>
      <c r="N16" s="117"/>
    </row>
    <row r="17" spans="1:14">
      <c r="A17" s="6" t="s">
        <v>8</v>
      </c>
      <c r="B17" s="27" t="s">
        <v>174</v>
      </c>
      <c r="C17" s="25" t="s">
        <v>134</v>
      </c>
      <c r="D17" s="25" t="s">
        <v>135</v>
      </c>
      <c r="E17" s="3" t="s">
        <v>9</v>
      </c>
      <c r="F17" s="3" t="s">
        <v>94</v>
      </c>
      <c r="G17" s="114" t="s">
        <v>95</v>
      </c>
      <c r="H17" s="115"/>
      <c r="I17" s="116"/>
      <c r="J17" s="114" t="s">
        <v>175</v>
      </c>
      <c r="K17" s="115"/>
      <c r="L17" s="115"/>
      <c r="M17" s="115"/>
      <c r="N17" s="117"/>
    </row>
    <row r="18" spans="1:14">
      <c r="A18" s="6" t="s">
        <v>8</v>
      </c>
      <c r="B18" s="27" t="s">
        <v>176</v>
      </c>
      <c r="C18" s="25" t="s">
        <v>134</v>
      </c>
      <c r="D18" s="25" t="s">
        <v>135</v>
      </c>
      <c r="E18" s="3" t="s">
        <v>9</v>
      </c>
      <c r="F18" s="3" t="s">
        <v>94</v>
      </c>
      <c r="G18" s="114" t="s">
        <v>95</v>
      </c>
      <c r="H18" s="115"/>
      <c r="I18" s="116"/>
      <c r="J18" s="114" t="s">
        <v>177</v>
      </c>
      <c r="K18" s="115"/>
      <c r="L18" s="115"/>
      <c r="M18" s="115"/>
      <c r="N18" s="117"/>
    </row>
    <row r="19" spans="1:14">
      <c r="A19" s="6" t="s">
        <v>8</v>
      </c>
      <c r="B19" s="27" t="s">
        <v>178</v>
      </c>
      <c r="C19" s="25" t="s">
        <v>134</v>
      </c>
      <c r="D19" s="25" t="s">
        <v>135</v>
      </c>
      <c r="E19" s="3" t="s">
        <v>9</v>
      </c>
      <c r="F19" s="3" t="s">
        <v>94</v>
      </c>
      <c r="G19" s="114" t="s">
        <v>95</v>
      </c>
      <c r="H19" s="115"/>
      <c r="I19" s="116"/>
      <c r="J19" s="114" t="s">
        <v>179</v>
      </c>
      <c r="K19" s="115"/>
      <c r="L19" s="115"/>
      <c r="M19" s="115"/>
      <c r="N19" s="117"/>
    </row>
    <row r="20" spans="1:14">
      <c r="A20" s="6" t="s">
        <v>8</v>
      </c>
      <c r="B20" s="27" t="s">
        <v>180</v>
      </c>
      <c r="C20" s="25" t="s">
        <v>181</v>
      </c>
      <c r="D20" s="25" t="s">
        <v>55</v>
      </c>
      <c r="E20" s="3" t="s">
        <v>9</v>
      </c>
      <c r="F20" s="3" t="s">
        <v>94</v>
      </c>
      <c r="G20" s="114" t="s">
        <v>140</v>
      </c>
      <c r="H20" s="115"/>
      <c r="I20" s="116"/>
      <c r="J20" s="114" t="s">
        <v>182</v>
      </c>
      <c r="K20" s="115"/>
      <c r="L20" s="115"/>
      <c r="M20" s="115"/>
      <c r="N20" s="117"/>
    </row>
    <row r="21" spans="1:14">
      <c r="A21" s="6" t="s">
        <v>8</v>
      </c>
      <c r="B21" s="27" t="s">
        <v>183</v>
      </c>
      <c r="C21" s="25" t="s">
        <v>181</v>
      </c>
      <c r="D21" s="25" t="s">
        <v>135</v>
      </c>
      <c r="E21" s="3" t="s">
        <v>9</v>
      </c>
      <c r="F21" s="3" t="s">
        <v>94</v>
      </c>
      <c r="G21" s="114" t="s">
        <v>140</v>
      </c>
      <c r="H21" s="115"/>
      <c r="I21" s="116"/>
      <c r="J21" s="114" t="s">
        <v>184</v>
      </c>
      <c r="K21" s="115"/>
      <c r="L21" s="115"/>
      <c r="M21" s="115"/>
      <c r="N21" s="117"/>
    </row>
    <row r="22" spans="1:14">
      <c r="A22" s="6" t="s">
        <v>8</v>
      </c>
      <c r="B22" s="27" t="s">
        <v>185</v>
      </c>
      <c r="C22" s="25" t="s">
        <v>111</v>
      </c>
      <c r="D22" s="25" t="s">
        <v>57</v>
      </c>
      <c r="E22" s="3" t="s">
        <v>9</v>
      </c>
      <c r="F22" s="3" t="s">
        <v>94</v>
      </c>
      <c r="G22" s="114" t="s">
        <v>95</v>
      </c>
      <c r="H22" s="115"/>
      <c r="I22" s="116"/>
      <c r="J22" s="114" t="s">
        <v>186</v>
      </c>
      <c r="K22" s="115"/>
      <c r="L22" s="115"/>
      <c r="M22" s="115"/>
      <c r="N22" s="117"/>
    </row>
    <row r="23" spans="1:14" ht="15.75" customHeight="1">
      <c r="A23" s="6" t="s">
        <v>8</v>
      </c>
      <c r="B23" s="27" t="s">
        <v>187</v>
      </c>
      <c r="C23" s="25" t="s">
        <v>111</v>
      </c>
      <c r="D23" s="25" t="s">
        <v>151</v>
      </c>
      <c r="E23" s="3" t="s">
        <v>9</v>
      </c>
      <c r="F23" s="3" t="s">
        <v>94</v>
      </c>
      <c r="G23" s="114" t="s">
        <v>95</v>
      </c>
      <c r="H23" s="115"/>
      <c r="I23" s="116"/>
      <c r="J23" s="114" t="s">
        <v>188</v>
      </c>
      <c r="K23" s="115"/>
      <c r="L23" s="115"/>
      <c r="M23" s="115"/>
      <c r="N23" s="117"/>
    </row>
    <row r="24" spans="1:14">
      <c r="A24" s="118" t="s">
        <v>115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20"/>
    </row>
    <row r="25" spans="1:14">
      <c r="A25" s="121" t="s">
        <v>4</v>
      </c>
      <c r="B25" s="122" t="s">
        <v>85</v>
      </c>
      <c r="C25" s="122" t="s">
        <v>116</v>
      </c>
      <c r="D25" s="122" t="s">
        <v>117</v>
      </c>
      <c r="E25" s="122" t="s">
        <v>118</v>
      </c>
      <c r="F25" s="122"/>
      <c r="G25" s="122"/>
      <c r="H25" s="122"/>
      <c r="I25" s="122"/>
      <c r="J25" s="122"/>
      <c r="K25" s="122"/>
      <c r="L25" s="122"/>
      <c r="M25" s="122" t="s">
        <v>119</v>
      </c>
      <c r="N25" s="123"/>
    </row>
    <row r="26" spans="1:14">
      <c r="A26" s="121"/>
      <c r="B26" s="122"/>
      <c r="C26" s="122"/>
      <c r="D26" s="122"/>
      <c r="E26" s="11" t="s">
        <v>85</v>
      </c>
      <c r="F26" s="11" t="s">
        <v>86</v>
      </c>
      <c r="G26" s="11" t="s">
        <v>91</v>
      </c>
      <c r="H26" s="11" t="s">
        <v>120</v>
      </c>
      <c r="I26" s="11" t="s">
        <v>87</v>
      </c>
      <c r="J26" s="122" t="s">
        <v>117</v>
      </c>
      <c r="K26" s="122"/>
      <c r="L26" s="122"/>
      <c r="M26" s="122"/>
      <c r="N26" s="123"/>
    </row>
    <row r="27" spans="1:14" ht="27">
      <c r="A27" s="6" t="s">
        <v>9</v>
      </c>
      <c r="B27" s="26" t="str">
        <f>B2</f>
        <v>Location</v>
      </c>
      <c r="C27" s="28" t="s">
        <v>121</v>
      </c>
      <c r="D27" s="28" t="s">
        <v>122</v>
      </c>
      <c r="E27" s="3"/>
      <c r="F27" s="3"/>
      <c r="G27" s="3"/>
      <c r="H27" s="3"/>
      <c r="I27" s="3"/>
      <c r="J27" s="106"/>
      <c r="K27" s="107"/>
      <c r="L27" s="108"/>
      <c r="M27" s="106"/>
      <c r="N27" s="109"/>
    </row>
    <row r="28" spans="1:14">
      <c r="A28" s="110" t="s">
        <v>126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2"/>
    </row>
    <row r="29" spans="1:14">
      <c r="A29" s="113" t="s">
        <v>4</v>
      </c>
      <c r="B29" s="100" t="s">
        <v>85</v>
      </c>
      <c r="C29" s="100" t="s">
        <v>127</v>
      </c>
      <c r="D29" s="100" t="s">
        <v>128</v>
      </c>
      <c r="E29" s="100" t="s">
        <v>117</v>
      </c>
      <c r="F29" s="100" t="s">
        <v>118</v>
      </c>
      <c r="G29" s="100"/>
      <c r="H29" s="100"/>
      <c r="I29" s="100"/>
      <c r="J29" s="100"/>
      <c r="K29" s="100"/>
      <c r="L29" s="100" t="s">
        <v>129</v>
      </c>
      <c r="M29" s="100"/>
      <c r="N29" s="101" t="s">
        <v>119</v>
      </c>
    </row>
    <row r="30" spans="1:14">
      <c r="A30" s="113"/>
      <c r="B30" s="100"/>
      <c r="C30" s="100"/>
      <c r="D30" s="100"/>
      <c r="E30" s="100"/>
      <c r="F30" s="12" t="s">
        <v>85</v>
      </c>
      <c r="G30" s="12" t="s">
        <v>86</v>
      </c>
      <c r="H30" s="12" t="s">
        <v>91</v>
      </c>
      <c r="I30" s="12" t="s">
        <v>120</v>
      </c>
      <c r="J30" s="12" t="s">
        <v>87</v>
      </c>
      <c r="K30" s="12" t="s">
        <v>117</v>
      </c>
      <c r="L30" s="12" t="s">
        <v>86</v>
      </c>
      <c r="M30" s="12" t="s">
        <v>91</v>
      </c>
      <c r="N30" s="101"/>
    </row>
    <row r="31" spans="1:14">
      <c r="A31" s="6" t="s">
        <v>9</v>
      </c>
      <c r="B31" s="24" t="s">
        <v>9</v>
      </c>
      <c r="C31" s="28" t="s">
        <v>9</v>
      </c>
      <c r="D31" s="28" t="s">
        <v>9</v>
      </c>
      <c r="E31" s="3" t="s">
        <v>130</v>
      </c>
      <c r="F31" s="3"/>
      <c r="G31" s="3"/>
      <c r="H31" s="3"/>
      <c r="I31" s="3"/>
      <c r="J31" s="3"/>
      <c r="K31" s="3"/>
      <c r="L31" s="3"/>
      <c r="M31" s="3"/>
      <c r="N31" s="7"/>
    </row>
    <row r="32" spans="1:14">
      <c r="A32" s="102" t="s">
        <v>131</v>
      </c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4"/>
    </row>
    <row r="33" spans="1:14">
      <c r="A33" s="105" t="s">
        <v>4</v>
      </c>
      <c r="B33" s="98" t="s">
        <v>85</v>
      </c>
      <c r="C33" s="98" t="s">
        <v>132</v>
      </c>
      <c r="D33" s="98" t="s">
        <v>128</v>
      </c>
      <c r="E33" s="98" t="s">
        <v>117</v>
      </c>
      <c r="F33" s="98" t="s">
        <v>118</v>
      </c>
      <c r="G33" s="98"/>
      <c r="H33" s="98"/>
      <c r="I33" s="98"/>
      <c r="J33" s="98"/>
      <c r="K33" s="98"/>
      <c r="L33" s="98" t="s">
        <v>129</v>
      </c>
      <c r="M33" s="98"/>
      <c r="N33" s="99" t="s">
        <v>119</v>
      </c>
    </row>
    <row r="34" spans="1:14">
      <c r="A34" s="105"/>
      <c r="B34" s="98"/>
      <c r="C34" s="98"/>
      <c r="D34" s="98"/>
      <c r="E34" s="98"/>
      <c r="F34" s="13" t="s">
        <v>85</v>
      </c>
      <c r="G34" s="13" t="s">
        <v>86</v>
      </c>
      <c r="H34" s="13" t="s">
        <v>91</v>
      </c>
      <c r="I34" s="13" t="s">
        <v>120</v>
      </c>
      <c r="J34" s="13" t="s">
        <v>87</v>
      </c>
      <c r="K34" s="13" t="s">
        <v>117</v>
      </c>
      <c r="L34" s="13" t="s">
        <v>86</v>
      </c>
      <c r="M34" s="13" t="s">
        <v>91</v>
      </c>
      <c r="N34" s="99"/>
    </row>
    <row r="35" spans="1:14">
      <c r="A35" s="6" t="s">
        <v>9</v>
      </c>
      <c r="B35" s="26" t="s">
        <v>9</v>
      </c>
      <c r="C35" s="3"/>
      <c r="D35" s="3" t="s">
        <v>9</v>
      </c>
      <c r="E35" s="24" t="s">
        <v>9</v>
      </c>
      <c r="F35" s="3"/>
      <c r="G35" s="3"/>
      <c r="H35" s="3"/>
      <c r="I35" s="3" t="s">
        <v>9</v>
      </c>
      <c r="J35" s="3" t="s">
        <v>9</v>
      </c>
      <c r="K35" s="3"/>
      <c r="L35" s="3"/>
      <c r="M35" s="3"/>
      <c r="N35" s="7" t="s">
        <v>9</v>
      </c>
    </row>
  </sheetData>
  <mergeCells count="65"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B10:D10"/>
    <mergeCell ref="B11:D11"/>
    <mergeCell ref="A12:N12"/>
    <mergeCell ref="A13:A14"/>
    <mergeCell ref="B13:B14"/>
    <mergeCell ref="C13:D13"/>
    <mergeCell ref="E13:E14"/>
    <mergeCell ref="F13:F14"/>
    <mergeCell ref="G13:I14"/>
    <mergeCell ref="J13:N14"/>
    <mergeCell ref="G15:I15"/>
    <mergeCell ref="J15:N15"/>
    <mergeCell ref="G16:I16"/>
    <mergeCell ref="J16:N16"/>
    <mergeCell ref="G17:I17"/>
    <mergeCell ref="J17:N17"/>
    <mergeCell ref="G18:I18"/>
    <mergeCell ref="J18:N18"/>
    <mergeCell ref="G19:I19"/>
    <mergeCell ref="J19:N19"/>
    <mergeCell ref="G20:I20"/>
    <mergeCell ref="J20:N20"/>
    <mergeCell ref="G21:I21"/>
    <mergeCell ref="J21:N21"/>
    <mergeCell ref="G22:I22"/>
    <mergeCell ref="J22:N22"/>
    <mergeCell ref="G23:I23"/>
    <mergeCell ref="J23:N23"/>
    <mergeCell ref="M25:N26"/>
    <mergeCell ref="J26:L26"/>
    <mergeCell ref="J27:L27"/>
    <mergeCell ref="M27:N27"/>
    <mergeCell ref="A24:N24"/>
    <mergeCell ref="A25:A26"/>
    <mergeCell ref="B25:B26"/>
    <mergeCell ref="C25:C26"/>
    <mergeCell ref="D25:D26"/>
    <mergeCell ref="E25:L25"/>
    <mergeCell ref="A28:N28"/>
    <mergeCell ref="A29:A30"/>
    <mergeCell ref="B29:B30"/>
    <mergeCell ref="C29:C30"/>
    <mergeCell ref="D29:D30"/>
    <mergeCell ref="E29:E30"/>
    <mergeCell ref="F29:K29"/>
    <mergeCell ref="L29:M29"/>
    <mergeCell ref="N29:N30"/>
    <mergeCell ref="A32:N32"/>
    <mergeCell ref="A33:A34"/>
    <mergeCell ref="B33:B34"/>
    <mergeCell ref="C33:C34"/>
    <mergeCell ref="D33:D34"/>
    <mergeCell ref="E33:E34"/>
    <mergeCell ref="F33:K33"/>
    <mergeCell ref="L33:M33"/>
    <mergeCell ref="N33:N34"/>
  </mergeCells>
  <hyperlinks>
    <hyperlink ref="A1:E1" location="'Structs'!A1" display="&lt;-Volver al inicio" xr:uid="{89E61714-30F1-4EB5-80D1-5AB1C8C8166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79C64E8-2B07-48A5-963C-C00A31E412A7}">
          <x14:formula1>
            <xm:f>Valores!$C$2:$C$7</xm:f>
          </x14:formula1>
          <xm:sqref>B9:D11</xm:sqref>
        </x14:dataValidation>
        <x14:dataValidation type="list" allowBlank="1" showInputMessage="1" showErrorMessage="1" xr:uid="{64FC0F12-4B1B-4D56-A756-CFE56E324268}">
          <x14:formula1>
            <xm:f>Valores!$L$2:$L$13</xm:f>
          </x14:formula1>
          <xm:sqref>L35</xm:sqref>
        </x14:dataValidation>
        <x14:dataValidation type="list" allowBlank="1" showInputMessage="1" showErrorMessage="1" xr:uid="{3C0C2124-E4A6-4F60-87AF-DB896A3194A6}">
          <x14:formula1>
            <xm:f>Valores!$J$2:$J$3</xm:f>
          </x14:formula1>
          <xm:sqref>H27 I31</xm:sqref>
        </x14:dataValidation>
        <x14:dataValidation type="list" allowBlank="1" showInputMessage="1" showErrorMessage="1" xr:uid="{213E0318-B0D4-45D9-A40B-C92EF0653A1D}">
          <x14:formula1>
            <xm:f>Valores!$H$2:$H$3</xm:f>
          </x14:formula1>
          <xm:sqref>F15:F23 C35</xm:sqref>
        </x14:dataValidation>
        <x14:dataValidation type="list" allowBlank="1" showInputMessage="1" showErrorMessage="1" xr:uid="{80932AB8-F9DD-4F35-8AE2-3D22384F2E7F}">
          <x14:formula1>
            <xm:f>Valores!$G$2:$G$12</xm:f>
          </x14:formula1>
          <xm:sqref>G35 F27 G31 L31 C15:C23</xm:sqref>
        </x14:dataValidation>
        <x14:dataValidation type="list" allowBlank="1" showInputMessage="1" showErrorMessage="1" xr:uid="{BAADEEE9-7F58-4CEB-949E-21613481374D}">
          <x14:formula1>
            <xm:f>Structs!$D$2</xm:f>
          </x14:formula1>
          <xm:sqref>A15:A23 B5:E5</xm:sqref>
        </x14:dataValidation>
        <x14:dataValidation type="list" allowBlank="1" showInputMessage="1" showErrorMessage="1" xr:uid="{18ED4EFD-56F3-43AD-AC90-155D2463EEEB}">
          <x14:formula1>
            <xm:f>Structs!$E$2</xm:f>
          </x14:formula1>
          <xm:sqref>B6:E6 E15:E23 I27 J31 D35 I35:J35</xm:sqref>
        </x14:dataValidation>
        <x14:dataValidation type="list" allowBlank="1" showInputMessage="1" showErrorMessage="1" xr:uid="{3C9BB544-ABD9-4DCC-9B18-E6F38C161020}">
          <x14:formula1>
            <xm:f>Structs!$D$2:$E$2</xm:f>
          </x14:formula1>
          <xm:sqref>A27 A31 A35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2205E-3E22-4EE6-BBEB-66E89275DBE1}">
  <dimension ref="A1:N39"/>
  <sheetViews>
    <sheetView zoomScale="55" zoomScaleNormal="55" workbookViewId="0">
      <pane ySplit="1" topLeftCell="A2" activePane="bottomLeft" state="frozen"/>
      <selection pane="bottomLeft" activeCell="D17" sqref="D17:D26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Structs!I6</f>
        <v>Motorcycle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Structs!B6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Structs!C6</f>
        <v>Estructura que representa una motocicleta registrada por un usuario. Incluye placa, referencia técnica, año, kilometraje y foto de perfil.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14" t="s">
        <v>82</v>
      </c>
      <c r="C9" s="115"/>
      <c r="D9" s="150"/>
      <c r="E9" s="53" t="str">
        <f>HYPERLINK("#'"&amp;F9&amp;"'!A1", F9)</f>
        <v>Person</v>
      </c>
      <c r="F9" s="55" t="s">
        <v>10</v>
      </c>
    </row>
    <row r="10" spans="1:14">
      <c r="A10" s="25" t="s">
        <v>81</v>
      </c>
      <c r="B10" s="114" t="s">
        <v>133</v>
      </c>
      <c r="C10" s="115"/>
      <c r="D10" s="150"/>
      <c r="E10" s="53" t="str">
        <f>HYPERLINK("#'"&amp;F10&amp;"'!A1", F10)</f>
        <v>MotorcycleReference</v>
      </c>
      <c r="F10" s="56" t="s">
        <v>20</v>
      </c>
    </row>
    <row r="11" spans="1:14">
      <c r="A11" s="25" t="s">
        <v>83</v>
      </c>
      <c r="B11" s="114" t="s">
        <v>82</v>
      </c>
      <c r="C11" s="115"/>
      <c r="D11" s="150"/>
      <c r="E11" s="53" t="str">
        <f>HYPERLINK("#'"&amp;F11&amp;"'!A1", F11)</f>
        <v>MotorcycleEvidence</v>
      </c>
      <c r="F11" s="56" t="s">
        <v>22</v>
      </c>
    </row>
    <row r="12" spans="1:14">
      <c r="A12" s="25" t="s">
        <v>83</v>
      </c>
      <c r="B12" s="114" t="s">
        <v>82</v>
      </c>
      <c r="C12" s="115"/>
      <c r="D12" s="150"/>
      <c r="E12" s="53" t="str">
        <f>HYPERLINK("#'"&amp;F12&amp;"'!A1", F12)</f>
        <v>Diagnostic</v>
      </c>
      <c r="F12" s="56" t="s">
        <v>32</v>
      </c>
    </row>
    <row r="13" spans="1:14">
      <c r="A13" s="25" t="s">
        <v>83</v>
      </c>
      <c r="B13" s="114" t="s">
        <v>82</v>
      </c>
      <c r="C13" s="115"/>
      <c r="D13" s="150"/>
      <c r="E13" s="53" t="str">
        <f>HYPERLINK("#'"&amp;F13&amp;"'!A1", F13)</f>
        <v>CompletedService</v>
      </c>
      <c r="F13" s="56" t="s">
        <v>36</v>
      </c>
    </row>
    <row r="14" spans="1:14">
      <c r="A14" s="25" t="s">
        <v>83</v>
      </c>
      <c r="B14" s="114" t="s">
        <v>82</v>
      </c>
      <c r="C14" s="115"/>
      <c r="D14" s="150"/>
      <c r="E14" s="53" t="str">
        <f>HYPERLINK("#'"&amp;F14&amp;"'!A1", F14)</f>
        <v>DiagnosticPermission</v>
      </c>
      <c r="F14" s="56" t="s">
        <v>34</v>
      </c>
    </row>
    <row r="15" spans="1:14">
      <c r="A15" s="124" t="s">
        <v>84</v>
      </c>
      <c r="B15" s="125"/>
      <c r="C15" s="125"/>
      <c r="D15" s="125"/>
      <c r="E15" s="126"/>
      <c r="F15" s="126"/>
      <c r="G15" s="125"/>
      <c r="H15" s="125"/>
      <c r="I15" s="125"/>
      <c r="J15" s="125"/>
      <c r="K15" s="125"/>
      <c r="L15" s="125"/>
      <c r="M15" s="125"/>
      <c r="N15" s="127"/>
    </row>
    <row r="16" spans="1:14">
      <c r="A16" s="128" t="s">
        <v>4</v>
      </c>
      <c r="B16" s="129" t="s">
        <v>85</v>
      </c>
      <c r="C16" s="129" t="s">
        <v>86</v>
      </c>
      <c r="D16" s="129"/>
      <c r="E16" s="129" t="s">
        <v>87</v>
      </c>
      <c r="F16" s="129" t="s">
        <v>88</v>
      </c>
      <c r="G16" s="130" t="s">
        <v>89</v>
      </c>
      <c r="H16" s="131"/>
      <c r="I16" s="132"/>
      <c r="J16" s="129" t="s">
        <v>90</v>
      </c>
      <c r="K16" s="129"/>
      <c r="L16" s="129"/>
      <c r="M16" s="129"/>
      <c r="N16" s="136"/>
    </row>
    <row r="17" spans="1:14">
      <c r="A17" s="128"/>
      <c r="B17" s="129"/>
      <c r="C17" s="10" t="s">
        <v>86</v>
      </c>
      <c r="D17" s="10" t="s">
        <v>91</v>
      </c>
      <c r="E17" s="129"/>
      <c r="F17" s="129"/>
      <c r="G17" s="133"/>
      <c r="H17" s="134"/>
      <c r="I17" s="135"/>
      <c r="J17" s="129"/>
      <c r="K17" s="129"/>
      <c r="L17" s="129"/>
      <c r="M17" s="129"/>
      <c r="N17" s="136"/>
    </row>
    <row r="18" spans="1:14">
      <c r="A18" s="6" t="s">
        <v>8</v>
      </c>
      <c r="B18" s="26" t="s">
        <v>92</v>
      </c>
      <c r="C18" s="24" t="s">
        <v>134</v>
      </c>
      <c r="D18" s="24" t="s">
        <v>135</v>
      </c>
      <c r="E18" s="3" t="s">
        <v>9</v>
      </c>
      <c r="F18" s="3" t="s">
        <v>94</v>
      </c>
      <c r="G18" s="24" t="s">
        <v>95</v>
      </c>
      <c r="H18" s="33"/>
      <c r="I18" s="34"/>
      <c r="J18" s="114" t="s">
        <v>165</v>
      </c>
      <c r="K18" s="115"/>
      <c r="L18" s="115"/>
      <c r="M18" s="115"/>
      <c r="N18" s="117"/>
    </row>
    <row r="19" spans="1:14">
      <c r="A19" s="6" t="s">
        <v>8</v>
      </c>
      <c r="B19" s="27" t="s">
        <v>189</v>
      </c>
      <c r="C19" s="25" t="s">
        <v>134</v>
      </c>
      <c r="D19" s="25" t="s">
        <v>135</v>
      </c>
      <c r="E19" s="3" t="s">
        <v>9</v>
      </c>
      <c r="F19" s="3" t="s">
        <v>94</v>
      </c>
      <c r="G19" s="25" t="s">
        <v>95</v>
      </c>
      <c r="H19" s="33"/>
      <c r="I19" s="34"/>
      <c r="J19" s="114" t="s">
        <v>190</v>
      </c>
      <c r="K19" s="115"/>
      <c r="L19" s="115"/>
      <c r="M19" s="115"/>
      <c r="N19" s="117"/>
    </row>
    <row r="20" spans="1:14">
      <c r="A20" s="6" t="s">
        <v>8</v>
      </c>
      <c r="B20" s="27" t="s">
        <v>191</v>
      </c>
      <c r="C20" s="25" t="s">
        <v>134</v>
      </c>
      <c r="D20" s="25" t="s">
        <v>135</v>
      </c>
      <c r="E20" s="3" t="s">
        <v>9</v>
      </c>
      <c r="F20" s="3" t="s">
        <v>94</v>
      </c>
      <c r="G20" s="25" t="s">
        <v>95</v>
      </c>
      <c r="H20" s="33"/>
      <c r="I20" s="34"/>
      <c r="J20" s="114" t="s">
        <v>192</v>
      </c>
      <c r="K20" s="115"/>
      <c r="L20" s="115"/>
      <c r="M20" s="115"/>
      <c r="N20" s="117"/>
    </row>
    <row r="21" spans="1:14">
      <c r="A21" s="6" t="s">
        <v>8</v>
      </c>
      <c r="B21" s="27" t="s">
        <v>193</v>
      </c>
      <c r="C21" s="25" t="s">
        <v>134</v>
      </c>
      <c r="D21" s="25" t="s">
        <v>135</v>
      </c>
      <c r="E21" s="3" t="s">
        <v>9</v>
      </c>
      <c r="F21" s="3" t="s">
        <v>94</v>
      </c>
      <c r="G21" s="25" t="s">
        <v>95</v>
      </c>
      <c r="H21" s="33"/>
      <c r="I21" s="34"/>
      <c r="J21" s="114" t="s">
        <v>194</v>
      </c>
      <c r="K21" s="115"/>
      <c r="L21" s="115"/>
      <c r="M21" s="115"/>
      <c r="N21" s="117"/>
    </row>
    <row r="22" spans="1:14">
      <c r="A22" s="6" t="s">
        <v>8</v>
      </c>
      <c r="B22" s="27" t="s">
        <v>195</v>
      </c>
      <c r="C22" s="25" t="s">
        <v>196</v>
      </c>
      <c r="D22" s="25" t="s">
        <v>135</v>
      </c>
      <c r="E22" s="3" t="s">
        <v>9</v>
      </c>
      <c r="F22" s="3" t="s">
        <v>94</v>
      </c>
      <c r="G22" s="25" t="s">
        <v>140</v>
      </c>
      <c r="H22" s="33"/>
      <c r="I22" s="34"/>
      <c r="J22" s="114" t="s">
        <v>197</v>
      </c>
      <c r="K22" s="115"/>
      <c r="L22" s="115"/>
      <c r="M22" s="115"/>
      <c r="N22" s="117"/>
    </row>
    <row r="23" spans="1:14">
      <c r="A23" s="6" t="s">
        <v>8</v>
      </c>
      <c r="B23" s="27" t="s">
        <v>198</v>
      </c>
      <c r="C23" s="25" t="s">
        <v>196</v>
      </c>
      <c r="D23" s="25"/>
      <c r="E23" s="3" t="s">
        <v>9</v>
      </c>
      <c r="F23" s="3" t="s">
        <v>94</v>
      </c>
      <c r="G23" s="25" t="s">
        <v>140</v>
      </c>
      <c r="H23" s="33"/>
      <c r="I23" s="34"/>
      <c r="J23" s="114" t="s">
        <v>199</v>
      </c>
      <c r="K23" s="115"/>
      <c r="L23" s="115"/>
      <c r="M23" s="115"/>
      <c r="N23" s="117"/>
    </row>
    <row r="24" spans="1:14">
      <c r="A24" s="6" t="s">
        <v>8</v>
      </c>
      <c r="B24" s="27" t="s">
        <v>200</v>
      </c>
      <c r="C24" s="25" t="s">
        <v>134</v>
      </c>
      <c r="D24" s="25"/>
      <c r="E24" s="3" t="s">
        <v>9</v>
      </c>
      <c r="F24" s="3" t="s">
        <v>94</v>
      </c>
      <c r="G24" s="25" t="s">
        <v>140</v>
      </c>
      <c r="H24" s="33"/>
      <c r="I24" s="34"/>
      <c r="J24" s="114" t="s">
        <v>201</v>
      </c>
      <c r="K24" s="115"/>
      <c r="L24" s="115"/>
      <c r="M24" s="115"/>
      <c r="N24" s="117"/>
    </row>
    <row r="25" spans="1:14">
      <c r="A25" s="6" t="s">
        <v>8</v>
      </c>
      <c r="B25" s="27" t="s">
        <v>147</v>
      </c>
      <c r="C25" s="25" t="s">
        <v>93</v>
      </c>
      <c r="D25" s="25"/>
      <c r="E25" s="3" t="s">
        <v>9</v>
      </c>
      <c r="F25" s="3" t="s">
        <v>94</v>
      </c>
      <c r="G25" s="25" t="s">
        <v>140</v>
      </c>
      <c r="H25" s="33"/>
      <c r="I25" s="34"/>
      <c r="J25" s="114" t="s">
        <v>202</v>
      </c>
      <c r="K25" s="115"/>
      <c r="L25" s="115"/>
      <c r="M25" s="115"/>
      <c r="N25" s="117"/>
    </row>
    <row r="26" spans="1:14" ht="15.75" customHeight="1">
      <c r="A26" s="6" t="s">
        <v>8</v>
      </c>
      <c r="B26" s="27" t="s">
        <v>203</v>
      </c>
      <c r="C26" s="25" t="s">
        <v>111</v>
      </c>
      <c r="D26" s="25" t="s">
        <v>204</v>
      </c>
      <c r="E26" s="3" t="s">
        <v>9</v>
      </c>
      <c r="F26" s="3" t="s">
        <v>94</v>
      </c>
      <c r="G26" s="25" t="s">
        <v>140</v>
      </c>
      <c r="H26" s="33"/>
      <c r="I26" s="34"/>
      <c r="J26" s="114" t="s">
        <v>205</v>
      </c>
      <c r="K26" s="115"/>
      <c r="L26" s="115"/>
      <c r="M26" s="115"/>
      <c r="N26" s="117"/>
    </row>
    <row r="27" spans="1:14">
      <c r="A27" s="118" t="s">
        <v>115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20"/>
    </row>
    <row r="28" spans="1:14">
      <c r="A28" s="121" t="s">
        <v>4</v>
      </c>
      <c r="B28" s="122" t="s">
        <v>85</v>
      </c>
      <c r="C28" s="122" t="s">
        <v>116</v>
      </c>
      <c r="D28" s="122" t="s">
        <v>117</v>
      </c>
      <c r="E28" s="122" t="s">
        <v>118</v>
      </c>
      <c r="F28" s="122"/>
      <c r="G28" s="122"/>
      <c r="H28" s="122"/>
      <c r="I28" s="122"/>
      <c r="J28" s="122"/>
      <c r="K28" s="122"/>
      <c r="L28" s="122"/>
      <c r="M28" s="122" t="s">
        <v>119</v>
      </c>
      <c r="N28" s="123"/>
    </row>
    <row r="29" spans="1:14">
      <c r="A29" s="121"/>
      <c r="B29" s="122"/>
      <c r="C29" s="122"/>
      <c r="D29" s="122"/>
      <c r="E29" s="11" t="s">
        <v>85</v>
      </c>
      <c r="F29" s="11" t="s">
        <v>86</v>
      </c>
      <c r="G29" s="11" t="s">
        <v>91</v>
      </c>
      <c r="H29" s="11" t="s">
        <v>120</v>
      </c>
      <c r="I29" s="11" t="s">
        <v>87</v>
      </c>
      <c r="J29" s="122" t="s">
        <v>117</v>
      </c>
      <c r="K29" s="122"/>
      <c r="L29" s="122"/>
      <c r="M29" s="122"/>
      <c r="N29" s="123"/>
    </row>
    <row r="30" spans="1:14" ht="27">
      <c r="A30" s="6" t="s">
        <v>9</v>
      </c>
      <c r="B30" s="26" t="s">
        <v>18</v>
      </c>
      <c r="C30" s="28" t="s">
        <v>121</v>
      </c>
      <c r="D30" s="28" t="s">
        <v>122</v>
      </c>
      <c r="E30" s="3"/>
      <c r="F30" s="3"/>
      <c r="G30" s="3"/>
      <c r="H30" s="3"/>
      <c r="I30" s="3"/>
      <c r="J30" s="106"/>
      <c r="K30" s="107"/>
      <c r="L30" s="108"/>
      <c r="M30" s="106"/>
      <c r="N30" s="109"/>
    </row>
    <row r="31" spans="1:14">
      <c r="A31" s="6" t="s">
        <v>8</v>
      </c>
      <c r="B31" s="26" t="s">
        <v>123</v>
      </c>
      <c r="C31" s="28" t="s">
        <v>124</v>
      </c>
      <c r="D31" s="28" t="s">
        <v>125</v>
      </c>
      <c r="E31" s="3"/>
      <c r="F31" s="3"/>
      <c r="G31" s="3"/>
      <c r="H31" s="3" t="s">
        <v>9</v>
      </c>
      <c r="I31" s="3" t="s">
        <v>9</v>
      </c>
      <c r="J31" s="106" t="s">
        <v>165</v>
      </c>
      <c r="K31" s="107"/>
      <c r="L31" s="108"/>
      <c r="M31" s="106"/>
      <c r="N31" s="109"/>
    </row>
    <row r="32" spans="1:14">
      <c r="A32" s="110" t="s">
        <v>126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2"/>
    </row>
    <row r="33" spans="1:14">
      <c r="A33" s="113" t="s">
        <v>4</v>
      </c>
      <c r="B33" s="100" t="s">
        <v>85</v>
      </c>
      <c r="C33" s="100" t="s">
        <v>127</v>
      </c>
      <c r="D33" s="100" t="s">
        <v>128</v>
      </c>
      <c r="E33" s="100" t="s">
        <v>117</v>
      </c>
      <c r="F33" s="100" t="s">
        <v>118</v>
      </c>
      <c r="G33" s="100"/>
      <c r="H33" s="100"/>
      <c r="I33" s="100"/>
      <c r="J33" s="100"/>
      <c r="K33" s="100"/>
      <c r="L33" s="100" t="s">
        <v>129</v>
      </c>
      <c r="M33" s="100"/>
      <c r="N33" s="101" t="s">
        <v>119</v>
      </c>
    </row>
    <row r="34" spans="1:14">
      <c r="A34" s="113"/>
      <c r="B34" s="100"/>
      <c r="C34" s="100"/>
      <c r="D34" s="100"/>
      <c r="E34" s="100"/>
      <c r="F34" s="12" t="s">
        <v>85</v>
      </c>
      <c r="G34" s="12" t="s">
        <v>86</v>
      </c>
      <c r="H34" s="12" t="s">
        <v>91</v>
      </c>
      <c r="I34" s="12" t="s">
        <v>120</v>
      </c>
      <c r="J34" s="12" t="s">
        <v>87</v>
      </c>
      <c r="K34" s="12" t="s">
        <v>117</v>
      </c>
      <c r="L34" s="12" t="s">
        <v>86</v>
      </c>
      <c r="M34" s="12" t="s">
        <v>91</v>
      </c>
      <c r="N34" s="101"/>
    </row>
    <row r="35" spans="1:14">
      <c r="A35" s="6" t="s">
        <v>9</v>
      </c>
      <c r="B35" s="24" t="s">
        <v>9</v>
      </c>
      <c r="C35" s="28" t="s">
        <v>9</v>
      </c>
      <c r="D35" s="28" t="s">
        <v>9</v>
      </c>
      <c r="E35" s="3" t="s">
        <v>130</v>
      </c>
      <c r="F35" s="3"/>
      <c r="G35" s="3"/>
      <c r="H35" s="3"/>
      <c r="I35" s="3"/>
      <c r="J35" s="3"/>
      <c r="K35" s="3"/>
      <c r="L35" s="3"/>
      <c r="M35" s="3"/>
      <c r="N35" s="7"/>
    </row>
    <row r="36" spans="1:14">
      <c r="A36" s="102" t="s">
        <v>131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4"/>
    </row>
    <row r="37" spans="1:14">
      <c r="A37" s="105" t="s">
        <v>4</v>
      </c>
      <c r="B37" s="98" t="s">
        <v>85</v>
      </c>
      <c r="C37" s="98" t="s">
        <v>132</v>
      </c>
      <c r="D37" s="98" t="s">
        <v>128</v>
      </c>
      <c r="E37" s="98" t="s">
        <v>117</v>
      </c>
      <c r="F37" s="98" t="s">
        <v>118</v>
      </c>
      <c r="G37" s="98"/>
      <c r="H37" s="98"/>
      <c r="I37" s="98"/>
      <c r="J37" s="98"/>
      <c r="K37" s="98"/>
      <c r="L37" s="98" t="s">
        <v>129</v>
      </c>
      <c r="M37" s="98"/>
      <c r="N37" s="99" t="s">
        <v>119</v>
      </c>
    </row>
    <row r="38" spans="1:14">
      <c r="A38" s="105"/>
      <c r="B38" s="98"/>
      <c r="C38" s="98"/>
      <c r="D38" s="98"/>
      <c r="E38" s="98"/>
      <c r="F38" s="13" t="s">
        <v>85</v>
      </c>
      <c r="G38" s="13" t="s">
        <v>86</v>
      </c>
      <c r="H38" s="13" t="s">
        <v>91</v>
      </c>
      <c r="I38" s="13" t="s">
        <v>120</v>
      </c>
      <c r="J38" s="13" t="s">
        <v>87</v>
      </c>
      <c r="K38" s="13" t="s">
        <v>117</v>
      </c>
      <c r="L38" s="13" t="s">
        <v>86</v>
      </c>
      <c r="M38" s="13" t="s">
        <v>91</v>
      </c>
      <c r="N38" s="99"/>
    </row>
    <row r="39" spans="1:14">
      <c r="A39" s="6" t="s">
        <v>8</v>
      </c>
      <c r="B39" s="26" t="s">
        <v>123</v>
      </c>
      <c r="C39" s="3" t="s">
        <v>94</v>
      </c>
      <c r="D39" s="3" t="s">
        <v>9</v>
      </c>
      <c r="E39" s="24" t="s">
        <v>125</v>
      </c>
      <c r="F39" s="3"/>
      <c r="G39" s="3"/>
      <c r="H39" s="3"/>
      <c r="I39" s="3" t="s">
        <v>9</v>
      </c>
      <c r="J39" s="3" t="s">
        <v>9</v>
      </c>
      <c r="K39" s="3"/>
      <c r="L39" s="3" t="s">
        <v>158</v>
      </c>
      <c r="M39" s="3"/>
      <c r="N39" s="7"/>
    </row>
  </sheetData>
  <mergeCells count="61">
    <mergeCell ref="A36:N36"/>
    <mergeCell ref="A37:A38"/>
    <mergeCell ref="B37:B38"/>
    <mergeCell ref="C37:C38"/>
    <mergeCell ref="D37:D38"/>
    <mergeCell ref="E37:E38"/>
    <mergeCell ref="F37:K37"/>
    <mergeCell ref="L37:M37"/>
    <mergeCell ref="N37:N38"/>
    <mergeCell ref="E33:E34"/>
    <mergeCell ref="J30:L30"/>
    <mergeCell ref="M30:N30"/>
    <mergeCell ref="J31:L31"/>
    <mergeCell ref="M31:N31"/>
    <mergeCell ref="A32:N32"/>
    <mergeCell ref="F33:K33"/>
    <mergeCell ref="L33:M33"/>
    <mergeCell ref="N33:N34"/>
    <mergeCell ref="A33:A34"/>
    <mergeCell ref="B33:B34"/>
    <mergeCell ref="C33:C34"/>
    <mergeCell ref="D33:D34"/>
    <mergeCell ref="A27:N27"/>
    <mergeCell ref="A28:A29"/>
    <mergeCell ref="B28:B29"/>
    <mergeCell ref="C28:C29"/>
    <mergeCell ref="D28:D29"/>
    <mergeCell ref="E28:L28"/>
    <mergeCell ref="M28:N29"/>
    <mergeCell ref="J29:L29"/>
    <mergeCell ref="J24:N24"/>
    <mergeCell ref="J25:N25"/>
    <mergeCell ref="J26:N26"/>
    <mergeCell ref="J21:N21"/>
    <mergeCell ref="J22:N22"/>
    <mergeCell ref="J23:N23"/>
    <mergeCell ref="J18:N18"/>
    <mergeCell ref="J19:N19"/>
    <mergeCell ref="J20:N20"/>
    <mergeCell ref="A15:N15"/>
    <mergeCell ref="A16:A17"/>
    <mergeCell ref="B16:B17"/>
    <mergeCell ref="C16:D16"/>
    <mergeCell ref="E16:E17"/>
    <mergeCell ref="F16:F17"/>
    <mergeCell ref="G16:I17"/>
    <mergeCell ref="J16:N17"/>
    <mergeCell ref="B13:D13"/>
    <mergeCell ref="B14:D14"/>
    <mergeCell ref="A7:E7"/>
    <mergeCell ref="B8:D8"/>
    <mergeCell ref="B9:D9"/>
    <mergeCell ref="B10:D10"/>
    <mergeCell ref="B11:D11"/>
    <mergeCell ref="B12:D12"/>
    <mergeCell ref="B6:E6"/>
    <mergeCell ref="A1:E1"/>
    <mergeCell ref="B2:E2"/>
    <mergeCell ref="B3:E3"/>
    <mergeCell ref="B4:E4"/>
    <mergeCell ref="B5:E5"/>
  </mergeCells>
  <hyperlinks>
    <hyperlink ref="A1:E1" location="'Structs'!A1" display="&lt;-Volver al inicio" xr:uid="{187E66E9-C792-49FC-B958-5947A398207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361A995-3C02-4502-9BFF-0597D0E073DF}">
          <x14:formula1>
            <xm:f>Valores!$C$2:$C$7</xm:f>
          </x14:formula1>
          <xm:sqref>C10:D14</xm:sqref>
        </x14:dataValidation>
        <x14:dataValidation type="list" allowBlank="1" showInputMessage="1" showErrorMessage="1" xr:uid="{2805D33D-D1EA-495C-A13C-992E5A289E28}">
          <x14:formula1>
            <xm:f>Valores!$L$2:$L$13</xm:f>
          </x14:formula1>
          <xm:sqref>L39</xm:sqref>
        </x14:dataValidation>
        <x14:dataValidation type="list" allowBlank="1" showInputMessage="1" showErrorMessage="1" xr:uid="{4D6F55F5-322E-442E-A24E-D404A04D4ABA}">
          <x14:formula1>
            <xm:f>Valores!$J$2:$J$3</xm:f>
          </x14:formula1>
          <xm:sqref>H30 I35</xm:sqref>
        </x14:dataValidation>
        <x14:dataValidation type="list" allowBlank="1" showInputMessage="1" showErrorMessage="1" xr:uid="{F7EE7949-3195-4B76-B3E4-BB04A720468E}">
          <x14:formula1>
            <xm:f>Valores!$H$2:$H$3</xm:f>
          </x14:formula1>
          <xm:sqref>F18:F26 C39</xm:sqref>
        </x14:dataValidation>
        <x14:dataValidation type="list" allowBlank="1" showInputMessage="1" showErrorMessage="1" xr:uid="{BC43E010-1186-4E9B-95D7-B83547283CE0}">
          <x14:formula1>
            <xm:f>Valores!$G$2:$G$12</xm:f>
          </x14:formula1>
          <xm:sqref>G39 F30:F31 G35 L35 C18:C26</xm:sqref>
        </x14:dataValidation>
        <x14:dataValidation type="list" allowBlank="1" showInputMessage="1" showErrorMessage="1" xr:uid="{2F0F5BB9-32E9-434B-8240-6CE5DB6BEB92}">
          <x14:formula1>
            <xm:f>Structs!$D$2</xm:f>
          </x14:formula1>
          <xm:sqref>A18:A26 B5:E5</xm:sqref>
        </x14:dataValidation>
        <x14:dataValidation type="list" allowBlank="1" showInputMessage="1" showErrorMessage="1" xr:uid="{1343E31B-ED8C-4277-9C54-C4C0FAC7DAAD}">
          <x14:formula1>
            <xm:f>Structs!$E$2</xm:f>
          </x14:formula1>
          <xm:sqref>B6:E6 H31 E18:E26 I30:I31 J35 D39 I39:J39</xm:sqref>
        </x14:dataValidation>
        <x14:dataValidation type="list" allowBlank="1" showInputMessage="1" showErrorMessage="1" xr:uid="{3195B765-75B4-4FC9-BC4F-C830625F99FF}">
          <x14:formula1>
            <xm:f>Structs!$D$2:$E$2</xm:f>
          </x14:formula1>
          <xm:sqref>A30:A31 A35 A39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A86F-24C6-4C3E-B610-CFEB2DBD7521}">
  <dimension ref="A1:N31"/>
  <sheetViews>
    <sheetView zoomScale="55" zoomScaleNormal="55" workbookViewId="0">
      <pane ySplit="1" topLeftCell="D2" activePane="bottomLeft" state="frozen"/>
      <selection pane="bottomLeft" activeCell="D35" sqref="D35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Structs!I7</f>
        <v>MotorcycleReference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Structs!B7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Structs!C7</f>
        <v>Estructura que representa la referencia técnica de una motocicleta, incluyendo marca, modelo, categoría y cilindraje del motor.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14" t="s">
        <v>82</v>
      </c>
      <c r="C9" s="115"/>
      <c r="D9" s="150"/>
      <c r="E9" s="53" t="str">
        <f>HYPERLINK("#'"&amp;F9&amp;"'!A1", F9)</f>
        <v>Brand</v>
      </c>
      <c r="F9" s="55" t="s">
        <v>24</v>
      </c>
    </row>
    <row r="10" spans="1:14">
      <c r="A10" s="25" t="s">
        <v>81</v>
      </c>
      <c r="B10" s="114" t="s">
        <v>133</v>
      </c>
      <c r="C10" s="115"/>
      <c r="D10" s="150"/>
      <c r="E10" s="53" t="str">
        <f>HYPERLINK("#'"&amp;F10&amp;"'!A1", F10)</f>
        <v>Motorcycle</v>
      </c>
      <c r="F10" s="56" t="s">
        <v>18</v>
      </c>
    </row>
    <row r="11" spans="1:14">
      <c r="A11" s="124" t="s">
        <v>84</v>
      </c>
      <c r="B11" s="125"/>
      <c r="C11" s="125"/>
      <c r="D11" s="125"/>
      <c r="E11" s="126"/>
      <c r="F11" s="126"/>
      <c r="G11" s="125"/>
      <c r="H11" s="125"/>
      <c r="I11" s="125"/>
      <c r="J11" s="125"/>
      <c r="K11" s="125"/>
      <c r="L11" s="125"/>
      <c r="M11" s="125"/>
      <c r="N11" s="127"/>
    </row>
    <row r="12" spans="1:14">
      <c r="A12" s="128" t="s">
        <v>4</v>
      </c>
      <c r="B12" s="129" t="s">
        <v>85</v>
      </c>
      <c r="C12" s="129" t="s">
        <v>86</v>
      </c>
      <c r="D12" s="129"/>
      <c r="E12" s="129" t="s">
        <v>87</v>
      </c>
      <c r="F12" s="129" t="s">
        <v>88</v>
      </c>
      <c r="G12" s="130" t="s">
        <v>89</v>
      </c>
      <c r="H12" s="131"/>
      <c r="I12" s="132"/>
      <c r="J12" s="129" t="s">
        <v>90</v>
      </c>
      <c r="K12" s="129"/>
      <c r="L12" s="129"/>
      <c r="M12" s="129"/>
      <c r="N12" s="136"/>
    </row>
    <row r="13" spans="1:14">
      <c r="A13" s="128"/>
      <c r="B13" s="129"/>
      <c r="C13" s="10" t="s">
        <v>86</v>
      </c>
      <c r="D13" s="10" t="s">
        <v>91</v>
      </c>
      <c r="E13" s="129"/>
      <c r="F13" s="129"/>
      <c r="G13" s="133"/>
      <c r="H13" s="134"/>
      <c r="I13" s="135"/>
      <c r="J13" s="129"/>
      <c r="K13" s="129"/>
      <c r="L13" s="129"/>
      <c r="M13" s="129"/>
      <c r="N13" s="136"/>
    </row>
    <row r="14" spans="1:14">
      <c r="A14" s="6" t="s">
        <v>8</v>
      </c>
      <c r="B14" s="26" t="s">
        <v>92</v>
      </c>
      <c r="C14" s="24" t="s">
        <v>134</v>
      </c>
      <c r="D14" s="24" t="s">
        <v>135</v>
      </c>
      <c r="E14" s="3" t="s">
        <v>9</v>
      </c>
      <c r="F14" s="3" t="s">
        <v>94</v>
      </c>
      <c r="G14" s="24" t="s">
        <v>95</v>
      </c>
      <c r="H14" s="33"/>
      <c r="I14" s="34"/>
      <c r="J14" s="114" t="s">
        <v>165</v>
      </c>
      <c r="K14" s="115"/>
      <c r="L14" s="115"/>
      <c r="M14" s="115"/>
      <c r="N14" s="117"/>
    </row>
    <row r="15" spans="1:14">
      <c r="A15" s="6" t="s">
        <v>8</v>
      </c>
      <c r="B15" s="27" t="s">
        <v>206</v>
      </c>
      <c r="C15" s="25" t="s">
        <v>134</v>
      </c>
      <c r="D15" s="25" t="s">
        <v>135</v>
      </c>
      <c r="E15" s="3" t="s">
        <v>9</v>
      </c>
      <c r="F15" s="3" t="s">
        <v>94</v>
      </c>
      <c r="G15" s="25" t="s">
        <v>95</v>
      </c>
      <c r="H15" s="33"/>
      <c r="I15" s="34"/>
      <c r="J15" s="114" t="s">
        <v>207</v>
      </c>
      <c r="K15" s="115"/>
      <c r="L15" s="115"/>
      <c r="M15" s="115"/>
      <c r="N15" s="117"/>
    </row>
    <row r="16" spans="1:14">
      <c r="A16" s="6" t="s">
        <v>8</v>
      </c>
      <c r="B16" s="27" t="s">
        <v>208</v>
      </c>
      <c r="C16" s="25" t="s">
        <v>134</v>
      </c>
      <c r="D16" s="25" t="s">
        <v>135</v>
      </c>
      <c r="E16" s="3" t="s">
        <v>9</v>
      </c>
      <c r="F16" s="3" t="s">
        <v>94</v>
      </c>
      <c r="G16" s="25" t="s">
        <v>95</v>
      </c>
      <c r="H16" s="33"/>
      <c r="I16" s="34"/>
      <c r="J16" s="114" t="s">
        <v>209</v>
      </c>
      <c r="K16" s="115"/>
      <c r="L16" s="115"/>
      <c r="M16" s="115"/>
      <c r="N16" s="117"/>
    </row>
    <row r="17" spans="1:14">
      <c r="A17" s="6" t="s">
        <v>8</v>
      </c>
      <c r="B17" s="27" t="s">
        <v>210</v>
      </c>
      <c r="C17" s="25" t="s">
        <v>134</v>
      </c>
      <c r="D17" s="25" t="s">
        <v>135</v>
      </c>
      <c r="E17" s="3" t="s">
        <v>9</v>
      </c>
      <c r="F17" s="3" t="s">
        <v>94</v>
      </c>
      <c r="G17" s="25" t="s">
        <v>95</v>
      </c>
      <c r="H17" s="33"/>
      <c r="I17" s="34"/>
      <c r="J17" s="114" t="s">
        <v>211</v>
      </c>
      <c r="K17" s="115"/>
      <c r="L17" s="115"/>
      <c r="M17" s="115"/>
      <c r="N17" s="117"/>
    </row>
    <row r="18" spans="1:14">
      <c r="A18" s="6" t="s">
        <v>8</v>
      </c>
      <c r="B18" s="27" t="s">
        <v>212</v>
      </c>
      <c r="C18" s="25" t="s">
        <v>93</v>
      </c>
      <c r="D18" s="25" t="s">
        <v>135</v>
      </c>
      <c r="E18" s="3" t="s">
        <v>9</v>
      </c>
      <c r="F18" s="3" t="s">
        <v>94</v>
      </c>
      <c r="G18" s="25" t="s">
        <v>140</v>
      </c>
      <c r="H18" s="33"/>
      <c r="I18" s="34"/>
      <c r="J18" s="114" t="s">
        <v>213</v>
      </c>
      <c r="K18" s="115"/>
      <c r="L18" s="115"/>
      <c r="M18" s="115"/>
      <c r="N18" s="117"/>
    </row>
    <row r="19" spans="1:14" ht="25.5">
      <c r="A19" s="6" t="s">
        <v>8</v>
      </c>
      <c r="B19" s="27" t="s">
        <v>214</v>
      </c>
      <c r="C19" s="25" t="s">
        <v>196</v>
      </c>
      <c r="D19" s="25"/>
      <c r="E19" s="3" t="s">
        <v>9</v>
      </c>
      <c r="F19" s="3" t="s">
        <v>94</v>
      </c>
      <c r="G19" s="25">
        <v>0</v>
      </c>
      <c r="H19" s="33"/>
      <c r="I19" s="34"/>
      <c r="J19" s="114" t="s">
        <v>215</v>
      </c>
      <c r="K19" s="115"/>
      <c r="L19" s="115"/>
      <c r="M19" s="115"/>
      <c r="N19" s="117"/>
    </row>
    <row r="20" spans="1:14">
      <c r="A20" s="118" t="s">
        <v>115</v>
      </c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20"/>
    </row>
    <row r="21" spans="1:14">
      <c r="A21" s="121" t="s">
        <v>4</v>
      </c>
      <c r="B21" s="122" t="s">
        <v>85</v>
      </c>
      <c r="C21" s="122" t="s">
        <v>116</v>
      </c>
      <c r="D21" s="122" t="s">
        <v>117</v>
      </c>
      <c r="E21" s="122" t="s">
        <v>118</v>
      </c>
      <c r="F21" s="122"/>
      <c r="G21" s="122"/>
      <c r="H21" s="122"/>
      <c r="I21" s="122"/>
      <c r="J21" s="122"/>
      <c r="K21" s="122"/>
      <c r="L21" s="122"/>
      <c r="M21" s="122" t="s">
        <v>119</v>
      </c>
      <c r="N21" s="123"/>
    </row>
    <row r="22" spans="1:14">
      <c r="A22" s="121"/>
      <c r="B22" s="122"/>
      <c r="C22" s="122"/>
      <c r="D22" s="122"/>
      <c r="E22" s="11" t="s">
        <v>85</v>
      </c>
      <c r="F22" s="11" t="s">
        <v>86</v>
      </c>
      <c r="G22" s="11" t="s">
        <v>91</v>
      </c>
      <c r="H22" s="11" t="s">
        <v>120</v>
      </c>
      <c r="I22" s="11" t="s">
        <v>87</v>
      </c>
      <c r="J22" s="122" t="s">
        <v>117</v>
      </c>
      <c r="K22" s="122"/>
      <c r="L22" s="122"/>
      <c r="M22" s="122"/>
      <c r="N22" s="123"/>
    </row>
    <row r="23" spans="1:14" ht="27">
      <c r="A23" s="6" t="s">
        <v>9</v>
      </c>
      <c r="B23" s="26" t="str">
        <f>B2</f>
        <v>MotorcycleReference</v>
      </c>
      <c r="C23" s="28" t="s">
        <v>121</v>
      </c>
      <c r="D23" s="28" t="s">
        <v>122</v>
      </c>
      <c r="E23" s="3"/>
      <c r="F23" s="3"/>
      <c r="G23" s="3"/>
      <c r="H23" s="3"/>
      <c r="I23" s="3"/>
      <c r="J23" s="106"/>
      <c r="K23" s="107"/>
      <c r="L23" s="108"/>
      <c r="M23" s="106"/>
      <c r="N23" s="109"/>
    </row>
    <row r="24" spans="1:14">
      <c r="A24" s="110" t="s">
        <v>126</v>
      </c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2"/>
    </row>
    <row r="25" spans="1:14">
      <c r="A25" s="113" t="s">
        <v>4</v>
      </c>
      <c r="B25" s="100" t="s">
        <v>85</v>
      </c>
      <c r="C25" s="100" t="s">
        <v>127</v>
      </c>
      <c r="D25" s="100" t="s">
        <v>128</v>
      </c>
      <c r="E25" s="100" t="s">
        <v>117</v>
      </c>
      <c r="F25" s="100" t="s">
        <v>118</v>
      </c>
      <c r="G25" s="100"/>
      <c r="H25" s="100"/>
      <c r="I25" s="100"/>
      <c r="J25" s="100"/>
      <c r="K25" s="100"/>
      <c r="L25" s="100" t="s">
        <v>129</v>
      </c>
      <c r="M25" s="100"/>
      <c r="N25" s="101" t="s">
        <v>119</v>
      </c>
    </row>
    <row r="26" spans="1:14">
      <c r="A26" s="113"/>
      <c r="B26" s="100"/>
      <c r="C26" s="100"/>
      <c r="D26" s="100"/>
      <c r="E26" s="100"/>
      <c r="F26" s="12" t="s">
        <v>85</v>
      </c>
      <c r="G26" s="12" t="s">
        <v>86</v>
      </c>
      <c r="H26" s="12" t="s">
        <v>91</v>
      </c>
      <c r="I26" s="12" t="s">
        <v>120</v>
      </c>
      <c r="J26" s="12" t="s">
        <v>87</v>
      </c>
      <c r="K26" s="12" t="s">
        <v>117</v>
      </c>
      <c r="L26" s="12" t="s">
        <v>86</v>
      </c>
      <c r="M26" s="12" t="s">
        <v>91</v>
      </c>
      <c r="N26" s="101"/>
    </row>
    <row r="27" spans="1:14">
      <c r="A27" s="6" t="s">
        <v>9</v>
      </c>
      <c r="B27" s="24" t="s">
        <v>9</v>
      </c>
      <c r="C27" s="28" t="s">
        <v>9</v>
      </c>
      <c r="D27" s="28" t="s">
        <v>9</v>
      </c>
      <c r="E27" s="3" t="s">
        <v>130</v>
      </c>
      <c r="F27" s="3"/>
      <c r="G27" s="3"/>
      <c r="H27" s="3"/>
      <c r="I27" s="3"/>
      <c r="J27" s="3"/>
      <c r="K27" s="3"/>
      <c r="L27" s="3"/>
      <c r="M27" s="3"/>
      <c r="N27" s="7"/>
    </row>
    <row r="28" spans="1:14">
      <c r="A28" s="102" t="s">
        <v>131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4"/>
    </row>
    <row r="29" spans="1:14">
      <c r="A29" s="105" t="s">
        <v>4</v>
      </c>
      <c r="B29" s="98" t="s">
        <v>85</v>
      </c>
      <c r="C29" s="98" t="s">
        <v>132</v>
      </c>
      <c r="D29" s="98" t="s">
        <v>128</v>
      </c>
      <c r="E29" s="98" t="s">
        <v>117</v>
      </c>
      <c r="F29" s="98" t="s">
        <v>118</v>
      </c>
      <c r="G29" s="98"/>
      <c r="H29" s="98"/>
      <c r="I29" s="98"/>
      <c r="J29" s="98"/>
      <c r="K29" s="98"/>
      <c r="L29" s="98" t="s">
        <v>129</v>
      </c>
      <c r="M29" s="98"/>
      <c r="N29" s="99" t="s">
        <v>119</v>
      </c>
    </row>
    <row r="30" spans="1:14">
      <c r="A30" s="105"/>
      <c r="B30" s="98"/>
      <c r="C30" s="98"/>
      <c r="D30" s="98"/>
      <c r="E30" s="98"/>
      <c r="F30" s="13" t="s">
        <v>85</v>
      </c>
      <c r="G30" s="13" t="s">
        <v>86</v>
      </c>
      <c r="H30" s="13" t="s">
        <v>91</v>
      </c>
      <c r="I30" s="13" t="s">
        <v>120</v>
      </c>
      <c r="J30" s="13" t="s">
        <v>87</v>
      </c>
      <c r="K30" s="13" t="s">
        <v>117</v>
      </c>
      <c r="L30" s="13" t="s">
        <v>86</v>
      </c>
      <c r="M30" s="13" t="s">
        <v>91</v>
      </c>
      <c r="N30" s="99"/>
    </row>
    <row r="31" spans="1:14">
      <c r="A31" s="6" t="s">
        <v>9</v>
      </c>
      <c r="B31" s="26" t="s">
        <v>9</v>
      </c>
      <c r="C31" s="3" t="s">
        <v>9</v>
      </c>
      <c r="D31" s="3" t="s">
        <v>9</v>
      </c>
      <c r="E31" s="24" t="s">
        <v>9</v>
      </c>
      <c r="F31" s="3" t="s">
        <v>9</v>
      </c>
      <c r="G31" s="3" t="s">
        <v>9</v>
      </c>
      <c r="H31" s="3" t="s">
        <v>9</v>
      </c>
      <c r="I31" s="3" t="s">
        <v>9</v>
      </c>
      <c r="J31" s="3" t="s">
        <v>9</v>
      </c>
      <c r="K31" s="3" t="s">
        <v>9</v>
      </c>
      <c r="L31" s="3" t="s">
        <v>9</v>
      </c>
      <c r="M31" s="3" t="s">
        <v>9</v>
      </c>
      <c r="N31" s="7" t="s">
        <v>9</v>
      </c>
    </row>
  </sheetData>
  <mergeCells count="52">
    <mergeCell ref="N29:N30"/>
    <mergeCell ref="L25:M25"/>
    <mergeCell ref="N25:N26"/>
    <mergeCell ref="A28:N28"/>
    <mergeCell ref="A29:A30"/>
    <mergeCell ref="B29:B30"/>
    <mergeCell ref="C29:C30"/>
    <mergeCell ref="D29:D30"/>
    <mergeCell ref="E29:E30"/>
    <mergeCell ref="F29:K29"/>
    <mergeCell ref="L29:M29"/>
    <mergeCell ref="A25:A26"/>
    <mergeCell ref="B25:B26"/>
    <mergeCell ref="C25:C26"/>
    <mergeCell ref="D25:D26"/>
    <mergeCell ref="E25:E26"/>
    <mergeCell ref="F25:K25"/>
    <mergeCell ref="J22:L22"/>
    <mergeCell ref="J23:L23"/>
    <mergeCell ref="M23:N23"/>
    <mergeCell ref="A24:N24"/>
    <mergeCell ref="A20:N20"/>
    <mergeCell ref="A21:A22"/>
    <mergeCell ref="B21:B22"/>
    <mergeCell ref="C21:C22"/>
    <mergeCell ref="D21:D22"/>
    <mergeCell ref="E21:L21"/>
    <mergeCell ref="M21:N22"/>
    <mergeCell ref="J19:N19"/>
    <mergeCell ref="A11:N11"/>
    <mergeCell ref="A12:A13"/>
    <mergeCell ref="B12:B13"/>
    <mergeCell ref="C12:D12"/>
    <mergeCell ref="E12:E13"/>
    <mergeCell ref="F12:F13"/>
    <mergeCell ref="G12:I13"/>
    <mergeCell ref="J12:N13"/>
    <mergeCell ref="J14:N14"/>
    <mergeCell ref="J15:N15"/>
    <mergeCell ref="J16:N16"/>
    <mergeCell ref="J17:N17"/>
    <mergeCell ref="J18:N18"/>
    <mergeCell ref="A1:E1"/>
    <mergeCell ref="B2:E2"/>
    <mergeCell ref="B3:E3"/>
    <mergeCell ref="B4:E4"/>
    <mergeCell ref="B5:E5"/>
    <mergeCell ref="B6:E6"/>
    <mergeCell ref="A7:E7"/>
    <mergeCell ref="B8:D8"/>
    <mergeCell ref="B9:D9"/>
    <mergeCell ref="B10:D10"/>
  </mergeCells>
  <hyperlinks>
    <hyperlink ref="A1:E1" location="'Structs'!A1" display="&lt;-Volver al inicio" xr:uid="{3F3F958E-BA4F-4DB2-859C-C446550EFA6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A7E011E-D763-4931-AF60-CFB26AD997CE}">
          <x14:formula1>
            <xm:f>Structs!$D$2:$E$2</xm:f>
          </x14:formula1>
          <xm:sqref>A23 A27 A31</xm:sqref>
        </x14:dataValidation>
        <x14:dataValidation type="list" allowBlank="1" showInputMessage="1" showErrorMessage="1" xr:uid="{BA76F9D9-7882-4391-A16E-3E81B93B7AA9}">
          <x14:formula1>
            <xm:f>Structs!$E$2</xm:f>
          </x14:formula1>
          <xm:sqref>B6:E6 E14:E19 I23 J27 D31 I31:J31</xm:sqref>
        </x14:dataValidation>
        <x14:dataValidation type="list" allowBlank="1" showInputMessage="1" showErrorMessage="1" xr:uid="{C8410B7E-05BE-43F3-AD63-E8BB821F8073}">
          <x14:formula1>
            <xm:f>Structs!$D$2</xm:f>
          </x14:formula1>
          <xm:sqref>A14:A19 B5:E5</xm:sqref>
        </x14:dataValidation>
        <x14:dataValidation type="list" allowBlank="1" showInputMessage="1" showErrorMessage="1" xr:uid="{64E74089-C9CF-4B15-9688-9AEE74BB439C}">
          <x14:formula1>
            <xm:f>Valores!$G$2:$G$12</xm:f>
          </x14:formula1>
          <xm:sqref>G31 F23 G27 L27 C14:C19</xm:sqref>
        </x14:dataValidation>
        <x14:dataValidation type="list" allowBlank="1" showInputMessage="1" showErrorMessage="1" xr:uid="{E39A1650-FFE0-4045-8ED9-20857D3DB4C2}">
          <x14:formula1>
            <xm:f>Valores!$H$2:$H$3</xm:f>
          </x14:formula1>
          <xm:sqref>F14:F19 C31</xm:sqref>
        </x14:dataValidation>
        <x14:dataValidation type="list" allowBlank="1" showInputMessage="1" showErrorMessage="1" xr:uid="{AA821AC1-F0EF-4635-8FB1-05555A56D2AB}">
          <x14:formula1>
            <xm:f>Valores!$J$2:$J$3</xm:f>
          </x14:formula1>
          <xm:sqref>H23 I27</xm:sqref>
        </x14:dataValidation>
        <x14:dataValidation type="list" allowBlank="1" showInputMessage="1" showErrorMessage="1" xr:uid="{414B6465-9998-46BC-AF81-56E9885F74C7}">
          <x14:formula1>
            <xm:f>Valores!$L$2:$L$13</xm:f>
          </x14:formula1>
          <xm:sqref>L31</xm:sqref>
        </x14:dataValidation>
        <x14:dataValidation type="list" allowBlank="1" showInputMessage="1" showErrorMessage="1" xr:uid="{0C546E39-088B-49DB-89C9-A028F20C64E6}">
          <x14:formula1>
            <xm:f>Valores!$C$2:$C$7</xm:f>
          </x14:formula1>
          <xm:sqref>C10:D10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5489-0E65-42A4-BFB7-7F9C9D3D6E99}">
  <dimension ref="A1:N32"/>
  <sheetViews>
    <sheetView zoomScale="55" zoomScaleNormal="55" workbookViewId="0">
      <pane ySplit="1" topLeftCell="A2" activePane="bottomLeft" state="frozen"/>
      <selection pane="bottomLeft" activeCell="B2" sqref="B2:E2"/>
    </sheetView>
  </sheetViews>
  <sheetFormatPr defaultColWidth="19.7109375" defaultRowHeight="15"/>
  <cols>
    <col min="1" max="1" width="28.7109375" style="1" customWidth="1"/>
    <col min="2" max="2" width="19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Structs!I8</f>
        <v>MotorcycleEvidence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Structs!B8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Structs!C8</f>
        <v>Estructura que representa una foto de evidencia de una motocicleta, categorizada por ángulo (frontal, lateral, trasera).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14" t="s">
        <v>82</v>
      </c>
      <c r="C9" s="115"/>
      <c r="D9" s="150"/>
      <c r="E9" s="53" t="str">
        <f>HYPERLINK("#'"&amp;F9&amp;"'!A1", F9)</f>
        <v>Motorcycle</v>
      </c>
      <c r="F9" s="55" t="s">
        <v>18</v>
      </c>
    </row>
    <row r="10" spans="1:14">
      <c r="A10" s="25" t="s">
        <v>81</v>
      </c>
      <c r="B10" s="114" t="s">
        <v>82</v>
      </c>
      <c r="C10" s="115"/>
      <c r="D10" s="150"/>
      <c r="E10" s="53" t="str">
        <f>HYPERLINK("#'"&amp;F10&amp;"'!A1", F10)</f>
        <v>EvidenceAngle</v>
      </c>
      <c r="F10" s="56" t="s">
        <v>71</v>
      </c>
    </row>
    <row r="11" spans="1:14">
      <c r="A11" s="124" t="s">
        <v>84</v>
      </c>
      <c r="B11" s="125"/>
      <c r="C11" s="125"/>
      <c r="D11" s="125"/>
      <c r="E11" s="126"/>
      <c r="F11" s="126"/>
      <c r="G11" s="125"/>
      <c r="H11" s="125"/>
      <c r="I11" s="125"/>
      <c r="J11" s="125"/>
      <c r="K11" s="125"/>
      <c r="L11" s="125"/>
      <c r="M11" s="125"/>
      <c r="N11" s="127"/>
    </row>
    <row r="12" spans="1:14">
      <c r="A12" s="128" t="s">
        <v>4</v>
      </c>
      <c r="B12" s="129" t="s">
        <v>85</v>
      </c>
      <c r="C12" s="129" t="s">
        <v>86</v>
      </c>
      <c r="D12" s="129"/>
      <c r="E12" s="129" t="s">
        <v>87</v>
      </c>
      <c r="F12" s="129" t="s">
        <v>88</v>
      </c>
      <c r="G12" s="130" t="s">
        <v>89</v>
      </c>
      <c r="H12" s="131"/>
      <c r="I12" s="132"/>
      <c r="J12" s="129" t="s">
        <v>90</v>
      </c>
      <c r="K12" s="129"/>
      <c r="L12" s="129"/>
      <c r="M12" s="129"/>
      <c r="N12" s="136"/>
    </row>
    <row r="13" spans="1:14">
      <c r="A13" s="128"/>
      <c r="B13" s="129"/>
      <c r="C13" s="10" t="s">
        <v>86</v>
      </c>
      <c r="D13" s="10" t="s">
        <v>91</v>
      </c>
      <c r="E13" s="129"/>
      <c r="F13" s="129"/>
      <c r="G13" s="133"/>
      <c r="H13" s="134"/>
      <c r="I13" s="135"/>
      <c r="J13" s="129"/>
      <c r="K13" s="129"/>
      <c r="L13" s="129"/>
      <c r="M13" s="129"/>
      <c r="N13" s="136"/>
    </row>
    <row r="14" spans="1:14">
      <c r="A14" s="6" t="s">
        <v>8</v>
      </c>
      <c r="B14" s="26" t="s">
        <v>92</v>
      </c>
      <c r="C14" s="24" t="s">
        <v>134</v>
      </c>
      <c r="D14" s="24" t="s">
        <v>135</v>
      </c>
      <c r="E14" s="3" t="s">
        <v>9</v>
      </c>
      <c r="F14" s="3" t="s">
        <v>94</v>
      </c>
      <c r="G14" s="24" t="s">
        <v>95</v>
      </c>
      <c r="H14" s="33"/>
      <c r="I14" s="34"/>
      <c r="J14" s="114" t="s">
        <v>165</v>
      </c>
      <c r="K14" s="115"/>
      <c r="L14" s="115"/>
      <c r="M14" s="115"/>
      <c r="N14" s="117"/>
    </row>
    <row r="15" spans="1:14">
      <c r="A15" s="6" t="s">
        <v>8</v>
      </c>
      <c r="B15" s="27" t="s">
        <v>216</v>
      </c>
      <c r="C15" s="25" t="s">
        <v>134</v>
      </c>
      <c r="D15" s="25" t="s">
        <v>135</v>
      </c>
      <c r="E15" s="3" t="s">
        <v>9</v>
      </c>
      <c r="F15" s="3" t="s">
        <v>94</v>
      </c>
      <c r="G15" s="25" t="s">
        <v>95</v>
      </c>
      <c r="H15" s="33"/>
      <c r="I15" s="34"/>
      <c r="J15" s="114" t="s">
        <v>217</v>
      </c>
      <c r="K15" s="115"/>
      <c r="L15" s="115"/>
      <c r="M15" s="115"/>
      <c r="N15" s="117"/>
    </row>
    <row r="16" spans="1:14">
      <c r="A16" s="6" t="s">
        <v>8</v>
      </c>
      <c r="B16" s="27" t="s">
        <v>218</v>
      </c>
      <c r="C16" s="25" t="s">
        <v>111</v>
      </c>
      <c r="D16" s="25" t="s">
        <v>219</v>
      </c>
      <c r="E16" s="3" t="s">
        <v>9</v>
      </c>
      <c r="F16" s="3" t="s">
        <v>94</v>
      </c>
      <c r="G16" s="25" t="s">
        <v>140</v>
      </c>
      <c r="H16" s="33"/>
      <c r="I16" s="34"/>
      <c r="J16" s="114" t="s">
        <v>220</v>
      </c>
      <c r="K16" s="115"/>
      <c r="L16" s="115"/>
      <c r="M16" s="115"/>
      <c r="N16" s="117"/>
    </row>
    <row r="17" spans="1:14">
      <c r="A17" s="6" t="s">
        <v>8</v>
      </c>
      <c r="B17" s="27" t="s">
        <v>221</v>
      </c>
      <c r="C17" s="25" t="s">
        <v>134</v>
      </c>
      <c r="D17" s="25" t="s">
        <v>135</v>
      </c>
      <c r="E17" s="3" t="s">
        <v>9</v>
      </c>
      <c r="F17" s="3" t="s">
        <v>94</v>
      </c>
      <c r="G17" s="25" t="s">
        <v>95</v>
      </c>
      <c r="H17" s="33"/>
      <c r="I17" s="34"/>
      <c r="J17" s="114" t="s">
        <v>222</v>
      </c>
      <c r="K17" s="115"/>
      <c r="L17" s="115"/>
      <c r="M17" s="115"/>
      <c r="N17" s="117"/>
    </row>
    <row r="18" spans="1:14">
      <c r="A18" s="6" t="s">
        <v>8</v>
      </c>
      <c r="B18" s="27" t="s">
        <v>167</v>
      </c>
      <c r="C18" s="25" t="s">
        <v>93</v>
      </c>
      <c r="D18" s="25" t="s">
        <v>135</v>
      </c>
      <c r="E18" s="3" t="s">
        <v>9</v>
      </c>
      <c r="F18" s="3" t="s">
        <v>94</v>
      </c>
      <c r="G18" s="25" t="s">
        <v>140</v>
      </c>
      <c r="H18" s="33"/>
      <c r="I18" s="34"/>
      <c r="J18" s="114" t="s">
        <v>168</v>
      </c>
      <c r="K18" s="115"/>
      <c r="L18" s="115"/>
      <c r="M18" s="115"/>
      <c r="N18" s="117"/>
    </row>
    <row r="19" spans="1:14">
      <c r="A19" s="6" t="s">
        <v>8</v>
      </c>
      <c r="B19" s="27" t="s">
        <v>223</v>
      </c>
      <c r="C19" s="25" t="s">
        <v>111</v>
      </c>
      <c r="D19" s="25" t="s">
        <v>224</v>
      </c>
      <c r="E19" s="3" t="s">
        <v>9</v>
      </c>
      <c r="F19" s="3" t="s">
        <v>94</v>
      </c>
      <c r="G19" s="25" t="s">
        <v>95</v>
      </c>
      <c r="H19" s="33"/>
      <c r="I19" s="34"/>
      <c r="J19" s="114" t="s">
        <v>225</v>
      </c>
      <c r="K19" s="115"/>
      <c r="L19" s="115"/>
      <c r="M19" s="115"/>
      <c r="N19" s="117"/>
    </row>
    <row r="20" spans="1:14">
      <c r="A20" s="118" t="s">
        <v>115</v>
      </c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20"/>
    </row>
    <row r="21" spans="1:14">
      <c r="A21" s="121" t="s">
        <v>4</v>
      </c>
      <c r="B21" s="122" t="s">
        <v>85</v>
      </c>
      <c r="C21" s="122" t="s">
        <v>116</v>
      </c>
      <c r="D21" s="122" t="s">
        <v>117</v>
      </c>
      <c r="E21" s="122" t="s">
        <v>118</v>
      </c>
      <c r="F21" s="122"/>
      <c r="G21" s="122"/>
      <c r="H21" s="122"/>
      <c r="I21" s="122"/>
      <c r="J21" s="122"/>
      <c r="K21" s="122"/>
      <c r="L21" s="122"/>
      <c r="M21" s="122" t="s">
        <v>119</v>
      </c>
      <c r="N21" s="123"/>
    </row>
    <row r="22" spans="1:14">
      <c r="A22" s="121"/>
      <c r="B22" s="122"/>
      <c r="C22" s="122"/>
      <c r="D22" s="122"/>
      <c r="E22" s="11" t="s">
        <v>85</v>
      </c>
      <c r="F22" s="11" t="s">
        <v>86</v>
      </c>
      <c r="G22" s="11" t="s">
        <v>91</v>
      </c>
      <c r="H22" s="11" t="s">
        <v>120</v>
      </c>
      <c r="I22" s="11" t="s">
        <v>87</v>
      </c>
      <c r="J22" s="122" t="s">
        <v>117</v>
      </c>
      <c r="K22" s="122"/>
      <c r="L22" s="122"/>
      <c r="M22" s="122"/>
      <c r="N22" s="123"/>
    </row>
    <row r="23" spans="1:14" ht="27">
      <c r="A23" s="6" t="s">
        <v>9</v>
      </c>
      <c r="B23" s="26" t="s">
        <v>22</v>
      </c>
      <c r="C23" s="28" t="s">
        <v>121</v>
      </c>
      <c r="D23" s="28" t="s">
        <v>122</v>
      </c>
      <c r="E23" s="3"/>
      <c r="F23" s="3"/>
      <c r="G23" s="3"/>
      <c r="H23" s="3"/>
      <c r="I23" s="3"/>
      <c r="J23" s="106"/>
      <c r="K23" s="107"/>
      <c r="L23" s="108"/>
      <c r="M23" s="106"/>
      <c r="N23" s="109"/>
    </row>
    <row r="24" spans="1:14">
      <c r="A24" s="6" t="s">
        <v>226</v>
      </c>
      <c r="B24" s="26" t="s">
        <v>123</v>
      </c>
      <c r="C24" s="28" t="s">
        <v>124</v>
      </c>
      <c r="D24" s="28" t="s">
        <v>125</v>
      </c>
      <c r="E24" s="3"/>
      <c r="F24" s="3"/>
      <c r="G24" s="3" t="s">
        <v>9</v>
      </c>
      <c r="H24" s="3" t="s">
        <v>9</v>
      </c>
      <c r="I24" s="3" t="s">
        <v>9</v>
      </c>
      <c r="J24" s="57" t="s">
        <v>165</v>
      </c>
      <c r="K24" s="58"/>
      <c r="L24" s="59"/>
      <c r="M24" s="57"/>
      <c r="N24" s="60"/>
    </row>
    <row r="25" spans="1:14">
      <c r="A25" s="110" t="s">
        <v>126</v>
      </c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2"/>
    </row>
    <row r="26" spans="1:14">
      <c r="A26" s="113" t="s">
        <v>4</v>
      </c>
      <c r="B26" s="100" t="s">
        <v>85</v>
      </c>
      <c r="C26" s="100" t="s">
        <v>127</v>
      </c>
      <c r="D26" s="100" t="s">
        <v>128</v>
      </c>
      <c r="E26" s="100" t="s">
        <v>117</v>
      </c>
      <c r="F26" s="100" t="s">
        <v>118</v>
      </c>
      <c r="G26" s="100"/>
      <c r="H26" s="100"/>
      <c r="I26" s="100"/>
      <c r="J26" s="100"/>
      <c r="K26" s="100"/>
      <c r="L26" s="100" t="s">
        <v>129</v>
      </c>
      <c r="M26" s="100"/>
      <c r="N26" s="101" t="s">
        <v>119</v>
      </c>
    </row>
    <row r="27" spans="1:14">
      <c r="A27" s="113"/>
      <c r="B27" s="100"/>
      <c r="C27" s="100"/>
      <c r="D27" s="100"/>
      <c r="E27" s="100"/>
      <c r="F27" s="12" t="s">
        <v>85</v>
      </c>
      <c r="G27" s="12" t="s">
        <v>86</v>
      </c>
      <c r="H27" s="12" t="s">
        <v>91</v>
      </c>
      <c r="I27" s="12" t="s">
        <v>120</v>
      </c>
      <c r="J27" s="12" t="s">
        <v>87</v>
      </c>
      <c r="K27" s="12" t="s">
        <v>117</v>
      </c>
      <c r="L27" s="12" t="s">
        <v>86</v>
      </c>
      <c r="M27" s="12" t="s">
        <v>91</v>
      </c>
      <c r="N27" s="101"/>
    </row>
    <row r="28" spans="1:14">
      <c r="A28" s="6" t="s">
        <v>9</v>
      </c>
      <c r="B28" s="24" t="s">
        <v>9</v>
      </c>
      <c r="C28" s="28" t="s">
        <v>9</v>
      </c>
      <c r="D28" s="28" t="s">
        <v>9</v>
      </c>
      <c r="E28" s="3" t="s">
        <v>130</v>
      </c>
      <c r="F28" s="3"/>
      <c r="G28" s="3"/>
      <c r="H28" s="3"/>
      <c r="I28" s="3"/>
      <c r="J28" s="3"/>
      <c r="K28" s="3"/>
      <c r="L28" s="3"/>
      <c r="M28" s="3"/>
      <c r="N28" s="7"/>
    </row>
    <row r="29" spans="1:14">
      <c r="A29" s="102" t="s">
        <v>131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4"/>
    </row>
    <row r="30" spans="1:14">
      <c r="A30" s="105" t="s">
        <v>4</v>
      </c>
      <c r="B30" s="98" t="s">
        <v>85</v>
      </c>
      <c r="C30" s="98" t="s">
        <v>132</v>
      </c>
      <c r="D30" s="98" t="s">
        <v>128</v>
      </c>
      <c r="E30" s="98" t="s">
        <v>117</v>
      </c>
      <c r="F30" s="98" t="s">
        <v>118</v>
      </c>
      <c r="G30" s="98"/>
      <c r="H30" s="98"/>
      <c r="I30" s="98"/>
      <c r="J30" s="98"/>
      <c r="K30" s="98"/>
      <c r="L30" s="98" t="s">
        <v>129</v>
      </c>
      <c r="M30" s="98"/>
      <c r="N30" s="99" t="s">
        <v>119</v>
      </c>
    </row>
    <row r="31" spans="1:14">
      <c r="A31" s="105"/>
      <c r="B31" s="98"/>
      <c r="C31" s="98"/>
      <c r="D31" s="98"/>
      <c r="E31" s="98"/>
      <c r="F31" s="13" t="s">
        <v>85</v>
      </c>
      <c r="G31" s="13" t="s">
        <v>86</v>
      </c>
      <c r="H31" s="13" t="s">
        <v>91</v>
      </c>
      <c r="I31" s="13" t="s">
        <v>120</v>
      </c>
      <c r="J31" s="13" t="s">
        <v>87</v>
      </c>
      <c r="K31" s="13" t="s">
        <v>117</v>
      </c>
      <c r="L31" s="13" t="s">
        <v>86</v>
      </c>
      <c r="M31" s="13" t="s">
        <v>91</v>
      </c>
      <c r="N31" s="99"/>
    </row>
    <row r="32" spans="1:14">
      <c r="A32" s="6" t="s">
        <v>226</v>
      </c>
      <c r="B32" s="26" t="s">
        <v>123</v>
      </c>
      <c r="C32" s="3" t="s">
        <v>94</v>
      </c>
      <c r="D32" s="3" t="s">
        <v>9</v>
      </c>
      <c r="E32" s="24" t="s">
        <v>125</v>
      </c>
      <c r="F32" s="3"/>
      <c r="G32" s="3"/>
      <c r="H32" s="3"/>
      <c r="I32" s="3" t="s">
        <v>9</v>
      </c>
      <c r="J32" s="3" t="s">
        <v>9</v>
      </c>
      <c r="K32" s="3"/>
      <c r="L32" s="3" t="s">
        <v>158</v>
      </c>
      <c r="M32" s="3" t="s">
        <v>9</v>
      </c>
      <c r="N32" s="7" t="s">
        <v>9</v>
      </c>
    </row>
  </sheetData>
  <mergeCells count="52">
    <mergeCell ref="B6:E6"/>
    <mergeCell ref="A1:E1"/>
    <mergeCell ref="B2:E2"/>
    <mergeCell ref="B3:E3"/>
    <mergeCell ref="B4:E4"/>
    <mergeCell ref="B5:E5"/>
    <mergeCell ref="J17:N17"/>
    <mergeCell ref="A7:E7"/>
    <mergeCell ref="B8:D8"/>
    <mergeCell ref="B9:D9"/>
    <mergeCell ref="B10:D10"/>
    <mergeCell ref="A11:N11"/>
    <mergeCell ref="A12:A13"/>
    <mergeCell ref="B12:B13"/>
    <mergeCell ref="C12:D12"/>
    <mergeCell ref="E12:E13"/>
    <mergeCell ref="F12:F13"/>
    <mergeCell ref="G12:I13"/>
    <mergeCell ref="J12:N13"/>
    <mergeCell ref="J14:N14"/>
    <mergeCell ref="J15:N15"/>
    <mergeCell ref="J16:N16"/>
    <mergeCell ref="J18:N18"/>
    <mergeCell ref="J19:N19"/>
    <mergeCell ref="A20:N20"/>
    <mergeCell ref="A21:A22"/>
    <mergeCell ref="B21:B22"/>
    <mergeCell ref="C21:C22"/>
    <mergeCell ref="D21:D22"/>
    <mergeCell ref="E21:L21"/>
    <mergeCell ref="M21:N22"/>
    <mergeCell ref="J22:L22"/>
    <mergeCell ref="J23:L23"/>
    <mergeCell ref="M23:N23"/>
    <mergeCell ref="A25:N25"/>
    <mergeCell ref="A26:A27"/>
    <mergeCell ref="B26:B27"/>
    <mergeCell ref="C26:C27"/>
    <mergeCell ref="D26:D27"/>
    <mergeCell ref="E26:E27"/>
    <mergeCell ref="F26:K26"/>
    <mergeCell ref="L26:M26"/>
    <mergeCell ref="N26:N27"/>
    <mergeCell ref="A29:N29"/>
    <mergeCell ref="A30:A31"/>
    <mergeCell ref="B30:B31"/>
    <mergeCell ref="C30:C31"/>
    <mergeCell ref="D30:D31"/>
    <mergeCell ref="E30:E31"/>
    <mergeCell ref="F30:K30"/>
    <mergeCell ref="L30:M30"/>
    <mergeCell ref="N30:N31"/>
  </mergeCells>
  <hyperlinks>
    <hyperlink ref="A1:E1" location="'Structs'!A1" display="&lt;-Volver al inicio" xr:uid="{64641B3E-1A45-4FE0-A1B0-27EF3D9127E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A14346F-A39C-40B6-83E3-57760B188BDE}">
          <x14:formula1>
            <xm:f>Valores!$C$2:$C$7</xm:f>
          </x14:formula1>
          <xm:sqref>C10:D10</xm:sqref>
        </x14:dataValidation>
        <x14:dataValidation type="list" allowBlank="1" showInputMessage="1" showErrorMessage="1" xr:uid="{73FDC78A-7DC2-4D53-A221-621A1997F0B1}">
          <x14:formula1>
            <xm:f>Valores!$L$2:$L$13</xm:f>
          </x14:formula1>
          <xm:sqref>L32</xm:sqref>
        </x14:dataValidation>
        <x14:dataValidation type="list" allowBlank="1" showInputMessage="1" showErrorMessage="1" xr:uid="{29CF6256-C0C7-4CB6-A83D-6348C0940DC6}">
          <x14:formula1>
            <xm:f>Valores!$J$2:$J$3</xm:f>
          </x14:formula1>
          <xm:sqref>H23:H24 I28</xm:sqref>
        </x14:dataValidation>
        <x14:dataValidation type="list" allowBlank="1" showInputMessage="1" showErrorMessage="1" xr:uid="{D6172A22-F332-43CC-B2BE-AB8526A4CC6B}">
          <x14:formula1>
            <xm:f>Valores!$H$2:$H$3</xm:f>
          </x14:formula1>
          <xm:sqref>F14:F19 C32</xm:sqref>
        </x14:dataValidation>
        <x14:dataValidation type="list" allowBlank="1" showInputMessage="1" showErrorMessage="1" xr:uid="{AC6627DD-D289-42CB-ADC1-D881846450B0}">
          <x14:formula1>
            <xm:f>Valores!$G$2:$G$12</xm:f>
          </x14:formula1>
          <xm:sqref>G32 F23:F24 G28 L28 C14:C19</xm:sqref>
        </x14:dataValidation>
        <x14:dataValidation type="list" allowBlank="1" showInputMessage="1" showErrorMessage="1" xr:uid="{73659B22-DE23-437C-B5E1-30BE9046F572}">
          <x14:formula1>
            <xm:f>Structs!$D$2</xm:f>
          </x14:formula1>
          <xm:sqref>A14:A19 B5:E5</xm:sqref>
        </x14:dataValidation>
        <x14:dataValidation type="list" allowBlank="1" showInputMessage="1" showErrorMessage="1" xr:uid="{09A6D108-F51A-4B68-9603-B30A37476F65}">
          <x14:formula1>
            <xm:f>Structs!$E$2</xm:f>
          </x14:formula1>
          <xm:sqref>B6:E6 E14:E19 I23:I24 J28 D32 I32:J32</xm:sqref>
        </x14:dataValidation>
        <x14:dataValidation type="list" allowBlank="1" showInputMessage="1" showErrorMessage="1" xr:uid="{44C0EC36-CDFB-4DAA-9F38-FCEBA01089A8}">
          <x14:formula1>
            <xm:f>Structs!$D$2:$E$2</xm:f>
          </x14:formula1>
          <xm:sqref>A23:A24 A28 A32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9F67-0C7B-4D5B-A020-91490377D7A5}">
  <dimension ref="A1:N28"/>
  <sheetViews>
    <sheetView zoomScale="55" zoomScaleNormal="55" workbookViewId="0">
      <pane ySplit="1" topLeftCell="A2" activePane="bottomLeft" state="frozen"/>
      <selection pane="bottomLeft" activeCell="C31" sqref="C31"/>
    </sheetView>
  </sheetViews>
  <sheetFormatPr defaultColWidth="19.7109375" defaultRowHeight="15"/>
  <cols>
    <col min="1" max="1" width="28.7109375" style="1" customWidth="1"/>
    <col min="2" max="2" width="19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Structs!I9</f>
        <v>Brand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Structs!B9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Structs!C9</f>
        <v>Estructura que representa una marca de motocicleta del catálogo de referencia.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114" t="s">
        <v>82</v>
      </c>
      <c r="C9" s="115"/>
      <c r="D9" s="150"/>
      <c r="E9" s="53" t="str">
        <f>HYPERLINK("#'"&amp;F9&amp;"'!A1", F9)</f>
        <v>MotorcycleReference</v>
      </c>
      <c r="F9" s="55" t="s">
        <v>20</v>
      </c>
    </row>
    <row r="10" spans="1:14">
      <c r="A10" s="25" t="s">
        <v>83</v>
      </c>
      <c r="B10" s="114" t="s">
        <v>82</v>
      </c>
      <c r="C10" s="115"/>
      <c r="D10" s="150"/>
      <c r="E10" s="53" t="str">
        <f>HYPERLINK("#'"&amp;F10&amp;"'!A1", F10)</f>
        <v>Branch</v>
      </c>
      <c r="F10" s="56" t="s">
        <v>12</v>
      </c>
    </row>
    <row r="11" spans="1:14">
      <c r="A11" s="124" t="s">
        <v>84</v>
      </c>
      <c r="B11" s="125"/>
      <c r="C11" s="125"/>
      <c r="D11" s="125"/>
      <c r="E11" s="126"/>
      <c r="F11" s="126"/>
      <c r="G11" s="125"/>
      <c r="H11" s="125"/>
      <c r="I11" s="125"/>
      <c r="J11" s="125"/>
      <c r="K11" s="125"/>
      <c r="L11" s="125"/>
      <c r="M11" s="125"/>
      <c r="N11" s="127"/>
    </row>
    <row r="12" spans="1:14">
      <c r="A12" s="128" t="s">
        <v>4</v>
      </c>
      <c r="B12" s="129" t="s">
        <v>85</v>
      </c>
      <c r="C12" s="129" t="s">
        <v>86</v>
      </c>
      <c r="D12" s="129"/>
      <c r="E12" s="129" t="s">
        <v>87</v>
      </c>
      <c r="F12" s="129" t="s">
        <v>88</v>
      </c>
      <c r="G12" s="130" t="s">
        <v>89</v>
      </c>
      <c r="H12" s="131"/>
      <c r="I12" s="132"/>
      <c r="J12" s="129" t="s">
        <v>90</v>
      </c>
      <c r="K12" s="129"/>
      <c r="L12" s="129"/>
      <c r="M12" s="129"/>
      <c r="N12" s="136"/>
    </row>
    <row r="13" spans="1:14">
      <c r="A13" s="128"/>
      <c r="B13" s="129"/>
      <c r="C13" s="10" t="s">
        <v>86</v>
      </c>
      <c r="D13" s="10" t="s">
        <v>91</v>
      </c>
      <c r="E13" s="129"/>
      <c r="F13" s="129"/>
      <c r="G13" s="133"/>
      <c r="H13" s="134"/>
      <c r="I13" s="135"/>
      <c r="J13" s="129"/>
      <c r="K13" s="129"/>
      <c r="L13" s="129"/>
      <c r="M13" s="129"/>
      <c r="N13" s="136"/>
    </row>
    <row r="14" spans="1:14">
      <c r="A14" s="6" t="s">
        <v>8</v>
      </c>
      <c r="B14" s="26" t="s">
        <v>92</v>
      </c>
      <c r="C14" s="24" t="s">
        <v>134</v>
      </c>
      <c r="D14" s="24" t="s">
        <v>135</v>
      </c>
      <c r="E14" s="3" t="s">
        <v>9</v>
      </c>
      <c r="F14" s="3" t="s">
        <v>94</v>
      </c>
      <c r="G14" s="24" t="s">
        <v>95</v>
      </c>
      <c r="H14" s="33"/>
      <c r="I14" s="34"/>
      <c r="J14" s="114" t="s">
        <v>165</v>
      </c>
      <c r="K14" s="115"/>
      <c r="L14" s="115"/>
      <c r="M14" s="115"/>
      <c r="N14" s="117"/>
    </row>
    <row r="15" spans="1:14">
      <c r="A15" s="6" t="s">
        <v>8</v>
      </c>
      <c r="B15" s="27" t="s">
        <v>144</v>
      </c>
      <c r="C15" s="25" t="s">
        <v>134</v>
      </c>
      <c r="D15" s="25" t="s">
        <v>135</v>
      </c>
      <c r="E15" s="3" t="s">
        <v>9</v>
      </c>
      <c r="F15" s="3" t="s">
        <v>94</v>
      </c>
      <c r="G15" s="25" t="s">
        <v>95</v>
      </c>
      <c r="H15" s="33"/>
      <c r="I15" s="34"/>
      <c r="J15" s="114" t="s">
        <v>227</v>
      </c>
      <c r="K15" s="115"/>
      <c r="L15" s="115"/>
      <c r="M15" s="115"/>
      <c r="N15" s="117"/>
    </row>
    <row r="16" spans="1:14">
      <c r="A16" s="118" t="s">
        <v>115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20"/>
    </row>
    <row r="17" spans="1:14">
      <c r="A17" s="121" t="s">
        <v>4</v>
      </c>
      <c r="B17" s="122" t="s">
        <v>85</v>
      </c>
      <c r="C17" s="122" t="s">
        <v>116</v>
      </c>
      <c r="D17" s="122" t="s">
        <v>117</v>
      </c>
      <c r="E17" s="122" t="s">
        <v>118</v>
      </c>
      <c r="F17" s="122"/>
      <c r="G17" s="122"/>
      <c r="H17" s="122"/>
      <c r="I17" s="122"/>
      <c r="J17" s="122"/>
      <c r="K17" s="122"/>
      <c r="L17" s="122"/>
      <c r="M17" s="122" t="s">
        <v>119</v>
      </c>
      <c r="N17" s="123"/>
    </row>
    <row r="18" spans="1:14">
      <c r="A18" s="121"/>
      <c r="B18" s="122"/>
      <c r="C18" s="122"/>
      <c r="D18" s="122"/>
      <c r="E18" s="11" t="s">
        <v>85</v>
      </c>
      <c r="F18" s="11" t="s">
        <v>86</v>
      </c>
      <c r="G18" s="11" t="s">
        <v>91</v>
      </c>
      <c r="H18" s="11" t="s">
        <v>120</v>
      </c>
      <c r="I18" s="11" t="s">
        <v>87</v>
      </c>
      <c r="J18" s="122" t="s">
        <v>117</v>
      </c>
      <c r="K18" s="122"/>
      <c r="L18" s="122"/>
      <c r="M18" s="122"/>
      <c r="N18" s="123"/>
    </row>
    <row r="19" spans="1:14" ht="27">
      <c r="A19" s="6" t="s">
        <v>9</v>
      </c>
      <c r="B19" s="26" t="s">
        <v>22</v>
      </c>
      <c r="C19" s="28" t="s">
        <v>121</v>
      </c>
      <c r="D19" s="28" t="s">
        <v>122</v>
      </c>
      <c r="E19" s="3"/>
      <c r="F19" s="3"/>
      <c r="G19" s="3"/>
      <c r="H19" s="3"/>
      <c r="I19" s="3"/>
      <c r="J19" s="106"/>
      <c r="K19" s="107"/>
      <c r="L19" s="108"/>
      <c r="M19" s="106"/>
      <c r="N19" s="109"/>
    </row>
    <row r="20" spans="1:14">
      <c r="A20" s="6" t="s">
        <v>226</v>
      </c>
      <c r="B20" s="26" t="s">
        <v>123</v>
      </c>
      <c r="C20" s="28" t="s">
        <v>124</v>
      </c>
      <c r="D20" s="28" t="s">
        <v>125</v>
      </c>
      <c r="E20" s="3"/>
      <c r="F20" s="3"/>
      <c r="G20" s="3" t="s">
        <v>9</v>
      </c>
      <c r="H20" s="3" t="s">
        <v>9</v>
      </c>
      <c r="I20" s="3" t="s">
        <v>9</v>
      </c>
      <c r="J20" s="57" t="s">
        <v>165</v>
      </c>
      <c r="K20" s="58"/>
      <c r="L20" s="59"/>
      <c r="M20" s="57"/>
      <c r="N20" s="60"/>
    </row>
    <row r="21" spans="1:14">
      <c r="A21" s="110" t="s">
        <v>126</v>
      </c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2"/>
    </row>
    <row r="22" spans="1:14">
      <c r="A22" s="113" t="s">
        <v>4</v>
      </c>
      <c r="B22" s="100" t="s">
        <v>85</v>
      </c>
      <c r="C22" s="100" t="s">
        <v>127</v>
      </c>
      <c r="D22" s="100" t="s">
        <v>128</v>
      </c>
      <c r="E22" s="100" t="s">
        <v>117</v>
      </c>
      <c r="F22" s="100" t="s">
        <v>118</v>
      </c>
      <c r="G22" s="100"/>
      <c r="H22" s="100"/>
      <c r="I22" s="100"/>
      <c r="J22" s="100"/>
      <c r="K22" s="100"/>
      <c r="L22" s="100" t="s">
        <v>129</v>
      </c>
      <c r="M22" s="100"/>
      <c r="N22" s="101" t="s">
        <v>119</v>
      </c>
    </row>
    <row r="23" spans="1:14">
      <c r="A23" s="113"/>
      <c r="B23" s="100"/>
      <c r="C23" s="100"/>
      <c r="D23" s="100"/>
      <c r="E23" s="100"/>
      <c r="F23" s="12" t="s">
        <v>85</v>
      </c>
      <c r="G23" s="12" t="s">
        <v>86</v>
      </c>
      <c r="H23" s="12" t="s">
        <v>91</v>
      </c>
      <c r="I23" s="12" t="s">
        <v>120</v>
      </c>
      <c r="J23" s="12" t="s">
        <v>87</v>
      </c>
      <c r="K23" s="12" t="s">
        <v>117</v>
      </c>
      <c r="L23" s="12" t="s">
        <v>86</v>
      </c>
      <c r="M23" s="12" t="s">
        <v>91</v>
      </c>
      <c r="N23" s="101"/>
    </row>
    <row r="24" spans="1:14">
      <c r="A24" s="6" t="s">
        <v>9</v>
      </c>
      <c r="B24" s="24" t="s">
        <v>9</v>
      </c>
      <c r="C24" s="28" t="s">
        <v>9</v>
      </c>
      <c r="D24" s="28" t="s">
        <v>9</v>
      </c>
      <c r="E24" s="3" t="s">
        <v>130</v>
      </c>
      <c r="F24" s="3"/>
      <c r="G24" s="3"/>
      <c r="H24" s="3"/>
      <c r="I24" s="3"/>
      <c r="J24" s="3"/>
      <c r="K24" s="3"/>
      <c r="L24" s="3"/>
      <c r="M24" s="3"/>
      <c r="N24" s="7"/>
    </row>
    <row r="25" spans="1:14">
      <c r="A25" s="102" t="s">
        <v>131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4"/>
    </row>
    <row r="26" spans="1:14">
      <c r="A26" s="105" t="s">
        <v>4</v>
      </c>
      <c r="B26" s="98" t="s">
        <v>85</v>
      </c>
      <c r="C26" s="98" t="s">
        <v>132</v>
      </c>
      <c r="D26" s="98" t="s">
        <v>128</v>
      </c>
      <c r="E26" s="98" t="s">
        <v>117</v>
      </c>
      <c r="F26" s="98" t="s">
        <v>118</v>
      </c>
      <c r="G26" s="98"/>
      <c r="H26" s="98"/>
      <c r="I26" s="98"/>
      <c r="J26" s="98"/>
      <c r="K26" s="98"/>
      <c r="L26" s="98" t="s">
        <v>129</v>
      </c>
      <c r="M26" s="98"/>
      <c r="N26" s="99" t="s">
        <v>119</v>
      </c>
    </row>
    <row r="27" spans="1:14">
      <c r="A27" s="105"/>
      <c r="B27" s="98"/>
      <c r="C27" s="98"/>
      <c r="D27" s="98"/>
      <c r="E27" s="98"/>
      <c r="F27" s="13" t="s">
        <v>85</v>
      </c>
      <c r="G27" s="13" t="s">
        <v>86</v>
      </c>
      <c r="H27" s="13" t="s">
        <v>91</v>
      </c>
      <c r="I27" s="13" t="s">
        <v>120</v>
      </c>
      <c r="J27" s="13" t="s">
        <v>87</v>
      </c>
      <c r="K27" s="13" t="s">
        <v>117</v>
      </c>
      <c r="L27" s="13" t="s">
        <v>86</v>
      </c>
      <c r="M27" s="13" t="s">
        <v>91</v>
      </c>
      <c r="N27" s="99"/>
    </row>
    <row r="28" spans="1:14">
      <c r="A28" s="6" t="s">
        <v>9</v>
      </c>
      <c r="B28" s="26" t="s">
        <v>9</v>
      </c>
      <c r="C28" s="3" t="s">
        <v>9</v>
      </c>
      <c r="D28" s="3" t="s">
        <v>9</v>
      </c>
      <c r="E28" s="24" t="s">
        <v>9</v>
      </c>
      <c r="F28" s="3" t="s">
        <v>9</v>
      </c>
      <c r="G28" s="3" t="s">
        <v>9</v>
      </c>
      <c r="H28" s="3" t="s">
        <v>9</v>
      </c>
      <c r="I28" s="3" t="s">
        <v>9</v>
      </c>
      <c r="J28" s="3" t="s">
        <v>9</v>
      </c>
      <c r="K28" s="3" t="s">
        <v>9</v>
      </c>
      <c r="L28" s="3" t="s">
        <v>9</v>
      </c>
      <c r="M28" s="3" t="s">
        <v>9</v>
      </c>
      <c r="N28" s="7" t="s">
        <v>9</v>
      </c>
    </row>
  </sheetData>
  <mergeCells count="48">
    <mergeCell ref="B6:E6"/>
    <mergeCell ref="A1:E1"/>
    <mergeCell ref="B2:E2"/>
    <mergeCell ref="B3:E3"/>
    <mergeCell ref="B4:E4"/>
    <mergeCell ref="B5:E5"/>
    <mergeCell ref="G12:I13"/>
    <mergeCell ref="J12:N13"/>
    <mergeCell ref="J14:N14"/>
    <mergeCell ref="J15:N15"/>
    <mergeCell ref="A7:E7"/>
    <mergeCell ref="B8:D8"/>
    <mergeCell ref="B9:D9"/>
    <mergeCell ref="B10:D10"/>
    <mergeCell ref="A11:N11"/>
    <mergeCell ref="A12:A13"/>
    <mergeCell ref="B12:B13"/>
    <mergeCell ref="C12:D12"/>
    <mergeCell ref="E12:E13"/>
    <mergeCell ref="F12:F13"/>
    <mergeCell ref="A16:N16"/>
    <mergeCell ref="A17:A18"/>
    <mergeCell ref="B17:B18"/>
    <mergeCell ref="C17:C18"/>
    <mergeCell ref="D17:D18"/>
    <mergeCell ref="E17:L17"/>
    <mergeCell ref="M17:N18"/>
    <mergeCell ref="J18:L18"/>
    <mergeCell ref="J19:L19"/>
    <mergeCell ref="M19:N19"/>
    <mergeCell ref="A21:N21"/>
    <mergeCell ref="A22:A23"/>
    <mergeCell ref="B22:B23"/>
    <mergeCell ref="C22:C23"/>
    <mergeCell ref="D22:D23"/>
    <mergeCell ref="E22:E23"/>
    <mergeCell ref="F22:K22"/>
    <mergeCell ref="L22:M22"/>
    <mergeCell ref="N22:N23"/>
    <mergeCell ref="A25:N25"/>
    <mergeCell ref="A26:A27"/>
    <mergeCell ref="B26:B27"/>
    <mergeCell ref="C26:C27"/>
    <mergeCell ref="D26:D27"/>
    <mergeCell ref="E26:E27"/>
    <mergeCell ref="F26:K26"/>
    <mergeCell ref="L26:M26"/>
    <mergeCell ref="N26:N27"/>
  </mergeCells>
  <hyperlinks>
    <hyperlink ref="A1:E1" location="'Structs'!A1" display="&lt;-Volver al inicio" xr:uid="{6ADCF68C-7260-4FF3-B714-D8777211BBF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A86869B-21F6-43A9-96F3-AA6415C8B7FF}">
          <x14:formula1>
            <xm:f>Structs!$D$2:$E$2</xm:f>
          </x14:formula1>
          <xm:sqref>A19:A20 A24 A28</xm:sqref>
        </x14:dataValidation>
        <x14:dataValidation type="list" allowBlank="1" showInputMessage="1" showErrorMessage="1" xr:uid="{C7E38FF1-F2F9-406A-B0C4-B65819AF6F1F}">
          <x14:formula1>
            <xm:f>Structs!$E$2</xm:f>
          </x14:formula1>
          <xm:sqref>B6:E6 E14:E15 I19:I20 J24 D28 I28:J28</xm:sqref>
        </x14:dataValidation>
        <x14:dataValidation type="list" allowBlank="1" showInputMessage="1" showErrorMessage="1" xr:uid="{698623B4-7FC5-48A6-AFA8-8F72EACA427E}">
          <x14:formula1>
            <xm:f>Structs!$D$2</xm:f>
          </x14:formula1>
          <xm:sqref>A14:A15 B5:E5</xm:sqref>
        </x14:dataValidation>
        <x14:dataValidation type="list" allowBlank="1" showInputMessage="1" showErrorMessage="1" xr:uid="{A814F991-0C8F-4A9F-8260-BF7C115482CE}">
          <x14:formula1>
            <xm:f>Valores!$G$2:$G$12</xm:f>
          </x14:formula1>
          <xm:sqref>G28 F19:F20 G24 L24 C14:C15</xm:sqref>
        </x14:dataValidation>
        <x14:dataValidation type="list" allowBlank="1" showInputMessage="1" showErrorMessage="1" xr:uid="{AC48A205-435F-4403-8039-FFF068789AEC}">
          <x14:formula1>
            <xm:f>Valores!$H$2:$H$3</xm:f>
          </x14:formula1>
          <xm:sqref>F14:F15 C28</xm:sqref>
        </x14:dataValidation>
        <x14:dataValidation type="list" allowBlank="1" showInputMessage="1" showErrorMessage="1" xr:uid="{9B34A763-41CF-4103-90C9-4192F6F17284}">
          <x14:formula1>
            <xm:f>Valores!$J$2:$J$3</xm:f>
          </x14:formula1>
          <xm:sqref>H19:H20 I24</xm:sqref>
        </x14:dataValidation>
        <x14:dataValidation type="list" allowBlank="1" showInputMessage="1" showErrorMessage="1" xr:uid="{50076366-4F42-494E-BAD6-8F5750D42B81}">
          <x14:formula1>
            <xm:f>Valores!$L$2:$L$13</xm:f>
          </x14:formula1>
          <xm:sqref>L28</xm:sqref>
        </x14:dataValidation>
        <x14:dataValidation type="list" allowBlank="1" showInputMessage="1" showErrorMessage="1" xr:uid="{1A63AD60-937F-4F7F-8483-471528918FDA}">
          <x14:formula1>
            <xm:f>Valores!$C$2:$C$7</xm:f>
          </x14:formula1>
          <xm:sqref>C10:D10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4199-3D9E-47B4-A860-D3F27959857B}">
  <dimension ref="A1:N28"/>
  <sheetViews>
    <sheetView zoomScale="55" zoomScaleNormal="55" workbookViewId="0">
      <pane ySplit="1" topLeftCell="D2" activePane="bottomLeft" state="frozen"/>
      <selection pane="bottomLeft" activeCell="C33" sqref="C33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Structs!I10</f>
        <v>City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Structs!B10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Structs!C10</f>
        <v>Estructura que representa una ciudad dentro del catálogo geográfico, asociada a un departamento.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41" t="s">
        <v>82</v>
      </c>
      <c r="C9" s="141"/>
      <c r="D9" s="142"/>
      <c r="E9" s="53" t="str">
        <f>HYPERLINK("#'"&amp;F9&amp;"'!A1", F9)</f>
        <v>Department</v>
      </c>
      <c r="F9" s="55" t="s">
        <v>28</v>
      </c>
    </row>
    <row r="10" spans="1:14">
      <c r="A10" s="25" t="s">
        <v>83</v>
      </c>
      <c r="B10" s="141" t="s">
        <v>82</v>
      </c>
      <c r="C10" s="141"/>
      <c r="D10" s="142"/>
      <c r="E10" s="53" t="str">
        <f>HYPERLINK("#'"&amp;F10&amp;"'!A1", F10)</f>
        <v>Location</v>
      </c>
      <c r="F10" s="63" t="s">
        <v>16</v>
      </c>
    </row>
    <row r="11" spans="1:14">
      <c r="A11" s="124" t="s">
        <v>84</v>
      </c>
      <c r="B11" s="125"/>
      <c r="C11" s="125"/>
      <c r="D11" s="125"/>
      <c r="E11" s="126"/>
      <c r="F11" s="126"/>
      <c r="G11" s="125"/>
      <c r="H11" s="125"/>
      <c r="I11" s="125"/>
      <c r="J11" s="125"/>
      <c r="K11" s="125"/>
      <c r="L11" s="125"/>
      <c r="M11" s="125"/>
      <c r="N11" s="127"/>
    </row>
    <row r="12" spans="1:14">
      <c r="A12" s="128" t="s">
        <v>4</v>
      </c>
      <c r="B12" s="129" t="s">
        <v>85</v>
      </c>
      <c r="C12" s="129" t="s">
        <v>86</v>
      </c>
      <c r="D12" s="129"/>
      <c r="E12" s="129" t="s">
        <v>87</v>
      </c>
      <c r="F12" s="129" t="s">
        <v>88</v>
      </c>
      <c r="G12" s="130" t="s">
        <v>89</v>
      </c>
      <c r="H12" s="131"/>
      <c r="I12" s="132"/>
      <c r="J12" s="129" t="s">
        <v>90</v>
      </c>
      <c r="K12" s="129"/>
      <c r="L12" s="129"/>
      <c r="M12" s="129"/>
      <c r="N12" s="136"/>
    </row>
    <row r="13" spans="1:14">
      <c r="A13" s="128"/>
      <c r="B13" s="129"/>
      <c r="C13" s="10" t="s">
        <v>86</v>
      </c>
      <c r="D13" s="10" t="s">
        <v>91</v>
      </c>
      <c r="E13" s="129"/>
      <c r="F13" s="129"/>
      <c r="G13" s="133"/>
      <c r="H13" s="134"/>
      <c r="I13" s="135"/>
      <c r="J13" s="129"/>
      <c r="K13" s="129"/>
      <c r="L13" s="129"/>
      <c r="M13" s="129"/>
      <c r="N13" s="136"/>
    </row>
    <row r="14" spans="1:14">
      <c r="A14" s="6" t="s">
        <v>8</v>
      </c>
      <c r="B14" s="26" t="s">
        <v>92</v>
      </c>
      <c r="C14" s="24" t="s">
        <v>134</v>
      </c>
      <c r="D14" s="24" t="s">
        <v>135</v>
      </c>
      <c r="E14" s="3" t="s">
        <v>9</v>
      </c>
      <c r="F14" s="3" t="s">
        <v>94</v>
      </c>
      <c r="G14" s="114" t="s">
        <v>95</v>
      </c>
      <c r="H14" s="115"/>
      <c r="I14" s="116"/>
      <c r="J14" s="114" t="s">
        <v>165</v>
      </c>
      <c r="K14" s="115"/>
      <c r="L14" s="115"/>
      <c r="M14" s="115"/>
      <c r="N14" s="117"/>
    </row>
    <row r="15" spans="1:14">
      <c r="A15" s="6" t="s">
        <v>8</v>
      </c>
      <c r="B15" s="27" t="s">
        <v>144</v>
      </c>
      <c r="C15" s="25" t="s">
        <v>134</v>
      </c>
      <c r="D15" s="25" t="s">
        <v>135</v>
      </c>
      <c r="E15" s="3" t="s">
        <v>9</v>
      </c>
      <c r="F15" s="3" t="s">
        <v>94</v>
      </c>
      <c r="G15" s="114" t="s">
        <v>95</v>
      </c>
      <c r="H15" s="115"/>
      <c r="I15" s="116"/>
      <c r="J15" s="114" t="s">
        <v>228</v>
      </c>
      <c r="K15" s="115"/>
      <c r="L15" s="115"/>
      <c r="M15" s="115"/>
      <c r="N15" s="117"/>
    </row>
    <row r="16" spans="1:14">
      <c r="A16" s="6" t="s">
        <v>8</v>
      </c>
      <c r="B16" s="27" t="s">
        <v>174</v>
      </c>
      <c r="C16" s="25" t="s">
        <v>134</v>
      </c>
      <c r="D16" s="25" t="s">
        <v>135</v>
      </c>
      <c r="E16" s="3" t="s">
        <v>9</v>
      </c>
      <c r="F16" s="3" t="s">
        <v>94</v>
      </c>
      <c r="G16" s="114" t="s">
        <v>95</v>
      </c>
      <c r="H16" s="115"/>
      <c r="I16" s="116"/>
      <c r="J16" s="114" t="s">
        <v>175</v>
      </c>
      <c r="K16" s="115"/>
      <c r="L16" s="115"/>
      <c r="M16" s="115"/>
      <c r="N16" s="117"/>
    </row>
    <row r="17" spans="1:14">
      <c r="A17" s="118" t="s">
        <v>115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20"/>
    </row>
    <row r="18" spans="1:14">
      <c r="A18" s="121" t="s">
        <v>4</v>
      </c>
      <c r="B18" s="122" t="s">
        <v>85</v>
      </c>
      <c r="C18" s="122" t="s">
        <v>116</v>
      </c>
      <c r="D18" s="122" t="s">
        <v>117</v>
      </c>
      <c r="E18" s="122" t="s">
        <v>118</v>
      </c>
      <c r="F18" s="122"/>
      <c r="G18" s="122"/>
      <c r="H18" s="122"/>
      <c r="I18" s="122"/>
      <c r="J18" s="122"/>
      <c r="K18" s="122"/>
      <c r="L18" s="122"/>
      <c r="M18" s="122" t="s">
        <v>119</v>
      </c>
      <c r="N18" s="123"/>
    </row>
    <row r="19" spans="1:14">
      <c r="A19" s="121"/>
      <c r="B19" s="122"/>
      <c r="C19" s="122"/>
      <c r="D19" s="122"/>
      <c r="E19" s="11" t="s">
        <v>85</v>
      </c>
      <c r="F19" s="11" t="s">
        <v>86</v>
      </c>
      <c r="G19" s="11" t="s">
        <v>91</v>
      </c>
      <c r="H19" s="11" t="s">
        <v>120</v>
      </c>
      <c r="I19" s="11" t="s">
        <v>87</v>
      </c>
      <c r="J19" s="122" t="s">
        <v>117</v>
      </c>
      <c r="K19" s="122"/>
      <c r="L19" s="122"/>
      <c r="M19" s="122"/>
      <c r="N19" s="123"/>
    </row>
    <row r="20" spans="1:14" ht="27">
      <c r="A20" s="6" t="s">
        <v>9</v>
      </c>
      <c r="B20" s="26" t="str">
        <f>B2</f>
        <v>City</v>
      </c>
      <c r="C20" s="28" t="s">
        <v>121</v>
      </c>
      <c r="D20" s="28" t="s">
        <v>122</v>
      </c>
      <c r="E20" s="3"/>
      <c r="F20" s="3"/>
      <c r="G20" s="3"/>
      <c r="H20" s="3"/>
      <c r="I20" s="3"/>
      <c r="J20" s="106"/>
      <c r="K20" s="107"/>
      <c r="L20" s="108"/>
      <c r="M20" s="106"/>
      <c r="N20" s="109"/>
    </row>
    <row r="21" spans="1:14">
      <c r="A21" s="110" t="s">
        <v>126</v>
      </c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2"/>
    </row>
    <row r="22" spans="1:14">
      <c r="A22" s="113" t="s">
        <v>4</v>
      </c>
      <c r="B22" s="100" t="s">
        <v>85</v>
      </c>
      <c r="C22" s="100" t="s">
        <v>127</v>
      </c>
      <c r="D22" s="100" t="s">
        <v>128</v>
      </c>
      <c r="E22" s="100" t="s">
        <v>117</v>
      </c>
      <c r="F22" s="100" t="s">
        <v>118</v>
      </c>
      <c r="G22" s="100"/>
      <c r="H22" s="100"/>
      <c r="I22" s="100"/>
      <c r="J22" s="100"/>
      <c r="K22" s="100"/>
      <c r="L22" s="100" t="s">
        <v>129</v>
      </c>
      <c r="M22" s="100"/>
      <c r="N22" s="101" t="s">
        <v>119</v>
      </c>
    </row>
    <row r="23" spans="1:14">
      <c r="A23" s="113"/>
      <c r="B23" s="100"/>
      <c r="C23" s="100"/>
      <c r="D23" s="100"/>
      <c r="E23" s="100"/>
      <c r="F23" s="12" t="s">
        <v>85</v>
      </c>
      <c r="G23" s="12" t="s">
        <v>86</v>
      </c>
      <c r="H23" s="12" t="s">
        <v>91</v>
      </c>
      <c r="I23" s="12" t="s">
        <v>120</v>
      </c>
      <c r="J23" s="12" t="s">
        <v>87</v>
      </c>
      <c r="K23" s="12" t="s">
        <v>117</v>
      </c>
      <c r="L23" s="12" t="s">
        <v>86</v>
      </c>
      <c r="M23" s="12" t="s">
        <v>91</v>
      </c>
      <c r="N23" s="101"/>
    </row>
    <row r="24" spans="1:14">
      <c r="A24" s="6" t="s">
        <v>9</v>
      </c>
      <c r="B24" s="24" t="s">
        <v>9</v>
      </c>
      <c r="C24" s="28" t="s">
        <v>9</v>
      </c>
      <c r="D24" s="28" t="s">
        <v>9</v>
      </c>
      <c r="E24" s="3" t="s">
        <v>130</v>
      </c>
      <c r="F24" s="3"/>
      <c r="G24" s="3"/>
      <c r="H24" s="3"/>
      <c r="I24" s="3"/>
      <c r="J24" s="3"/>
      <c r="K24" s="3"/>
      <c r="L24" s="3"/>
      <c r="M24" s="3"/>
      <c r="N24" s="7"/>
    </row>
    <row r="25" spans="1:14">
      <c r="A25" s="102" t="s">
        <v>131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4"/>
    </row>
    <row r="26" spans="1:14">
      <c r="A26" s="105" t="s">
        <v>4</v>
      </c>
      <c r="B26" s="98" t="s">
        <v>85</v>
      </c>
      <c r="C26" s="98" t="s">
        <v>132</v>
      </c>
      <c r="D26" s="98" t="s">
        <v>128</v>
      </c>
      <c r="E26" s="98" t="s">
        <v>117</v>
      </c>
      <c r="F26" s="98" t="s">
        <v>118</v>
      </c>
      <c r="G26" s="98"/>
      <c r="H26" s="98"/>
      <c r="I26" s="98"/>
      <c r="J26" s="98"/>
      <c r="K26" s="98"/>
      <c r="L26" s="98" t="s">
        <v>129</v>
      </c>
      <c r="M26" s="98"/>
      <c r="N26" s="99" t="s">
        <v>119</v>
      </c>
    </row>
    <row r="27" spans="1:14">
      <c r="A27" s="105"/>
      <c r="B27" s="98"/>
      <c r="C27" s="98"/>
      <c r="D27" s="98"/>
      <c r="E27" s="98"/>
      <c r="F27" s="13" t="s">
        <v>85</v>
      </c>
      <c r="G27" s="13" t="s">
        <v>86</v>
      </c>
      <c r="H27" s="13" t="s">
        <v>91</v>
      </c>
      <c r="I27" s="13" t="s">
        <v>120</v>
      </c>
      <c r="J27" s="13" t="s">
        <v>87</v>
      </c>
      <c r="K27" s="13" t="s">
        <v>117</v>
      </c>
      <c r="L27" s="13" t="s">
        <v>86</v>
      </c>
      <c r="M27" s="13" t="s">
        <v>91</v>
      </c>
      <c r="N27" s="99"/>
    </row>
    <row r="28" spans="1:14">
      <c r="A28" s="6" t="s">
        <v>9</v>
      </c>
      <c r="B28" s="26" t="s">
        <v>9</v>
      </c>
      <c r="C28" s="3"/>
      <c r="D28" s="3" t="s">
        <v>9</v>
      </c>
      <c r="E28" s="24" t="s">
        <v>9</v>
      </c>
      <c r="F28" s="3"/>
      <c r="G28" s="3"/>
      <c r="H28" s="3"/>
      <c r="I28" s="3" t="s">
        <v>9</v>
      </c>
      <c r="J28" s="3" t="s">
        <v>9</v>
      </c>
      <c r="K28" s="3"/>
      <c r="L28" s="3"/>
      <c r="M28" s="3"/>
      <c r="N28" s="7" t="s">
        <v>9</v>
      </c>
    </row>
  </sheetData>
  <mergeCells count="52"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B10:D10"/>
    <mergeCell ref="A11:N11"/>
    <mergeCell ref="G16:I16"/>
    <mergeCell ref="J16:N16"/>
    <mergeCell ref="A12:A13"/>
    <mergeCell ref="B12:B13"/>
    <mergeCell ref="C12:D12"/>
    <mergeCell ref="E12:E13"/>
    <mergeCell ref="F12:F13"/>
    <mergeCell ref="G12:I13"/>
    <mergeCell ref="J12:N13"/>
    <mergeCell ref="G14:I14"/>
    <mergeCell ref="J14:N14"/>
    <mergeCell ref="G15:I15"/>
    <mergeCell ref="J15:N15"/>
    <mergeCell ref="A17:N17"/>
    <mergeCell ref="A18:A19"/>
    <mergeCell ref="B18:B19"/>
    <mergeCell ref="C18:C19"/>
    <mergeCell ref="D18:D19"/>
    <mergeCell ref="E18:L18"/>
    <mergeCell ref="M18:N19"/>
    <mergeCell ref="J19:L19"/>
    <mergeCell ref="J20:L20"/>
    <mergeCell ref="M20:N20"/>
    <mergeCell ref="A21:N21"/>
    <mergeCell ref="A22:A23"/>
    <mergeCell ref="B22:B23"/>
    <mergeCell ref="C22:C23"/>
    <mergeCell ref="D22:D23"/>
    <mergeCell ref="E22:E23"/>
    <mergeCell ref="F22:K22"/>
    <mergeCell ref="L22:M22"/>
    <mergeCell ref="N22:N23"/>
    <mergeCell ref="A25:N25"/>
    <mergeCell ref="A26:A27"/>
    <mergeCell ref="B26:B27"/>
    <mergeCell ref="C26:C27"/>
    <mergeCell ref="D26:D27"/>
    <mergeCell ref="E26:E27"/>
    <mergeCell ref="F26:K26"/>
    <mergeCell ref="L26:M26"/>
    <mergeCell ref="N26:N27"/>
  </mergeCells>
  <hyperlinks>
    <hyperlink ref="A1:E1" location="'Structs'!A1" display="&lt;-Volver al inicio" xr:uid="{4FA8ED93-39D7-409E-B22C-49B09FEA34B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9CDA011-CD91-4B68-8957-C9A9AA9195F1}">
          <x14:formula1>
            <xm:f>Structs!$D$2:$E$2</xm:f>
          </x14:formula1>
          <xm:sqref>A20 A24 A28</xm:sqref>
        </x14:dataValidation>
        <x14:dataValidation type="list" allowBlank="1" showInputMessage="1" showErrorMessage="1" xr:uid="{028EDD10-B12E-4D86-B91C-C31B5608556A}">
          <x14:formula1>
            <xm:f>Structs!$E$2</xm:f>
          </x14:formula1>
          <xm:sqref>B6:E6 E14:E16 I20 J24 D28 I28:J28</xm:sqref>
        </x14:dataValidation>
        <x14:dataValidation type="list" allowBlank="1" showInputMessage="1" showErrorMessage="1" xr:uid="{145633C9-61EB-4DFA-88E6-E459859EE22B}">
          <x14:formula1>
            <xm:f>Structs!$D$2</xm:f>
          </x14:formula1>
          <xm:sqref>A14:A16 B5:E5</xm:sqref>
        </x14:dataValidation>
        <x14:dataValidation type="list" allowBlank="1" showInputMessage="1" showErrorMessage="1" xr:uid="{847101A0-FB61-4C6E-A5AC-49E66410E2BF}">
          <x14:formula1>
            <xm:f>Valores!$G$2:$G$12</xm:f>
          </x14:formula1>
          <xm:sqref>G28 F20 G24 L24 C14:C16</xm:sqref>
        </x14:dataValidation>
        <x14:dataValidation type="list" allowBlank="1" showInputMessage="1" showErrorMessage="1" xr:uid="{6F76087E-9389-4E6B-8346-950BB336B2F3}">
          <x14:formula1>
            <xm:f>Valores!$H$2:$H$3</xm:f>
          </x14:formula1>
          <xm:sqref>F14:F16 C28</xm:sqref>
        </x14:dataValidation>
        <x14:dataValidation type="list" allowBlank="1" showInputMessage="1" showErrorMessage="1" xr:uid="{307491D2-A981-4351-8595-FCD8DCD67A9E}">
          <x14:formula1>
            <xm:f>Valores!$J$2:$J$3</xm:f>
          </x14:formula1>
          <xm:sqref>H20 I24</xm:sqref>
        </x14:dataValidation>
        <x14:dataValidation type="list" allowBlank="1" showInputMessage="1" showErrorMessage="1" xr:uid="{B5C09907-F757-4089-B581-6626CFD3B5D0}">
          <x14:formula1>
            <xm:f>Valores!$L$2:$L$13</xm:f>
          </x14:formula1>
          <xm:sqref>L28</xm:sqref>
        </x14:dataValidation>
        <x14:dataValidation type="list" allowBlank="1" showInputMessage="1" showErrorMessage="1" xr:uid="{982BD9BB-BC0B-4D8B-8569-E68CA6E6FD64}">
          <x14:formula1>
            <xm:f>Valores!$C$2:$C$7</xm:f>
          </x14:formula1>
          <xm:sqref>B9:D10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E43A-CD19-4EE0-8593-03192C5F528F}">
  <dimension ref="A1:N27"/>
  <sheetViews>
    <sheetView zoomScale="55" zoomScaleNormal="55" workbookViewId="0">
      <pane ySplit="1" topLeftCell="A3" activePane="bottomLeft" state="frozen"/>
      <selection pane="bottomLeft" activeCell="B29" sqref="B29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Structs!I11</f>
        <v>Department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Structs!B11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Structs!C11</f>
        <v>Estructura que representa un departamento dentro del catálogo geográfico nacional.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141" t="s">
        <v>82</v>
      </c>
      <c r="C9" s="141"/>
      <c r="D9" s="142"/>
      <c r="E9" s="53" t="str">
        <f>HYPERLINK("#'"&amp;F9&amp;"'!A1", F9)</f>
        <v>City</v>
      </c>
      <c r="F9" s="55" t="s">
        <v>26</v>
      </c>
    </row>
    <row r="10" spans="1:14">
      <c r="A10" s="25" t="s">
        <v>83</v>
      </c>
      <c r="B10" s="141" t="s">
        <v>82</v>
      </c>
      <c r="C10" s="141"/>
      <c r="D10" s="142"/>
      <c r="E10" s="53" t="str">
        <f>HYPERLINK("#'"&amp;F10&amp;"'!A1", F10)</f>
        <v>Location</v>
      </c>
      <c r="F10" s="56" t="s">
        <v>16</v>
      </c>
    </row>
    <row r="11" spans="1:14">
      <c r="A11" s="124" t="s">
        <v>84</v>
      </c>
      <c r="B11" s="125"/>
      <c r="C11" s="125"/>
      <c r="D11" s="125"/>
      <c r="E11" s="126"/>
      <c r="F11" s="126"/>
      <c r="G11" s="125"/>
      <c r="H11" s="125"/>
      <c r="I11" s="125"/>
      <c r="J11" s="125"/>
      <c r="K11" s="125"/>
      <c r="L11" s="125"/>
      <c r="M11" s="125"/>
      <c r="N11" s="127"/>
    </row>
    <row r="12" spans="1:14">
      <c r="A12" s="128" t="s">
        <v>4</v>
      </c>
      <c r="B12" s="129" t="s">
        <v>85</v>
      </c>
      <c r="C12" s="129" t="s">
        <v>86</v>
      </c>
      <c r="D12" s="129"/>
      <c r="E12" s="129" t="s">
        <v>87</v>
      </c>
      <c r="F12" s="129" t="s">
        <v>88</v>
      </c>
      <c r="G12" s="130" t="s">
        <v>89</v>
      </c>
      <c r="H12" s="131"/>
      <c r="I12" s="132"/>
      <c r="J12" s="129" t="s">
        <v>90</v>
      </c>
      <c r="K12" s="129"/>
      <c r="L12" s="129"/>
      <c r="M12" s="129"/>
      <c r="N12" s="136"/>
    </row>
    <row r="13" spans="1:14">
      <c r="A13" s="128"/>
      <c r="B13" s="129"/>
      <c r="C13" s="10" t="s">
        <v>86</v>
      </c>
      <c r="D13" s="10" t="s">
        <v>91</v>
      </c>
      <c r="E13" s="129"/>
      <c r="F13" s="129"/>
      <c r="G13" s="133"/>
      <c r="H13" s="134"/>
      <c r="I13" s="135"/>
      <c r="J13" s="129"/>
      <c r="K13" s="129"/>
      <c r="L13" s="129"/>
      <c r="M13" s="129"/>
      <c r="N13" s="136"/>
    </row>
    <row r="14" spans="1:14">
      <c r="A14" s="6" t="s">
        <v>8</v>
      </c>
      <c r="B14" s="26" t="s">
        <v>92</v>
      </c>
      <c r="C14" s="24" t="s">
        <v>134</v>
      </c>
      <c r="D14" s="24" t="s">
        <v>135</v>
      </c>
      <c r="E14" s="3" t="s">
        <v>9</v>
      </c>
      <c r="F14" s="3" t="s">
        <v>94</v>
      </c>
      <c r="G14" s="114" t="s">
        <v>95</v>
      </c>
      <c r="H14" s="115"/>
      <c r="I14" s="116"/>
      <c r="J14" s="114" t="s">
        <v>165</v>
      </c>
      <c r="K14" s="115"/>
      <c r="L14" s="115"/>
      <c r="M14" s="115"/>
      <c r="N14" s="117"/>
    </row>
    <row r="15" spans="1:14">
      <c r="A15" s="6" t="s">
        <v>8</v>
      </c>
      <c r="B15" s="27" t="s">
        <v>144</v>
      </c>
      <c r="C15" s="25" t="s">
        <v>134</v>
      </c>
      <c r="D15" s="25" t="s">
        <v>135</v>
      </c>
      <c r="E15" s="3" t="s">
        <v>9</v>
      </c>
      <c r="F15" s="3" t="s">
        <v>94</v>
      </c>
      <c r="G15" s="114" t="s">
        <v>95</v>
      </c>
      <c r="H15" s="115"/>
      <c r="I15" s="116"/>
      <c r="J15" s="114" t="s">
        <v>228</v>
      </c>
      <c r="K15" s="115"/>
      <c r="L15" s="115"/>
      <c r="M15" s="115"/>
      <c r="N15" s="117"/>
    </row>
    <row r="16" spans="1:14">
      <c r="A16" s="118" t="s">
        <v>115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20"/>
    </row>
    <row r="17" spans="1:14">
      <c r="A17" s="121" t="s">
        <v>4</v>
      </c>
      <c r="B17" s="122" t="s">
        <v>85</v>
      </c>
      <c r="C17" s="122" t="s">
        <v>116</v>
      </c>
      <c r="D17" s="122" t="s">
        <v>117</v>
      </c>
      <c r="E17" s="122" t="s">
        <v>118</v>
      </c>
      <c r="F17" s="122"/>
      <c r="G17" s="122"/>
      <c r="H17" s="122"/>
      <c r="I17" s="122"/>
      <c r="J17" s="122"/>
      <c r="K17" s="122"/>
      <c r="L17" s="122"/>
      <c r="M17" s="122" t="s">
        <v>119</v>
      </c>
      <c r="N17" s="123"/>
    </row>
    <row r="18" spans="1:14">
      <c r="A18" s="121"/>
      <c r="B18" s="122"/>
      <c r="C18" s="122"/>
      <c r="D18" s="122"/>
      <c r="E18" s="11" t="s">
        <v>85</v>
      </c>
      <c r="F18" s="11" t="s">
        <v>86</v>
      </c>
      <c r="G18" s="11" t="s">
        <v>91</v>
      </c>
      <c r="H18" s="11" t="s">
        <v>120</v>
      </c>
      <c r="I18" s="11" t="s">
        <v>87</v>
      </c>
      <c r="J18" s="122" t="s">
        <v>117</v>
      </c>
      <c r="K18" s="122"/>
      <c r="L18" s="122"/>
      <c r="M18" s="122"/>
      <c r="N18" s="123"/>
    </row>
    <row r="19" spans="1:14" ht="27">
      <c r="A19" s="6" t="s">
        <v>9</v>
      </c>
      <c r="B19" s="26" t="str">
        <f>B2</f>
        <v>Department</v>
      </c>
      <c r="C19" s="28" t="s">
        <v>121</v>
      </c>
      <c r="D19" s="28" t="s">
        <v>122</v>
      </c>
      <c r="E19" s="3"/>
      <c r="F19" s="3"/>
      <c r="G19" s="3"/>
      <c r="H19" s="3"/>
      <c r="I19" s="3"/>
      <c r="J19" s="106"/>
      <c r="K19" s="107"/>
      <c r="L19" s="108"/>
      <c r="M19" s="106"/>
      <c r="N19" s="109"/>
    </row>
    <row r="20" spans="1:14">
      <c r="A20" s="110" t="s">
        <v>126</v>
      </c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2"/>
    </row>
    <row r="21" spans="1:14">
      <c r="A21" s="113" t="s">
        <v>4</v>
      </c>
      <c r="B21" s="100" t="s">
        <v>85</v>
      </c>
      <c r="C21" s="100" t="s">
        <v>127</v>
      </c>
      <c r="D21" s="100" t="s">
        <v>128</v>
      </c>
      <c r="E21" s="100" t="s">
        <v>117</v>
      </c>
      <c r="F21" s="100" t="s">
        <v>118</v>
      </c>
      <c r="G21" s="100"/>
      <c r="H21" s="100"/>
      <c r="I21" s="100"/>
      <c r="J21" s="100"/>
      <c r="K21" s="100"/>
      <c r="L21" s="100" t="s">
        <v>129</v>
      </c>
      <c r="M21" s="100"/>
      <c r="N21" s="101" t="s">
        <v>119</v>
      </c>
    </row>
    <row r="22" spans="1:14">
      <c r="A22" s="113"/>
      <c r="B22" s="100"/>
      <c r="C22" s="100"/>
      <c r="D22" s="100"/>
      <c r="E22" s="100"/>
      <c r="F22" s="12" t="s">
        <v>85</v>
      </c>
      <c r="G22" s="12" t="s">
        <v>86</v>
      </c>
      <c r="H22" s="12" t="s">
        <v>91</v>
      </c>
      <c r="I22" s="12" t="s">
        <v>120</v>
      </c>
      <c r="J22" s="12" t="s">
        <v>87</v>
      </c>
      <c r="K22" s="12" t="s">
        <v>117</v>
      </c>
      <c r="L22" s="12" t="s">
        <v>86</v>
      </c>
      <c r="M22" s="12" t="s">
        <v>91</v>
      </c>
      <c r="N22" s="101"/>
    </row>
    <row r="23" spans="1:14">
      <c r="A23" s="6" t="s">
        <v>9</v>
      </c>
      <c r="B23" s="24" t="s">
        <v>9</v>
      </c>
      <c r="C23" s="28" t="s">
        <v>9</v>
      </c>
      <c r="D23" s="28" t="s">
        <v>9</v>
      </c>
      <c r="E23" s="3" t="s">
        <v>130</v>
      </c>
      <c r="F23" s="3"/>
      <c r="G23" s="3"/>
      <c r="H23" s="3"/>
      <c r="I23" s="3"/>
      <c r="J23" s="3"/>
      <c r="K23" s="3"/>
      <c r="L23" s="3"/>
      <c r="M23" s="3"/>
      <c r="N23" s="7"/>
    </row>
    <row r="24" spans="1:14">
      <c r="A24" s="102" t="s">
        <v>131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4"/>
    </row>
    <row r="25" spans="1:14">
      <c r="A25" s="105" t="s">
        <v>4</v>
      </c>
      <c r="B25" s="98" t="s">
        <v>85</v>
      </c>
      <c r="C25" s="98" t="s">
        <v>132</v>
      </c>
      <c r="D25" s="98" t="s">
        <v>128</v>
      </c>
      <c r="E25" s="98" t="s">
        <v>117</v>
      </c>
      <c r="F25" s="98" t="s">
        <v>118</v>
      </c>
      <c r="G25" s="98"/>
      <c r="H25" s="98"/>
      <c r="I25" s="98"/>
      <c r="J25" s="98"/>
      <c r="K25" s="98"/>
      <c r="L25" s="98" t="s">
        <v>129</v>
      </c>
      <c r="M25" s="98"/>
      <c r="N25" s="99" t="s">
        <v>119</v>
      </c>
    </row>
    <row r="26" spans="1:14">
      <c r="A26" s="105"/>
      <c r="B26" s="98"/>
      <c r="C26" s="98"/>
      <c r="D26" s="98"/>
      <c r="E26" s="98"/>
      <c r="F26" s="13" t="s">
        <v>85</v>
      </c>
      <c r="G26" s="13" t="s">
        <v>86</v>
      </c>
      <c r="H26" s="13" t="s">
        <v>91</v>
      </c>
      <c r="I26" s="13" t="s">
        <v>120</v>
      </c>
      <c r="J26" s="13" t="s">
        <v>87</v>
      </c>
      <c r="K26" s="13" t="s">
        <v>117</v>
      </c>
      <c r="L26" s="13" t="s">
        <v>86</v>
      </c>
      <c r="M26" s="13" t="s">
        <v>91</v>
      </c>
      <c r="N26" s="99"/>
    </row>
    <row r="27" spans="1:14">
      <c r="A27" s="6" t="s">
        <v>9</v>
      </c>
      <c r="B27" s="26" t="s">
        <v>9</v>
      </c>
      <c r="C27" s="3"/>
      <c r="D27" s="3" t="s">
        <v>9</v>
      </c>
      <c r="E27" s="24" t="s">
        <v>9</v>
      </c>
      <c r="F27" s="3"/>
      <c r="G27" s="3"/>
      <c r="H27" s="3"/>
      <c r="I27" s="3" t="s">
        <v>9</v>
      </c>
      <c r="J27" s="3" t="s">
        <v>9</v>
      </c>
      <c r="K27" s="3"/>
      <c r="L27" s="3"/>
      <c r="M27" s="3"/>
      <c r="N27" s="7" t="s">
        <v>9</v>
      </c>
    </row>
  </sheetData>
  <mergeCells count="50">
    <mergeCell ref="B6:E6"/>
    <mergeCell ref="A1:E1"/>
    <mergeCell ref="B2:E2"/>
    <mergeCell ref="B3:E3"/>
    <mergeCell ref="B4:E4"/>
    <mergeCell ref="B5:E5"/>
    <mergeCell ref="A12:A13"/>
    <mergeCell ref="B12:B13"/>
    <mergeCell ref="C12:D12"/>
    <mergeCell ref="E12:E13"/>
    <mergeCell ref="F12:F13"/>
    <mergeCell ref="A7:E7"/>
    <mergeCell ref="B8:D8"/>
    <mergeCell ref="B9:D9"/>
    <mergeCell ref="B10:D10"/>
    <mergeCell ref="A11:N11"/>
    <mergeCell ref="G12:I13"/>
    <mergeCell ref="J12:N13"/>
    <mergeCell ref="G14:I14"/>
    <mergeCell ref="J14:N14"/>
    <mergeCell ref="G15:I15"/>
    <mergeCell ref="J15:N15"/>
    <mergeCell ref="A16:N16"/>
    <mergeCell ref="A17:A18"/>
    <mergeCell ref="B17:B18"/>
    <mergeCell ref="C17:C18"/>
    <mergeCell ref="D17:D18"/>
    <mergeCell ref="E17:L17"/>
    <mergeCell ref="M17:N18"/>
    <mergeCell ref="J18:L18"/>
    <mergeCell ref="J19:L19"/>
    <mergeCell ref="M19:N19"/>
    <mergeCell ref="A20:N20"/>
    <mergeCell ref="A21:A22"/>
    <mergeCell ref="B21:B22"/>
    <mergeCell ref="C21:C22"/>
    <mergeCell ref="D21:D22"/>
    <mergeCell ref="E21:E22"/>
    <mergeCell ref="F21:K21"/>
    <mergeCell ref="L21:M21"/>
    <mergeCell ref="N21:N22"/>
    <mergeCell ref="A24:N24"/>
    <mergeCell ref="A25:A26"/>
    <mergeCell ref="B25:B26"/>
    <mergeCell ref="C25:C26"/>
    <mergeCell ref="D25:D26"/>
    <mergeCell ref="E25:E26"/>
    <mergeCell ref="F25:K25"/>
    <mergeCell ref="L25:M25"/>
    <mergeCell ref="N25:N26"/>
  </mergeCells>
  <hyperlinks>
    <hyperlink ref="A1:E1" location="'Structs'!A1" display="&lt;-Volver al inicio" xr:uid="{F1E840C8-3E21-42B6-9D51-80EA6E7438F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C9D108A-4A6E-408C-B33A-072E43D12606}">
          <x14:formula1>
            <xm:f>Valores!$C$2:$C$7</xm:f>
          </x14:formula1>
          <xm:sqref>B9:D10</xm:sqref>
        </x14:dataValidation>
        <x14:dataValidation type="list" allowBlank="1" showInputMessage="1" showErrorMessage="1" xr:uid="{ADCB7D29-EC11-4F47-8503-145F57BD184B}">
          <x14:formula1>
            <xm:f>Valores!$L$2:$L$13</xm:f>
          </x14:formula1>
          <xm:sqref>L27</xm:sqref>
        </x14:dataValidation>
        <x14:dataValidation type="list" allowBlank="1" showInputMessage="1" showErrorMessage="1" xr:uid="{E9B75307-34B3-41B3-BD03-33C6E4ECB1C7}">
          <x14:formula1>
            <xm:f>Valores!$J$2:$J$3</xm:f>
          </x14:formula1>
          <xm:sqref>H19 I23</xm:sqref>
        </x14:dataValidation>
        <x14:dataValidation type="list" allowBlank="1" showInputMessage="1" showErrorMessage="1" xr:uid="{4E725410-8961-44D2-AF26-056775959FE8}">
          <x14:formula1>
            <xm:f>Valores!$H$2:$H$3</xm:f>
          </x14:formula1>
          <xm:sqref>F14:F15 C27</xm:sqref>
        </x14:dataValidation>
        <x14:dataValidation type="list" allowBlank="1" showInputMessage="1" showErrorMessage="1" xr:uid="{1E780724-299D-468D-9E97-4D051EDFE02C}">
          <x14:formula1>
            <xm:f>Valores!$G$2:$G$12</xm:f>
          </x14:formula1>
          <xm:sqref>G27 F19 G23 L23 C14:C15</xm:sqref>
        </x14:dataValidation>
        <x14:dataValidation type="list" allowBlank="1" showInputMessage="1" showErrorMessage="1" xr:uid="{10FB5A91-16A5-49A6-9154-D61E8734A8AB}">
          <x14:formula1>
            <xm:f>Structs!$D$2</xm:f>
          </x14:formula1>
          <xm:sqref>A14:A15 B5:E5</xm:sqref>
        </x14:dataValidation>
        <x14:dataValidation type="list" allowBlank="1" showInputMessage="1" showErrorMessage="1" xr:uid="{3037CC4E-9776-4830-82B5-66F1B0E2875E}">
          <x14:formula1>
            <xm:f>Structs!$E$2</xm:f>
          </x14:formula1>
          <xm:sqref>B6:E6 E14:E15 I19 J23 D27 I27:J27</xm:sqref>
        </x14:dataValidation>
        <x14:dataValidation type="list" allowBlank="1" showInputMessage="1" showErrorMessage="1" xr:uid="{6B9498FF-4DDD-471A-AF79-9906F3E8B707}">
          <x14:formula1>
            <xm:f>Structs!$D$2:$E$2</xm:f>
          </x14:formula1>
          <xm:sqref>A19 A23 A27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5A0B-DECE-421F-A3DB-192E528E91D9}">
  <dimension ref="A1:N36"/>
  <sheetViews>
    <sheetView zoomScale="55" zoomScaleNormal="55" workbookViewId="0">
      <pane ySplit="1" topLeftCell="A2" activePane="bottomLeft" state="frozen"/>
      <selection pane="bottomLeft" activeCell="E20" sqref="E20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Structs!I12</f>
        <v>Message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Structs!B12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Structs!C12</f>
        <v>Estructura que representa un mensaje del sistema centralizado. Contiene código, tipo, categoría, módulo, título, contenido y estado de activación.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41" t="s">
        <v>82</v>
      </c>
      <c r="C9" s="141"/>
      <c r="D9" s="142"/>
      <c r="E9" s="53" t="str">
        <f>HYPERLINK("#'"&amp;F9&amp;"'!A1", F9)</f>
        <v>MessageType</v>
      </c>
      <c r="F9" s="55" t="s">
        <v>67</v>
      </c>
    </row>
    <row r="10" spans="1:14">
      <c r="A10" s="124" t="s">
        <v>84</v>
      </c>
      <c r="B10" s="125"/>
      <c r="C10" s="125"/>
      <c r="D10" s="125"/>
      <c r="E10" s="126"/>
      <c r="F10" s="126"/>
      <c r="G10" s="125"/>
      <c r="H10" s="125"/>
      <c r="I10" s="125"/>
      <c r="J10" s="125"/>
      <c r="K10" s="125"/>
      <c r="L10" s="125"/>
      <c r="M10" s="125"/>
      <c r="N10" s="127"/>
    </row>
    <row r="11" spans="1:14">
      <c r="A11" s="128" t="s">
        <v>4</v>
      </c>
      <c r="B11" s="129" t="s">
        <v>85</v>
      </c>
      <c r="C11" s="129" t="s">
        <v>86</v>
      </c>
      <c r="D11" s="129"/>
      <c r="E11" s="129" t="s">
        <v>87</v>
      </c>
      <c r="F11" s="129" t="s">
        <v>88</v>
      </c>
      <c r="G11" s="130" t="s">
        <v>89</v>
      </c>
      <c r="H11" s="131"/>
      <c r="I11" s="132"/>
      <c r="J11" s="129" t="s">
        <v>90</v>
      </c>
      <c r="K11" s="129"/>
      <c r="L11" s="129"/>
      <c r="M11" s="129"/>
      <c r="N11" s="136"/>
    </row>
    <row r="12" spans="1:14">
      <c r="A12" s="128"/>
      <c r="B12" s="129"/>
      <c r="C12" s="10" t="s">
        <v>86</v>
      </c>
      <c r="D12" s="10" t="s">
        <v>91</v>
      </c>
      <c r="E12" s="129"/>
      <c r="F12" s="129"/>
      <c r="G12" s="133"/>
      <c r="H12" s="134"/>
      <c r="I12" s="135"/>
      <c r="J12" s="129"/>
      <c r="K12" s="129"/>
      <c r="L12" s="129"/>
      <c r="M12" s="129"/>
      <c r="N12" s="136"/>
    </row>
    <row r="13" spans="1:14">
      <c r="A13" s="6" t="s">
        <v>8</v>
      </c>
      <c r="B13" s="26" t="s">
        <v>92</v>
      </c>
      <c r="C13" s="24" t="s">
        <v>134</v>
      </c>
      <c r="D13" s="24" t="s">
        <v>135</v>
      </c>
      <c r="E13" s="3" t="s">
        <v>9</v>
      </c>
      <c r="F13" s="3" t="s">
        <v>94</v>
      </c>
      <c r="G13" s="114" t="s">
        <v>95</v>
      </c>
      <c r="H13" s="115"/>
      <c r="I13" s="116"/>
      <c r="J13" s="114" t="s">
        <v>165</v>
      </c>
      <c r="K13" s="115"/>
      <c r="L13" s="115"/>
      <c r="M13" s="115"/>
      <c r="N13" s="117"/>
    </row>
    <row r="14" spans="1:14">
      <c r="A14" s="6" t="s">
        <v>8</v>
      </c>
      <c r="B14" s="27" t="s">
        <v>229</v>
      </c>
      <c r="C14" s="25" t="s">
        <v>134</v>
      </c>
      <c r="D14" s="25" t="s">
        <v>135</v>
      </c>
      <c r="E14" s="3" t="s">
        <v>9</v>
      </c>
      <c r="F14" s="3" t="s">
        <v>94</v>
      </c>
      <c r="G14" s="114" t="s">
        <v>95</v>
      </c>
      <c r="H14" s="115"/>
      <c r="I14" s="116"/>
      <c r="J14" s="114" t="s">
        <v>230</v>
      </c>
      <c r="K14" s="115"/>
      <c r="L14" s="115"/>
      <c r="M14" s="115"/>
      <c r="N14" s="117"/>
    </row>
    <row r="15" spans="1:14">
      <c r="A15" s="6" t="s">
        <v>8</v>
      </c>
      <c r="B15" s="27" t="s">
        <v>231</v>
      </c>
      <c r="C15" s="25" t="s">
        <v>111</v>
      </c>
      <c r="D15" s="25" t="s">
        <v>67</v>
      </c>
      <c r="E15" s="3" t="s">
        <v>9</v>
      </c>
      <c r="F15" s="3" t="s">
        <v>94</v>
      </c>
      <c r="G15" s="114" t="s">
        <v>95</v>
      </c>
      <c r="H15" s="115"/>
      <c r="I15" s="116"/>
      <c r="J15" s="114" t="s">
        <v>232</v>
      </c>
      <c r="K15" s="115"/>
      <c r="L15" s="115"/>
      <c r="M15" s="115"/>
      <c r="N15" s="117"/>
    </row>
    <row r="16" spans="1:14">
      <c r="A16" s="6" t="s">
        <v>8</v>
      </c>
      <c r="B16" s="27" t="s">
        <v>212</v>
      </c>
      <c r="C16" s="25" t="s">
        <v>134</v>
      </c>
      <c r="D16" s="25" t="s">
        <v>135</v>
      </c>
      <c r="E16" s="3" t="s">
        <v>9</v>
      </c>
      <c r="F16" s="3" t="s">
        <v>94</v>
      </c>
      <c r="G16" s="114" t="s">
        <v>95</v>
      </c>
      <c r="H16" s="115"/>
      <c r="I16" s="116"/>
      <c r="J16" s="114" t="s">
        <v>233</v>
      </c>
      <c r="K16" s="115"/>
      <c r="L16" s="115"/>
      <c r="M16" s="115"/>
      <c r="N16" s="117"/>
    </row>
    <row r="17" spans="1:14">
      <c r="A17" s="6" t="s">
        <v>8</v>
      </c>
      <c r="B17" s="27" t="s">
        <v>234</v>
      </c>
      <c r="C17" s="25" t="s">
        <v>134</v>
      </c>
      <c r="D17" s="25" t="s">
        <v>135</v>
      </c>
      <c r="E17" s="3" t="s">
        <v>9</v>
      </c>
      <c r="F17" s="3" t="s">
        <v>94</v>
      </c>
      <c r="G17" s="114" t="s">
        <v>95</v>
      </c>
      <c r="H17" s="115"/>
      <c r="I17" s="116"/>
      <c r="J17" s="114" t="s">
        <v>235</v>
      </c>
      <c r="K17" s="115"/>
      <c r="L17" s="115"/>
      <c r="M17" s="115"/>
      <c r="N17" s="117"/>
    </row>
    <row r="18" spans="1:14">
      <c r="A18" s="6" t="s">
        <v>8</v>
      </c>
      <c r="B18" s="27" t="s">
        <v>236</v>
      </c>
      <c r="C18" s="25" t="s">
        <v>111</v>
      </c>
      <c r="D18" s="25"/>
      <c r="E18" s="3" t="s">
        <v>9</v>
      </c>
      <c r="F18" s="3" t="s">
        <v>94</v>
      </c>
      <c r="G18" s="114" t="s">
        <v>95</v>
      </c>
      <c r="H18" s="115"/>
      <c r="I18" s="116"/>
      <c r="J18" s="114" t="s">
        <v>237</v>
      </c>
      <c r="K18" s="115"/>
      <c r="L18" s="115"/>
      <c r="M18" s="115"/>
      <c r="N18" s="117"/>
    </row>
    <row r="19" spans="1:14">
      <c r="A19" s="6" t="s">
        <v>8</v>
      </c>
      <c r="B19" s="27" t="s">
        <v>238</v>
      </c>
      <c r="C19" s="25" t="s">
        <v>134</v>
      </c>
      <c r="D19" s="25" t="s">
        <v>135</v>
      </c>
      <c r="E19" s="3" t="s">
        <v>9</v>
      </c>
      <c r="F19" s="3" t="s">
        <v>94</v>
      </c>
      <c r="G19" s="114" t="s">
        <v>95</v>
      </c>
      <c r="H19" s="115"/>
      <c r="I19" s="116"/>
      <c r="J19" s="114" t="s">
        <v>239</v>
      </c>
      <c r="K19" s="115"/>
      <c r="L19" s="115"/>
      <c r="M19" s="115"/>
      <c r="N19" s="117"/>
    </row>
    <row r="20" spans="1:14">
      <c r="A20" s="6" t="s">
        <v>8</v>
      </c>
      <c r="B20" s="27" t="s">
        <v>240</v>
      </c>
      <c r="C20" s="25" t="s">
        <v>162</v>
      </c>
      <c r="D20" s="25"/>
      <c r="E20" s="3" t="s">
        <v>9</v>
      </c>
      <c r="F20" s="3" t="s">
        <v>94</v>
      </c>
      <c r="G20" s="114" t="s">
        <v>241</v>
      </c>
      <c r="H20" s="115"/>
      <c r="I20" s="116"/>
      <c r="J20" s="114" t="s">
        <v>242</v>
      </c>
      <c r="K20" s="115"/>
      <c r="L20" s="115"/>
      <c r="M20" s="115"/>
      <c r="N20" s="117"/>
    </row>
    <row r="21" spans="1:14" ht="15.75" customHeight="1">
      <c r="A21" s="6" t="s">
        <v>8</v>
      </c>
      <c r="B21" s="27" t="s">
        <v>223</v>
      </c>
      <c r="C21" s="25" t="s">
        <v>111</v>
      </c>
      <c r="D21" s="25" t="s">
        <v>243</v>
      </c>
      <c r="E21" s="3" t="s">
        <v>9</v>
      </c>
      <c r="F21" s="3" t="s">
        <v>94</v>
      </c>
      <c r="G21" s="114" t="s">
        <v>95</v>
      </c>
      <c r="H21" s="115"/>
      <c r="I21" s="116"/>
      <c r="J21" s="114" t="s">
        <v>244</v>
      </c>
      <c r="K21" s="115"/>
      <c r="L21" s="115"/>
      <c r="M21" s="115"/>
      <c r="N21" s="117"/>
    </row>
    <row r="22" spans="1:14">
      <c r="A22" s="6" t="s">
        <v>8</v>
      </c>
      <c r="B22" s="27" t="s">
        <v>245</v>
      </c>
      <c r="C22" s="25" t="s">
        <v>111</v>
      </c>
      <c r="D22" s="25" t="s">
        <v>243</v>
      </c>
      <c r="E22" s="3" t="s">
        <v>9</v>
      </c>
      <c r="F22" s="3" t="s">
        <v>94</v>
      </c>
      <c r="G22" s="114" t="s">
        <v>95</v>
      </c>
      <c r="H22" s="115"/>
      <c r="I22" s="116"/>
      <c r="J22" s="114" t="s">
        <v>246</v>
      </c>
      <c r="K22" s="115"/>
      <c r="L22" s="115"/>
      <c r="M22" s="115"/>
      <c r="N22" s="117"/>
    </row>
    <row r="23" spans="1:14">
      <c r="A23" s="118" t="s">
        <v>115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20"/>
    </row>
    <row r="24" spans="1:14">
      <c r="A24" s="121" t="s">
        <v>4</v>
      </c>
      <c r="B24" s="122" t="s">
        <v>85</v>
      </c>
      <c r="C24" s="122" t="s">
        <v>116</v>
      </c>
      <c r="D24" s="122" t="s">
        <v>117</v>
      </c>
      <c r="E24" s="122" t="s">
        <v>118</v>
      </c>
      <c r="F24" s="122"/>
      <c r="G24" s="122"/>
      <c r="H24" s="122"/>
      <c r="I24" s="122"/>
      <c r="J24" s="122"/>
      <c r="K24" s="122"/>
      <c r="L24" s="122"/>
      <c r="M24" s="122" t="s">
        <v>119</v>
      </c>
      <c r="N24" s="123"/>
    </row>
    <row r="25" spans="1:14">
      <c r="A25" s="121"/>
      <c r="B25" s="122"/>
      <c r="C25" s="122"/>
      <c r="D25" s="122"/>
      <c r="E25" s="11" t="s">
        <v>85</v>
      </c>
      <c r="F25" s="11" t="s">
        <v>86</v>
      </c>
      <c r="G25" s="11" t="s">
        <v>91</v>
      </c>
      <c r="H25" s="11" t="s">
        <v>120</v>
      </c>
      <c r="I25" s="11" t="s">
        <v>87</v>
      </c>
      <c r="J25" s="122" t="s">
        <v>117</v>
      </c>
      <c r="K25" s="122"/>
      <c r="L25" s="122"/>
      <c r="M25" s="122"/>
      <c r="N25" s="123"/>
    </row>
    <row r="26" spans="1:14" ht="27">
      <c r="A26" s="6" t="s">
        <v>9</v>
      </c>
      <c r="B26" s="26" t="str">
        <f>B2</f>
        <v>Message</v>
      </c>
      <c r="C26" s="28" t="s">
        <v>121</v>
      </c>
      <c r="D26" s="28" t="s">
        <v>122</v>
      </c>
      <c r="E26" s="3"/>
      <c r="F26" s="3"/>
      <c r="G26" s="3"/>
      <c r="H26" s="3"/>
      <c r="I26" s="3"/>
      <c r="J26" s="106"/>
      <c r="K26" s="107"/>
      <c r="L26" s="108"/>
      <c r="M26" s="106"/>
      <c r="N26" s="109"/>
    </row>
    <row r="27" spans="1:14">
      <c r="A27" s="6" t="s">
        <v>8</v>
      </c>
      <c r="B27" s="26" t="s">
        <v>123</v>
      </c>
      <c r="C27" s="28" t="s">
        <v>124</v>
      </c>
      <c r="D27" s="28" t="s">
        <v>125</v>
      </c>
      <c r="E27" s="3"/>
      <c r="F27" s="3"/>
      <c r="G27" s="3"/>
      <c r="H27" s="3" t="s">
        <v>9</v>
      </c>
      <c r="I27" s="3" t="s">
        <v>9</v>
      </c>
      <c r="J27" s="106" t="s">
        <v>136</v>
      </c>
      <c r="K27" s="107"/>
      <c r="L27" s="108"/>
      <c r="M27" s="106"/>
      <c r="N27" s="109"/>
    </row>
    <row r="28" spans="1:14">
      <c r="A28" s="110" t="s">
        <v>126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2"/>
    </row>
    <row r="29" spans="1:14">
      <c r="A29" s="113" t="s">
        <v>4</v>
      </c>
      <c r="B29" s="100" t="s">
        <v>85</v>
      </c>
      <c r="C29" s="100" t="s">
        <v>127</v>
      </c>
      <c r="D29" s="100" t="s">
        <v>128</v>
      </c>
      <c r="E29" s="100" t="s">
        <v>117</v>
      </c>
      <c r="F29" s="100" t="s">
        <v>118</v>
      </c>
      <c r="G29" s="100"/>
      <c r="H29" s="100"/>
      <c r="I29" s="100"/>
      <c r="J29" s="100"/>
      <c r="K29" s="100"/>
      <c r="L29" s="100" t="s">
        <v>129</v>
      </c>
      <c r="M29" s="100"/>
      <c r="N29" s="101" t="s">
        <v>119</v>
      </c>
    </row>
    <row r="30" spans="1:14">
      <c r="A30" s="113"/>
      <c r="B30" s="100"/>
      <c r="C30" s="100"/>
      <c r="D30" s="100"/>
      <c r="E30" s="100"/>
      <c r="F30" s="12" t="s">
        <v>85</v>
      </c>
      <c r="G30" s="12" t="s">
        <v>86</v>
      </c>
      <c r="H30" s="12" t="s">
        <v>91</v>
      </c>
      <c r="I30" s="12" t="s">
        <v>120</v>
      </c>
      <c r="J30" s="12" t="s">
        <v>87</v>
      </c>
      <c r="K30" s="12" t="s">
        <v>117</v>
      </c>
      <c r="L30" s="12" t="s">
        <v>86</v>
      </c>
      <c r="M30" s="12" t="s">
        <v>91</v>
      </c>
      <c r="N30" s="101"/>
    </row>
    <row r="31" spans="1:14">
      <c r="A31" s="6" t="s">
        <v>9</v>
      </c>
      <c r="B31" s="24" t="s">
        <v>9</v>
      </c>
      <c r="C31" s="28" t="s">
        <v>9</v>
      </c>
      <c r="D31" s="28" t="s">
        <v>9</v>
      </c>
      <c r="E31" s="3" t="s">
        <v>130</v>
      </c>
      <c r="F31" s="3"/>
      <c r="G31" s="3"/>
      <c r="H31" s="3"/>
      <c r="I31" s="3"/>
      <c r="J31" s="3"/>
      <c r="K31" s="3"/>
      <c r="L31" s="3"/>
      <c r="M31" s="3"/>
      <c r="N31" s="7"/>
    </row>
    <row r="32" spans="1:14">
      <c r="A32" s="102" t="s">
        <v>131</v>
      </c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4"/>
    </row>
    <row r="33" spans="1:14">
      <c r="A33" s="105" t="s">
        <v>4</v>
      </c>
      <c r="B33" s="98" t="s">
        <v>85</v>
      </c>
      <c r="C33" s="98" t="s">
        <v>132</v>
      </c>
      <c r="D33" s="98" t="s">
        <v>128</v>
      </c>
      <c r="E33" s="98" t="s">
        <v>117</v>
      </c>
      <c r="F33" s="98" t="s">
        <v>118</v>
      </c>
      <c r="G33" s="98"/>
      <c r="H33" s="98"/>
      <c r="I33" s="98"/>
      <c r="J33" s="98"/>
      <c r="K33" s="98"/>
      <c r="L33" s="98" t="s">
        <v>129</v>
      </c>
      <c r="M33" s="98"/>
      <c r="N33" s="99" t="s">
        <v>119</v>
      </c>
    </row>
    <row r="34" spans="1:14">
      <c r="A34" s="105"/>
      <c r="B34" s="98"/>
      <c r="C34" s="98"/>
      <c r="D34" s="98"/>
      <c r="E34" s="98"/>
      <c r="F34" s="13" t="s">
        <v>85</v>
      </c>
      <c r="G34" s="13" t="s">
        <v>86</v>
      </c>
      <c r="H34" s="13" t="s">
        <v>91</v>
      </c>
      <c r="I34" s="13" t="s">
        <v>120</v>
      </c>
      <c r="J34" s="13" t="s">
        <v>87</v>
      </c>
      <c r="K34" s="13" t="s">
        <v>117</v>
      </c>
      <c r="L34" s="13" t="s">
        <v>86</v>
      </c>
      <c r="M34" s="13" t="s">
        <v>91</v>
      </c>
      <c r="N34" s="99"/>
    </row>
    <row r="35" spans="1:14">
      <c r="A35" s="6" t="s">
        <v>8</v>
      </c>
      <c r="B35" s="26" t="s">
        <v>123</v>
      </c>
      <c r="C35" s="3" t="s">
        <v>94</v>
      </c>
      <c r="D35" s="3" t="s">
        <v>9</v>
      </c>
      <c r="E35" s="24" t="s">
        <v>125</v>
      </c>
      <c r="F35" s="3"/>
      <c r="G35" s="3"/>
      <c r="H35" s="3"/>
      <c r="I35" s="3" t="s">
        <v>9</v>
      </c>
      <c r="J35" s="3" t="s">
        <v>9</v>
      </c>
      <c r="K35" s="3"/>
      <c r="L35" s="3" t="s">
        <v>158</v>
      </c>
      <c r="M35" s="3"/>
      <c r="N35" s="7"/>
    </row>
    <row r="36" spans="1:14">
      <c r="A36" s="14" t="s">
        <v>8</v>
      </c>
      <c r="B36" s="31" t="s">
        <v>163</v>
      </c>
      <c r="C36" s="3" t="s">
        <v>94</v>
      </c>
      <c r="D36" s="15" t="s">
        <v>9</v>
      </c>
      <c r="E36" s="28" t="s">
        <v>164</v>
      </c>
      <c r="F36" s="28" t="s">
        <v>135</v>
      </c>
      <c r="G36" s="28" t="s">
        <v>135</v>
      </c>
      <c r="H36" s="28" t="s">
        <v>135</v>
      </c>
      <c r="I36" s="28" t="s">
        <v>9</v>
      </c>
      <c r="J36" s="28" t="s">
        <v>9</v>
      </c>
      <c r="K36" s="28" t="s">
        <v>135</v>
      </c>
      <c r="L36" s="15" t="s">
        <v>93</v>
      </c>
      <c r="M36" s="28" t="s">
        <v>135</v>
      </c>
      <c r="N36" s="28" t="s">
        <v>135</v>
      </c>
    </row>
  </sheetData>
  <mergeCells count="67">
    <mergeCell ref="A7:E7"/>
    <mergeCell ref="B8:D8"/>
    <mergeCell ref="B9:D9"/>
    <mergeCell ref="A1:E1"/>
    <mergeCell ref="B2:E2"/>
    <mergeCell ref="B3:E3"/>
    <mergeCell ref="B4:E4"/>
    <mergeCell ref="B5:E5"/>
    <mergeCell ref="B6:E6"/>
    <mergeCell ref="A10:N10"/>
    <mergeCell ref="A11:A12"/>
    <mergeCell ref="B11:B12"/>
    <mergeCell ref="C11:D11"/>
    <mergeCell ref="E11:E12"/>
    <mergeCell ref="F11:F12"/>
    <mergeCell ref="G11:I12"/>
    <mergeCell ref="J11:N12"/>
    <mergeCell ref="G13:I13"/>
    <mergeCell ref="J13:N13"/>
    <mergeCell ref="G14:I14"/>
    <mergeCell ref="J14:N14"/>
    <mergeCell ref="G15:I15"/>
    <mergeCell ref="J15:N15"/>
    <mergeCell ref="G16:I16"/>
    <mergeCell ref="J16:N16"/>
    <mergeCell ref="G17:I17"/>
    <mergeCell ref="J17:N17"/>
    <mergeCell ref="G18:I18"/>
    <mergeCell ref="J18:N18"/>
    <mergeCell ref="G19:I19"/>
    <mergeCell ref="J19:N19"/>
    <mergeCell ref="G20:I20"/>
    <mergeCell ref="J20:N20"/>
    <mergeCell ref="G21:I21"/>
    <mergeCell ref="J21:N21"/>
    <mergeCell ref="G22:I22"/>
    <mergeCell ref="J22:N22"/>
    <mergeCell ref="A23:N23"/>
    <mergeCell ref="A24:A25"/>
    <mergeCell ref="B24:B25"/>
    <mergeCell ref="C24:C25"/>
    <mergeCell ref="D24:D25"/>
    <mergeCell ref="E24:L24"/>
    <mergeCell ref="M24:N25"/>
    <mergeCell ref="J25:L25"/>
    <mergeCell ref="E29:E30"/>
    <mergeCell ref="J26:L26"/>
    <mergeCell ref="M26:N26"/>
    <mergeCell ref="J27:L27"/>
    <mergeCell ref="M27:N27"/>
    <mergeCell ref="A28:N28"/>
    <mergeCell ref="F29:K29"/>
    <mergeCell ref="L29:M29"/>
    <mergeCell ref="N29:N30"/>
    <mergeCell ref="A29:A30"/>
    <mergeCell ref="B29:B30"/>
    <mergeCell ref="C29:C30"/>
    <mergeCell ref="D29:D30"/>
    <mergeCell ref="A32:N32"/>
    <mergeCell ref="A33:A34"/>
    <mergeCell ref="B33:B34"/>
    <mergeCell ref="C33:C34"/>
    <mergeCell ref="D33:D34"/>
    <mergeCell ref="E33:E34"/>
    <mergeCell ref="F33:K33"/>
    <mergeCell ref="L33:M33"/>
    <mergeCell ref="N33:N34"/>
  </mergeCells>
  <hyperlinks>
    <hyperlink ref="A1:E1" location="'Structs'!A1" display="&lt;-Volver al inicio" xr:uid="{B434B3CC-B06F-4083-B566-4988CCE5E92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9451F74-53FB-4949-8044-6C8C7375AD37}">
          <x14:formula1>
            <xm:f>Valores!$C$2:$C$7</xm:f>
          </x14:formula1>
          <xm:sqref>B9:D9</xm:sqref>
        </x14:dataValidation>
        <x14:dataValidation type="list" allowBlank="1" showInputMessage="1" showErrorMessage="1" xr:uid="{62CCCB22-FAFB-4F6E-84D4-F9BDDE2A6D40}">
          <x14:formula1>
            <xm:f>Valores!$L$2:$L$13</xm:f>
          </x14:formula1>
          <xm:sqref>L35</xm:sqref>
        </x14:dataValidation>
        <x14:dataValidation type="list" allowBlank="1" showInputMessage="1" showErrorMessage="1" xr:uid="{F28BC354-04B7-4A5D-82F3-E623F1D746C9}">
          <x14:formula1>
            <xm:f>Valores!$J$2:$J$3</xm:f>
          </x14:formula1>
          <xm:sqref>H26 I31</xm:sqref>
        </x14:dataValidation>
        <x14:dataValidation type="list" allowBlank="1" showInputMessage="1" showErrorMessage="1" xr:uid="{6EC047E9-9492-43FC-8845-1E1B78C458CF}">
          <x14:formula1>
            <xm:f>Valores!$H$2:$H$3</xm:f>
          </x14:formula1>
          <xm:sqref>F13:F22 C35:C36</xm:sqref>
        </x14:dataValidation>
        <x14:dataValidation type="list" allowBlank="1" showInputMessage="1" showErrorMessage="1" xr:uid="{67F0DED5-80BA-4EAC-8747-9843B4079C88}">
          <x14:formula1>
            <xm:f>Valores!$G$2:$G$12</xm:f>
          </x14:formula1>
          <xm:sqref>G35 F26:F27 G31 L31 C13:C22 L36</xm:sqref>
        </x14:dataValidation>
        <x14:dataValidation type="list" allowBlank="1" showInputMessage="1" showErrorMessage="1" xr:uid="{22111559-80E3-48E4-BEEF-042ABBC601B0}">
          <x14:formula1>
            <xm:f>Structs!$D$2</xm:f>
          </x14:formula1>
          <xm:sqref>A13:A22 B5:E5</xm:sqref>
        </x14:dataValidation>
        <x14:dataValidation type="list" allowBlank="1" showInputMessage="1" showErrorMessage="1" xr:uid="{52C15DCA-E7BF-4C31-9DD6-A26893777758}">
          <x14:formula1>
            <xm:f>Structs!$E$2</xm:f>
          </x14:formula1>
          <xm:sqref>B6:E6 H27 E13:E22 I26:I27 J31 I35:J35 D35:D36</xm:sqref>
        </x14:dataValidation>
        <x14:dataValidation type="list" allowBlank="1" showInputMessage="1" showErrorMessage="1" xr:uid="{C5D50A04-95B9-4650-9975-B8C52BFFF769}">
          <x14:formula1>
            <xm:f>Structs!$D$2:$E$2</xm:f>
          </x14:formula1>
          <xm:sqref>A26:A27 A31 A35:A36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EADC-3B75-44FE-B2EE-3E6AF5EFCC29}">
  <dimension ref="A1:N35"/>
  <sheetViews>
    <sheetView zoomScale="55" zoomScaleNormal="55" workbookViewId="0">
      <pane ySplit="1" topLeftCell="A2" activePane="bottomLeft" state="frozen"/>
      <selection pane="bottomLeft" activeCell="B27" sqref="B27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Structs!I13</f>
        <v>Diagnostic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Structs!B13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Structs!C13</f>
        <v>Estructura que representa un diagnóstico solicitado para una motocicleta en una sede específica, con descripción del problema y posible solución.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14" t="s">
        <v>82</v>
      </c>
      <c r="C9" s="115"/>
      <c r="D9" s="150"/>
      <c r="E9" s="53" t="str">
        <f>HYPERLINK("#'"&amp;F9&amp;"'!A1", F9)</f>
        <v>Motorcycle</v>
      </c>
      <c r="F9" s="55" t="s">
        <v>18</v>
      </c>
    </row>
    <row r="10" spans="1:14">
      <c r="A10" s="25" t="s">
        <v>81</v>
      </c>
      <c r="B10" s="114" t="s">
        <v>82</v>
      </c>
      <c r="C10" s="115"/>
      <c r="D10" s="150"/>
      <c r="E10" s="53" t="str">
        <f>HYPERLINK("#'"&amp;F10&amp;"'!A1", F10)</f>
        <v>Branch</v>
      </c>
      <c r="F10" s="56" t="s">
        <v>12</v>
      </c>
    </row>
    <row r="11" spans="1:14">
      <c r="A11" s="25" t="s">
        <v>83</v>
      </c>
      <c r="B11" s="114" t="s">
        <v>82</v>
      </c>
      <c r="C11" s="115"/>
      <c r="D11" s="150"/>
      <c r="E11" s="53" t="str">
        <f>HYPERLINK("#'"&amp;F11&amp;"'!A1", F11)</f>
        <v>CompletedService</v>
      </c>
      <c r="F11" s="56" t="s">
        <v>36</v>
      </c>
    </row>
    <row r="12" spans="1:14">
      <c r="A12" s="25" t="s">
        <v>83</v>
      </c>
      <c r="B12" s="114" t="s">
        <v>82</v>
      </c>
      <c r="C12" s="115"/>
      <c r="D12" s="150"/>
      <c r="E12" s="53" t="str">
        <f>HYPERLINK("#'"&amp;F12&amp;"'!A1", F12)</f>
        <v>DiagnosticPermission</v>
      </c>
      <c r="F12" s="56" t="s">
        <v>34</v>
      </c>
    </row>
    <row r="13" spans="1:14">
      <c r="A13" s="124" t="s">
        <v>84</v>
      </c>
      <c r="B13" s="125"/>
      <c r="C13" s="125"/>
      <c r="D13" s="125"/>
      <c r="E13" s="126"/>
      <c r="F13" s="126"/>
      <c r="G13" s="125"/>
      <c r="H13" s="125"/>
      <c r="I13" s="125"/>
      <c r="J13" s="125"/>
      <c r="K13" s="125"/>
      <c r="L13" s="125"/>
      <c r="M13" s="125"/>
      <c r="N13" s="127"/>
    </row>
    <row r="14" spans="1:14">
      <c r="A14" s="128" t="s">
        <v>4</v>
      </c>
      <c r="B14" s="129" t="s">
        <v>85</v>
      </c>
      <c r="C14" s="129" t="s">
        <v>86</v>
      </c>
      <c r="D14" s="129"/>
      <c r="E14" s="129" t="s">
        <v>87</v>
      </c>
      <c r="F14" s="129" t="s">
        <v>88</v>
      </c>
      <c r="G14" s="130" t="s">
        <v>89</v>
      </c>
      <c r="H14" s="131"/>
      <c r="I14" s="132"/>
      <c r="J14" s="129" t="s">
        <v>90</v>
      </c>
      <c r="K14" s="129"/>
      <c r="L14" s="129"/>
      <c r="M14" s="129"/>
      <c r="N14" s="136"/>
    </row>
    <row r="15" spans="1:14">
      <c r="A15" s="128"/>
      <c r="B15" s="129"/>
      <c r="C15" s="10" t="s">
        <v>86</v>
      </c>
      <c r="D15" s="10" t="s">
        <v>91</v>
      </c>
      <c r="E15" s="129"/>
      <c r="F15" s="129"/>
      <c r="G15" s="133"/>
      <c r="H15" s="134"/>
      <c r="I15" s="135"/>
      <c r="J15" s="129"/>
      <c r="K15" s="129"/>
      <c r="L15" s="129"/>
      <c r="M15" s="129"/>
      <c r="N15" s="136"/>
    </row>
    <row r="16" spans="1:14">
      <c r="A16" s="6" t="s">
        <v>8</v>
      </c>
      <c r="B16" s="26" t="s">
        <v>92</v>
      </c>
      <c r="C16" s="24" t="s">
        <v>93</v>
      </c>
      <c r="D16" s="24" t="s">
        <v>135</v>
      </c>
      <c r="E16" s="3" t="s">
        <v>9</v>
      </c>
      <c r="F16" s="3" t="s">
        <v>94</v>
      </c>
      <c r="G16" s="24" t="s">
        <v>95</v>
      </c>
      <c r="H16" s="33"/>
      <c r="I16" s="34"/>
      <c r="J16" s="114" t="s">
        <v>165</v>
      </c>
      <c r="K16" s="115"/>
      <c r="L16" s="115"/>
      <c r="M16" s="115"/>
      <c r="N16" s="117"/>
    </row>
    <row r="17" spans="1:14">
      <c r="A17" s="6" t="s">
        <v>8</v>
      </c>
      <c r="B17" s="27" t="s">
        <v>216</v>
      </c>
      <c r="C17" s="24" t="s">
        <v>93</v>
      </c>
      <c r="D17" s="25" t="s">
        <v>135</v>
      </c>
      <c r="E17" s="3" t="s">
        <v>9</v>
      </c>
      <c r="F17" s="3" t="s">
        <v>94</v>
      </c>
      <c r="G17" s="25" t="s">
        <v>95</v>
      </c>
      <c r="H17" s="33"/>
      <c r="I17" s="34"/>
      <c r="J17" s="114" t="s">
        <v>217</v>
      </c>
      <c r="K17" s="115"/>
      <c r="L17" s="115"/>
      <c r="M17" s="115"/>
      <c r="N17" s="117"/>
    </row>
    <row r="18" spans="1:14">
      <c r="A18" s="6" t="s">
        <v>8</v>
      </c>
      <c r="B18" s="27" t="s">
        <v>172</v>
      </c>
      <c r="C18" s="24" t="s">
        <v>93</v>
      </c>
      <c r="D18" s="25" t="s">
        <v>135</v>
      </c>
      <c r="E18" s="3" t="s">
        <v>9</v>
      </c>
      <c r="F18" s="3" t="s">
        <v>94</v>
      </c>
      <c r="G18" s="25" t="s">
        <v>95</v>
      </c>
      <c r="H18" s="33"/>
      <c r="I18" s="34"/>
      <c r="J18" s="114" t="s">
        <v>247</v>
      </c>
      <c r="K18" s="115"/>
      <c r="L18" s="115"/>
      <c r="M18" s="115"/>
      <c r="N18" s="117"/>
    </row>
    <row r="19" spans="1:14">
      <c r="A19" s="6" t="s">
        <v>8</v>
      </c>
      <c r="B19" s="27" t="s">
        <v>248</v>
      </c>
      <c r="C19" s="24" t="s">
        <v>93</v>
      </c>
      <c r="D19" s="25" t="s">
        <v>135</v>
      </c>
      <c r="E19" s="3" t="s">
        <v>9</v>
      </c>
      <c r="F19" s="3" t="s">
        <v>94</v>
      </c>
      <c r="G19" s="25" t="s">
        <v>95</v>
      </c>
      <c r="H19" s="33"/>
      <c r="I19" s="34"/>
      <c r="J19" s="114" t="s">
        <v>249</v>
      </c>
      <c r="K19" s="115"/>
      <c r="L19" s="115"/>
      <c r="M19" s="115"/>
      <c r="N19" s="117"/>
    </row>
    <row r="20" spans="1:14">
      <c r="A20" s="6" t="s">
        <v>8</v>
      </c>
      <c r="B20" s="27" t="s">
        <v>250</v>
      </c>
      <c r="C20" s="25" t="s">
        <v>111</v>
      </c>
      <c r="D20" s="25" t="s">
        <v>243</v>
      </c>
      <c r="E20" s="3" t="s">
        <v>9</v>
      </c>
      <c r="F20" s="3" t="s">
        <v>94</v>
      </c>
      <c r="G20" s="25" t="s">
        <v>95</v>
      </c>
      <c r="H20" s="33"/>
      <c r="I20" s="34"/>
      <c r="J20" s="114" t="s">
        <v>251</v>
      </c>
      <c r="K20" s="115"/>
      <c r="L20" s="115"/>
      <c r="M20" s="115"/>
      <c r="N20" s="117"/>
    </row>
    <row r="21" spans="1:14" ht="25.5">
      <c r="A21" s="6" t="s">
        <v>8</v>
      </c>
      <c r="B21" s="27" t="s">
        <v>252</v>
      </c>
      <c r="C21" s="25" t="s">
        <v>93</v>
      </c>
      <c r="D21" s="25"/>
      <c r="E21" s="3" t="s">
        <v>9</v>
      </c>
      <c r="F21" s="3" t="s">
        <v>94</v>
      </c>
      <c r="G21" s="25" t="s">
        <v>140</v>
      </c>
      <c r="H21" s="33"/>
      <c r="I21" s="34"/>
      <c r="J21" s="114" t="s">
        <v>253</v>
      </c>
      <c r="K21" s="115"/>
      <c r="L21" s="115"/>
      <c r="M21" s="115"/>
      <c r="N21" s="117"/>
    </row>
    <row r="22" spans="1:14" ht="25.5">
      <c r="A22" s="6" t="s">
        <v>8</v>
      </c>
      <c r="B22" s="27" t="s">
        <v>254</v>
      </c>
      <c r="C22" s="25" t="s">
        <v>93</v>
      </c>
      <c r="D22" s="25"/>
      <c r="E22" s="3" t="s">
        <v>9</v>
      </c>
      <c r="F22" s="3" t="s">
        <v>94</v>
      </c>
      <c r="G22" s="25" t="s">
        <v>140</v>
      </c>
      <c r="H22" s="33"/>
      <c r="I22" s="34"/>
      <c r="J22" s="114" t="s">
        <v>255</v>
      </c>
      <c r="K22" s="115"/>
      <c r="L22" s="115"/>
      <c r="M22" s="115"/>
      <c r="N22" s="117"/>
    </row>
    <row r="23" spans="1:14">
      <c r="A23" s="118" t="s">
        <v>115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20"/>
    </row>
    <row r="24" spans="1:14">
      <c r="A24" s="121" t="s">
        <v>4</v>
      </c>
      <c r="B24" s="122" t="s">
        <v>85</v>
      </c>
      <c r="C24" s="122" t="s">
        <v>116</v>
      </c>
      <c r="D24" s="122" t="s">
        <v>117</v>
      </c>
      <c r="E24" s="122" t="s">
        <v>118</v>
      </c>
      <c r="F24" s="122"/>
      <c r="G24" s="122"/>
      <c r="H24" s="122"/>
      <c r="I24" s="122"/>
      <c r="J24" s="122"/>
      <c r="K24" s="122"/>
      <c r="L24" s="122"/>
      <c r="M24" s="122" t="s">
        <v>119</v>
      </c>
      <c r="N24" s="123"/>
    </row>
    <row r="25" spans="1:14">
      <c r="A25" s="121"/>
      <c r="B25" s="122"/>
      <c r="C25" s="122"/>
      <c r="D25" s="122"/>
      <c r="E25" s="11" t="s">
        <v>85</v>
      </c>
      <c r="F25" s="11" t="s">
        <v>86</v>
      </c>
      <c r="G25" s="11" t="s">
        <v>91</v>
      </c>
      <c r="H25" s="11" t="s">
        <v>120</v>
      </c>
      <c r="I25" s="11" t="s">
        <v>87</v>
      </c>
      <c r="J25" s="122" t="s">
        <v>117</v>
      </c>
      <c r="K25" s="122"/>
      <c r="L25" s="122"/>
      <c r="M25" s="122"/>
      <c r="N25" s="123"/>
    </row>
    <row r="26" spans="1:14" ht="27">
      <c r="A26" s="6" t="s">
        <v>9</v>
      </c>
      <c r="B26" s="26" t="str">
        <f>B2</f>
        <v>Diagnostic</v>
      </c>
      <c r="C26" s="28" t="s">
        <v>121</v>
      </c>
      <c r="D26" s="28" t="s">
        <v>122</v>
      </c>
      <c r="E26" s="3"/>
      <c r="F26" s="3"/>
      <c r="G26" s="3"/>
      <c r="H26" s="3"/>
      <c r="I26" s="3"/>
      <c r="J26" s="106"/>
      <c r="K26" s="107"/>
      <c r="L26" s="108"/>
      <c r="M26" s="106"/>
      <c r="N26" s="109"/>
    </row>
    <row r="27" spans="1:14">
      <c r="A27" s="6" t="s">
        <v>8</v>
      </c>
      <c r="B27" s="26" t="s">
        <v>123</v>
      </c>
      <c r="C27" s="28" t="s">
        <v>124</v>
      </c>
      <c r="D27" s="28" t="s">
        <v>125</v>
      </c>
      <c r="E27" s="3"/>
      <c r="F27" s="3"/>
      <c r="G27" s="3"/>
      <c r="H27" s="3" t="s">
        <v>9</v>
      </c>
      <c r="I27" s="3" t="s">
        <v>9</v>
      </c>
      <c r="J27" s="106" t="s">
        <v>165</v>
      </c>
      <c r="K27" s="107"/>
      <c r="L27" s="108"/>
      <c r="M27" s="106"/>
      <c r="N27" s="109"/>
    </row>
    <row r="28" spans="1:14">
      <c r="A28" s="110" t="s">
        <v>126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2"/>
    </row>
    <row r="29" spans="1:14">
      <c r="A29" s="113" t="s">
        <v>4</v>
      </c>
      <c r="B29" s="100" t="s">
        <v>85</v>
      </c>
      <c r="C29" s="100" t="s">
        <v>127</v>
      </c>
      <c r="D29" s="100" t="s">
        <v>128</v>
      </c>
      <c r="E29" s="100" t="s">
        <v>117</v>
      </c>
      <c r="F29" s="100" t="s">
        <v>118</v>
      </c>
      <c r="G29" s="100"/>
      <c r="H29" s="100"/>
      <c r="I29" s="100"/>
      <c r="J29" s="100"/>
      <c r="K29" s="100"/>
      <c r="L29" s="100" t="s">
        <v>129</v>
      </c>
      <c r="M29" s="100"/>
      <c r="N29" s="101" t="s">
        <v>119</v>
      </c>
    </row>
    <row r="30" spans="1:14">
      <c r="A30" s="113"/>
      <c r="B30" s="100"/>
      <c r="C30" s="100"/>
      <c r="D30" s="100"/>
      <c r="E30" s="100"/>
      <c r="F30" s="12" t="s">
        <v>85</v>
      </c>
      <c r="G30" s="12" t="s">
        <v>86</v>
      </c>
      <c r="H30" s="12" t="s">
        <v>91</v>
      </c>
      <c r="I30" s="12" t="s">
        <v>120</v>
      </c>
      <c r="J30" s="12" t="s">
        <v>87</v>
      </c>
      <c r="K30" s="12" t="s">
        <v>117</v>
      </c>
      <c r="L30" s="12" t="s">
        <v>86</v>
      </c>
      <c r="M30" s="12" t="s">
        <v>91</v>
      </c>
      <c r="N30" s="101"/>
    </row>
    <row r="31" spans="1:14">
      <c r="A31" s="6" t="s">
        <v>9</v>
      </c>
      <c r="B31" s="24" t="s">
        <v>9</v>
      </c>
      <c r="C31" s="28" t="s">
        <v>9</v>
      </c>
      <c r="D31" s="28" t="s">
        <v>9</v>
      </c>
      <c r="E31" s="3" t="s">
        <v>130</v>
      </c>
      <c r="F31" s="3"/>
      <c r="G31" s="3"/>
      <c r="H31" s="3"/>
      <c r="I31" s="3"/>
      <c r="J31" s="3"/>
      <c r="K31" s="3"/>
      <c r="L31" s="3"/>
      <c r="M31" s="3"/>
      <c r="N31" s="7"/>
    </row>
    <row r="32" spans="1:14">
      <c r="A32" s="102" t="s">
        <v>131</v>
      </c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4"/>
    </row>
    <row r="33" spans="1:14">
      <c r="A33" s="105" t="s">
        <v>4</v>
      </c>
      <c r="B33" s="98" t="s">
        <v>85</v>
      </c>
      <c r="C33" s="98" t="s">
        <v>132</v>
      </c>
      <c r="D33" s="98" t="s">
        <v>128</v>
      </c>
      <c r="E33" s="98" t="s">
        <v>117</v>
      </c>
      <c r="F33" s="98" t="s">
        <v>118</v>
      </c>
      <c r="G33" s="98"/>
      <c r="H33" s="98"/>
      <c r="I33" s="98"/>
      <c r="J33" s="98"/>
      <c r="K33" s="98"/>
      <c r="L33" s="98" t="s">
        <v>129</v>
      </c>
      <c r="M33" s="98"/>
      <c r="N33" s="99" t="s">
        <v>119</v>
      </c>
    </row>
    <row r="34" spans="1:14">
      <c r="A34" s="105"/>
      <c r="B34" s="98"/>
      <c r="C34" s="98"/>
      <c r="D34" s="98"/>
      <c r="E34" s="98"/>
      <c r="F34" s="13" t="s">
        <v>85</v>
      </c>
      <c r="G34" s="13" t="s">
        <v>86</v>
      </c>
      <c r="H34" s="13" t="s">
        <v>91</v>
      </c>
      <c r="I34" s="13" t="s">
        <v>120</v>
      </c>
      <c r="J34" s="13" t="s">
        <v>87</v>
      </c>
      <c r="K34" s="13" t="s">
        <v>117</v>
      </c>
      <c r="L34" s="13" t="s">
        <v>86</v>
      </c>
      <c r="M34" s="13" t="s">
        <v>91</v>
      </c>
      <c r="N34" s="99"/>
    </row>
    <row r="35" spans="1:14">
      <c r="A35" s="6" t="s">
        <v>8</v>
      </c>
      <c r="B35" s="26" t="s">
        <v>123</v>
      </c>
      <c r="C35" s="3" t="s">
        <v>94</v>
      </c>
      <c r="D35" s="3" t="s">
        <v>9</v>
      </c>
      <c r="E35" s="24" t="s">
        <v>125</v>
      </c>
      <c r="F35" s="3"/>
      <c r="G35" s="3"/>
      <c r="H35" s="3"/>
      <c r="I35" s="3" t="s">
        <v>9</v>
      </c>
      <c r="J35" s="3" t="s">
        <v>9</v>
      </c>
      <c r="K35" s="3"/>
      <c r="L35" s="3" t="s">
        <v>158</v>
      </c>
      <c r="M35" s="3"/>
      <c r="N35" s="7"/>
    </row>
  </sheetData>
  <mergeCells count="57">
    <mergeCell ref="B12:D12"/>
    <mergeCell ref="A1:E1"/>
    <mergeCell ref="B2:E2"/>
    <mergeCell ref="B3:E3"/>
    <mergeCell ref="B4:E4"/>
    <mergeCell ref="B5:E5"/>
    <mergeCell ref="B6:E6"/>
    <mergeCell ref="A7:E7"/>
    <mergeCell ref="B8:D8"/>
    <mergeCell ref="B9:D9"/>
    <mergeCell ref="B10:D10"/>
    <mergeCell ref="B11:D11"/>
    <mergeCell ref="J21:N21"/>
    <mergeCell ref="A13:N13"/>
    <mergeCell ref="A14:A15"/>
    <mergeCell ref="B14:B15"/>
    <mergeCell ref="C14:D14"/>
    <mergeCell ref="E14:E15"/>
    <mergeCell ref="F14:F15"/>
    <mergeCell ref="G14:I15"/>
    <mergeCell ref="J14:N15"/>
    <mergeCell ref="J16:N16"/>
    <mergeCell ref="J17:N17"/>
    <mergeCell ref="J18:N18"/>
    <mergeCell ref="J19:N19"/>
    <mergeCell ref="J20:N20"/>
    <mergeCell ref="J22:N22"/>
    <mergeCell ref="A23:N23"/>
    <mergeCell ref="A24:A25"/>
    <mergeCell ref="B24:B25"/>
    <mergeCell ref="C24:C25"/>
    <mergeCell ref="D24:D25"/>
    <mergeCell ref="E24:L24"/>
    <mergeCell ref="M24:N25"/>
    <mergeCell ref="F29:K29"/>
    <mergeCell ref="J25:L25"/>
    <mergeCell ref="J26:L26"/>
    <mergeCell ref="M26:N26"/>
    <mergeCell ref="J27:L27"/>
    <mergeCell ref="M27:N27"/>
    <mergeCell ref="A28:N28"/>
    <mergeCell ref="N33:N34"/>
    <mergeCell ref="L29:M29"/>
    <mergeCell ref="N29:N30"/>
    <mergeCell ref="A32:N32"/>
    <mergeCell ref="A33:A34"/>
    <mergeCell ref="B33:B34"/>
    <mergeCell ref="C33:C34"/>
    <mergeCell ref="D33:D34"/>
    <mergeCell ref="E33:E34"/>
    <mergeCell ref="F33:K33"/>
    <mergeCell ref="L33:M33"/>
    <mergeCell ref="A29:A30"/>
    <mergeCell ref="B29:B30"/>
    <mergeCell ref="C29:C30"/>
    <mergeCell ref="D29:D30"/>
    <mergeCell ref="E29:E30"/>
  </mergeCells>
  <hyperlinks>
    <hyperlink ref="A1:E1" location="'Structs'!A1" display="&lt;-Volver al inicio" xr:uid="{3FF78665-F88D-477F-BE4B-77629CBFF35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1A0846B-85D0-4563-8761-9044F5EB45CE}">
          <x14:formula1>
            <xm:f>Structs!$D$2:$E$2</xm:f>
          </x14:formula1>
          <xm:sqref>A26:A27 A31 A35</xm:sqref>
        </x14:dataValidation>
        <x14:dataValidation type="list" allowBlank="1" showInputMessage="1" showErrorMessage="1" xr:uid="{4E56C986-6BE9-4A4E-95A1-DA3DCBB73F92}">
          <x14:formula1>
            <xm:f>Structs!$E$2</xm:f>
          </x14:formula1>
          <xm:sqref>B6:E6 H27 E16:E22 I26:I27 J31 D35 I35:J35</xm:sqref>
        </x14:dataValidation>
        <x14:dataValidation type="list" allowBlank="1" showInputMessage="1" showErrorMessage="1" xr:uid="{FC9538EE-4C86-406C-A281-599D84AC172A}">
          <x14:formula1>
            <xm:f>Structs!$D$2</xm:f>
          </x14:formula1>
          <xm:sqref>A16:A22 B5:E5</xm:sqref>
        </x14:dataValidation>
        <x14:dataValidation type="list" allowBlank="1" showInputMessage="1" showErrorMessage="1" xr:uid="{3E7994C2-3AE5-490C-8017-1A4BAC0D2B3B}">
          <x14:formula1>
            <xm:f>Valores!$G$2:$G$12</xm:f>
          </x14:formula1>
          <xm:sqref>G35 F26:F27 G31 L31 C16:C22</xm:sqref>
        </x14:dataValidation>
        <x14:dataValidation type="list" allowBlank="1" showInputMessage="1" showErrorMessage="1" xr:uid="{175B0BB5-1CBA-44E4-9685-4187695A3F0D}">
          <x14:formula1>
            <xm:f>Valores!$H$2:$H$3</xm:f>
          </x14:formula1>
          <xm:sqref>F16:F22 C35</xm:sqref>
        </x14:dataValidation>
        <x14:dataValidation type="list" allowBlank="1" showInputMessage="1" showErrorMessage="1" xr:uid="{32EC9E51-2C20-4FB1-BBA1-C220C23AFD06}">
          <x14:formula1>
            <xm:f>Valores!$J$2:$J$3</xm:f>
          </x14:formula1>
          <xm:sqref>H26 I31</xm:sqref>
        </x14:dataValidation>
        <x14:dataValidation type="list" allowBlank="1" showInputMessage="1" showErrorMessage="1" xr:uid="{807D05E3-E353-44BB-AC41-2AE37BBBF7A8}">
          <x14:formula1>
            <xm:f>Valores!$L$2:$L$13</xm:f>
          </x14:formula1>
          <xm:sqref>L35</xm:sqref>
        </x14:dataValidation>
        <x14:dataValidation type="list" allowBlank="1" showInputMessage="1" showErrorMessage="1" xr:uid="{68C36680-E079-47A6-93AC-96A14AB57673}">
          <x14:formula1>
            <xm:f>Valores!$C$2:$C$7</xm:f>
          </x14:formula1>
          <xm:sqref>C10:D12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6FC1-ADE5-4059-877A-6CBF52BBCF24}">
  <dimension ref="A1:N30"/>
  <sheetViews>
    <sheetView zoomScale="55" zoomScaleNormal="55" workbookViewId="0">
      <pane ySplit="1" topLeftCell="A2" activePane="bottomLeft" state="frozen"/>
      <selection pane="bottomLeft" activeCell="D34" sqref="D34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Structs!I14</f>
        <v>DiagnosticPermission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Structs!B14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Structs!C14</f>
        <v>Estructura que representa los permisos de un diagnóstico, controlando qué acciones pueden realizarse sobre él.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14" t="s">
        <v>82</v>
      </c>
      <c r="C9" s="115"/>
      <c r="D9" s="150"/>
      <c r="E9" s="53" t="str">
        <f>HYPERLINK("#'"&amp;F9&amp;"'!A1", F9)</f>
        <v>Motorcycle</v>
      </c>
      <c r="F9" s="24" t="s">
        <v>18</v>
      </c>
    </row>
    <row r="10" spans="1:14">
      <c r="A10" s="25" t="s">
        <v>81</v>
      </c>
      <c r="B10" s="114" t="s">
        <v>82</v>
      </c>
      <c r="C10" s="115"/>
      <c r="D10" s="150"/>
      <c r="E10" s="53" t="str">
        <f>HYPERLINK("#'"&amp;F10&amp;"'!A1", F10)</f>
        <v>Branch</v>
      </c>
      <c r="F10" s="25" t="s">
        <v>12</v>
      </c>
    </row>
    <row r="11" spans="1:14">
      <c r="A11" s="124" t="s">
        <v>84</v>
      </c>
      <c r="B11" s="125"/>
      <c r="C11" s="125"/>
      <c r="D11" s="125"/>
      <c r="E11" s="126"/>
      <c r="F11" s="126"/>
      <c r="G11" s="125"/>
      <c r="H11" s="125"/>
      <c r="I11" s="125"/>
      <c r="J11" s="125"/>
      <c r="K11" s="125"/>
      <c r="L11" s="125"/>
      <c r="M11" s="125"/>
      <c r="N11" s="127"/>
    </row>
    <row r="12" spans="1:14">
      <c r="A12" s="128" t="s">
        <v>4</v>
      </c>
      <c r="B12" s="129" t="s">
        <v>85</v>
      </c>
      <c r="C12" s="129" t="s">
        <v>86</v>
      </c>
      <c r="D12" s="129"/>
      <c r="E12" s="129" t="s">
        <v>87</v>
      </c>
      <c r="F12" s="129" t="s">
        <v>88</v>
      </c>
      <c r="G12" s="130" t="s">
        <v>89</v>
      </c>
      <c r="H12" s="131"/>
      <c r="I12" s="132"/>
      <c r="J12" s="129" t="s">
        <v>90</v>
      </c>
      <c r="K12" s="129"/>
      <c r="L12" s="129"/>
      <c r="M12" s="129"/>
      <c r="N12" s="136"/>
    </row>
    <row r="13" spans="1:14">
      <c r="A13" s="128"/>
      <c r="B13" s="129"/>
      <c r="C13" s="10" t="s">
        <v>86</v>
      </c>
      <c r="D13" s="10" t="s">
        <v>91</v>
      </c>
      <c r="E13" s="129"/>
      <c r="F13" s="129"/>
      <c r="G13" s="133"/>
      <c r="H13" s="134"/>
      <c r="I13" s="135"/>
      <c r="J13" s="129"/>
      <c r="K13" s="129"/>
      <c r="L13" s="129"/>
      <c r="M13" s="129"/>
      <c r="N13" s="136"/>
    </row>
    <row r="14" spans="1:14">
      <c r="A14" s="6" t="s">
        <v>8</v>
      </c>
      <c r="B14" s="26" t="s">
        <v>92</v>
      </c>
      <c r="C14" s="24" t="s">
        <v>93</v>
      </c>
      <c r="D14" s="24" t="s">
        <v>135</v>
      </c>
      <c r="E14" s="3" t="s">
        <v>9</v>
      </c>
      <c r="F14" s="3" t="s">
        <v>94</v>
      </c>
      <c r="G14" s="24" t="s">
        <v>95</v>
      </c>
      <c r="H14" s="33"/>
      <c r="I14" s="34"/>
      <c r="J14" s="114" t="s">
        <v>165</v>
      </c>
      <c r="K14" s="115"/>
      <c r="L14" s="115"/>
      <c r="M14" s="115"/>
      <c r="N14" s="117"/>
    </row>
    <row r="15" spans="1:14">
      <c r="A15" s="6" t="s">
        <v>8</v>
      </c>
      <c r="B15" s="27" t="s">
        <v>216</v>
      </c>
      <c r="C15" s="24" t="s">
        <v>93</v>
      </c>
      <c r="D15" s="25" t="s">
        <v>135</v>
      </c>
      <c r="E15" s="3" t="s">
        <v>9</v>
      </c>
      <c r="F15" s="3" t="s">
        <v>94</v>
      </c>
      <c r="G15" s="25" t="s">
        <v>95</v>
      </c>
      <c r="H15" s="33"/>
      <c r="I15" s="34"/>
      <c r="J15" s="114" t="s">
        <v>217</v>
      </c>
      <c r="K15" s="115"/>
      <c r="L15" s="115"/>
      <c r="M15" s="115"/>
      <c r="N15" s="117"/>
    </row>
    <row r="16" spans="1:14">
      <c r="A16" s="6" t="s">
        <v>8</v>
      </c>
      <c r="B16" s="27" t="s">
        <v>172</v>
      </c>
      <c r="C16" s="24" t="s">
        <v>93</v>
      </c>
      <c r="D16" s="25" t="s">
        <v>135</v>
      </c>
      <c r="E16" s="3" t="s">
        <v>9</v>
      </c>
      <c r="F16" s="3" t="s">
        <v>94</v>
      </c>
      <c r="G16" s="25" t="s">
        <v>95</v>
      </c>
      <c r="H16" s="33"/>
      <c r="I16" s="34"/>
      <c r="J16" s="114" t="s">
        <v>256</v>
      </c>
      <c r="K16" s="115"/>
      <c r="L16" s="115"/>
      <c r="M16" s="115"/>
      <c r="N16" s="117"/>
    </row>
    <row r="17" spans="1:14">
      <c r="A17" s="6" t="s">
        <v>8</v>
      </c>
      <c r="B17" s="27" t="s">
        <v>240</v>
      </c>
      <c r="C17" s="24" t="s">
        <v>93</v>
      </c>
      <c r="D17" s="25" t="s">
        <v>135</v>
      </c>
      <c r="E17" s="3" t="s">
        <v>9</v>
      </c>
      <c r="F17" s="3" t="s">
        <v>94</v>
      </c>
      <c r="G17" s="25" t="s">
        <v>241</v>
      </c>
      <c r="H17" s="33"/>
      <c r="I17" s="34"/>
      <c r="J17" s="114" t="s">
        <v>257</v>
      </c>
      <c r="K17" s="115"/>
      <c r="L17" s="115"/>
      <c r="M17" s="115"/>
      <c r="N17" s="117"/>
    </row>
    <row r="18" spans="1:14">
      <c r="A18" s="118" t="s">
        <v>115</v>
      </c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20"/>
    </row>
    <row r="19" spans="1:14">
      <c r="A19" s="121" t="s">
        <v>4</v>
      </c>
      <c r="B19" s="122" t="s">
        <v>85</v>
      </c>
      <c r="C19" s="122" t="s">
        <v>116</v>
      </c>
      <c r="D19" s="122" t="s">
        <v>117</v>
      </c>
      <c r="E19" s="122" t="s">
        <v>118</v>
      </c>
      <c r="F19" s="122"/>
      <c r="G19" s="122"/>
      <c r="H19" s="122"/>
      <c r="I19" s="122"/>
      <c r="J19" s="122"/>
      <c r="K19" s="122"/>
      <c r="L19" s="122"/>
      <c r="M19" s="122" t="s">
        <v>119</v>
      </c>
      <c r="N19" s="123"/>
    </row>
    <row r="20" spans="1:14">
      <c r="A20" s="121"/>
      <c r="B20" s="122"/>
      <c r="C20" s="122"/>
      <c r="D20" s="122"/>
      <c r="E20" s="11" t="s">
        <v>85</v>
      </c>
      <c r="F20" s="11" t="s">
        <v>86</v>
      </c>
      <c r="G20" s="11" t="s">
        <v>91</v>
      </c>
      <c r="H20" s="11" t="s">
        <v>120</v>
      </c>
      <c r="I20" s="11" t="s">
        <v>87</v>
      </c>
      <c r="J20" s="122" t="s">
        <v>117</v>
      </c>
      <c r="K20" s="122"/>
      <c r="L20" s="122"/>
      <c r="M20" s="122"/>
      <c r="N20" s="123"/>
    </row>
    <row r="21" spans="1:14" ht="27">
      <c r="A21" s="6" t="s">
        <v>9</v>
      </c>
      <c r="B21" s="26" t="str">
        <f>B2</f>
        <v>DiagnosticPermission</v>
      </c>
      <c r="C21" s="28" t="s">
        <v>121</v>
      </c>
      <c r="D21" s="28" t="s">
        <v>122</v>
      </c>
      <c r="E21" s="3"/>
      <c r="F21" s="3"/>
      <c r="G21" s="3"/>
      <c r="H21" s="3"/>
      <c r="I21" s="3"/>
      <c r="J21" s="106"/>
      <c r="K21" s="107"/>
      <c r="L21" s="108"/>
      <c r="M21" s="106"/>
      <c r="N21" s="109"/>
    </row>
    <row r="22" spans="1:14">
      <c r="A22" s="6" t="s">
        <v>8</v>
      </c>
      <c r="B22" s="26" t="s">
        <v>123</v>
      </c>
      <c r="C22" s="28" t="s">
        <v>124</v>
      </c>
      <c r="D22" s="28" t="s">
        <v>125</v>
      </c>
      <c r="E22" s="3"/>
      <c r="F22" s="3"/>
      <c r="G22" s="3"/>
      <c r="H22" s="3" t="s">
        <v>9</v>
      </c>
      <c r="I22" s="3" t="s">
        <v>9</v>
      </c>
      <c r="J22" s="106" t="s">
        <v>165</v>
      </c>
      <c r="K22" s="107"/>
      <c r="L22" s="108"/>
      <c r="M22" s="106"/>
      <c r="N22" s="109"/>
    </row>
    <row r="23" spans="1:14">
      <c r="A23" s="110" t="s">
        <v>126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2"/>
    </row>
    <row r="24" spans="1:14">
      <c r="A24" s="113" t="s">
        <v>4</v>
      </c>
      <c r="B24" s="100" t="s">
        <v>85</v>
      </c>
      <c r="C24" s="100" t="s">
        <v>127</v>
      </c>
      <c r="D24" s="100" t="s">
        <v>128</v>
      </c>
      <c r="E24" s="100" t="s">
        <v>117</v>
      </c>
      <c r="F24" s="100" t="s">
        <v>118</v>
      </c>
      <c r="G24" s="100"/>
      <c r="H24" s="100"/>
      <c r="I24" s="100"/>
      <c r="J24" s="100"/>
      <c r="K24" s="100"/>
      <c r="L24" s="100" t="s">
        <v>129</v>
      </c>
      <c r="M24" s="100"/>
      <c r="N24" s="101" t="s">
        <v>119</v>
      </c>
    </row>
    <row r="25" spans="1:14">
      <c r="A25" s="113"/>
      <c r="B25" s="100"/>
      <c r="C25" s="100"/>
      <c r="D25" s="100"/>
      <c r="E25" s="100"/>
      <c r="F25" s="12" t="s">
        <v>85</v>
      </c>
      <c r="G25" s="12" t="s">
        <v>86</v>
      </c>
      <c r="H25" s="12" t="s">
        <v>91</v>
      </c>
      <c r="I25" s="12" t="s">
        <v>120</v>
      </c>
      <c r="J25" s="12" t="s">
        <v>87</v>
      </c>
      <c r="K25" s="12" t="s">
        <v>117</v>
      </c>
      <c r="L25" s="12" t="s">
        <v>86</v>
      </c>
      <c r="M25" s="12" t="s">
        <v>91</v>
      </c>
      <c r="N25" s="101"/>
    </row>
    <row r="26" spans="1:14">
      <c r="A26" s="6" t="s">
        <v>9</v>
      </c>
      <c r="B26" s="24" t="s">
        <v>9</v>
      </c>
      <c r="C26" s="28" t="s">
        <v>9</v>
      </c>
      <c r="D26" s="28" t="s">
        <v>9</v>
      </c>
      <c r="E26" s="3" t="s">
        <v>130</v>
      </c>
      <c r="F26" s="3"/>
      <c r="G26" s="3"/>
      <c r="H26" s="3"/>
      <c r="I26" s="3"/>
      <c r="J26" s="3"/>
      <c r="K26" s="3"/>
      <c r="L26" s="3"/>
      <c r="M26" s="3"/>
      <c r="N26" s="7"/>
    </row>
    <row r="27" spans="1:14">
      <c r="A27" s="102" t="s">
        <v>131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4"/>
    </row>
    <row r="28" spans="1:14">
      <c r="A28" s="105" t="s">
        <v>4</v>
      </c>
      <c r="B28" s="98" t="s">
        <v>85</v>
      </c>
      <c r="C28" s="98" t="s">
        <v>132</v>
      </c>
      <c r="D28" s="98" t="s">
        <v>128</v>
      </c>
      <c r="E28" s="98" t="s">
        <v>117</v>
      </c>
      <c r="F28" s="98" t="s">
        <v>118</v>
      </c>
      <c r="G28" s="98"/>
      <c r="H28" s="98"/>
      <c r="I28" s="98"/>
      <c r="J28" s="98"/>
      <c r="K28" s="98"/>
      <c r="L28" s="98" t="s">
        <v>129</v>
      </c>
      <c r="M28" s="98"/>
      <c r="N28" s="99" t="s">
        <v>119</v>
      </c>
    </row>
    <row r="29" spans="1:14">
      <c r="A29" s="105"/>
      <c r="B29" s="98"/>
      <c r="C29" s="98"/>
      <c r="D29" s="98"/>
      <c r="E29" s="98"/>
      <c r="F29" s="13" t="s">
        <v>85</v>
      </c>
      <c r="G29" s="13" t="s">
        <v>86</v>
      </c>
      <c r="H29" s="13" t="s">
        <v>91</v>
      </c>
      <c r="I29" s="13" t="s">
        <v>120</v>
      </c>
      <c r="J29" s="13" t="s">
        <v>87</v>
      </c>
      <c r="K29" s="13" t="s">
        <v>117</v>
      </c>
      <c r="L29" s="13" t="s">
        <v>86</v>
      </c>
      <c r="M29" s="13" t="s">
        <v>91</v>
      </c>
      <c r="N29" s="99"/>
    </row>
    <row r="30" spans="1:14">
      <c r="A30" s="6" t="s">
        <v>8</v>
      </c>
      <c r="B30" s="26" t="s">
        <v>123</v>
      </c>
      <c r="C30" s="3" t="s">
        <v>94</v>
      </c>
      <c r="D30" s="3" t="s">
        <v>9</v>
      </c>
      <c r="E30" s="24" t="s">
        <v>125</v>
      </c>
      <c r="F30" s="3"/>
      <c r="G30" s="3"/>
      <c r="H30" s="3"/>
      <c r="I30" s="3" t="s">
        <v>9</v>
      </c>
      <c r="J30" s="3" t="s">
        <v>9</v>
      </c>
      <c r="K30" s="3"/>
      <c r="L30" s="3" t="s">
        <v>158</v>
      </c>
      <c r="M30" s="3"/>
      <c r="N30" s="7"/>
    </row>
  </sheetData>
  <mergeCells count="52">
    <mergeCell ref="A7:E7"/>
    <mergeCell ref="B8:D8"/>
    <mergeCell ref="B9:D9"/>
    <mergeCell ref="B10:D10"/>
    <mergeCell ref="A1:E1"/>
    <mergeCell ref="B2:E2"/>
    <mergeCell ref="B3:E3"/>
    <mergeCell ref="B4:E4"/>
    <mergeCell ref="B5:E5"/>
    <mergeCell ref="B6:E6"/>
    <mergeCell ref="J14:N14"/>
    <mergeCell ref="J15:N15"/>
    <mergeCell ref="J16:N16"/>
    <mergeCell ref="J17:N17"/>
    <mergeCell ref="A11:N11"/>
    <mergeCell ref="A12:A13"/>
    <mergeCell ref="B12:B13"/>
    <mergeCell ref="C12:D12"/>
    <mergeCell ref="E12:E13"/>
    <mergeCell ref="F12:F13"/>
    <mergeCell ref="G12:I13"/>
    <mergeCell ref="J12:N13"/>
    <mergeCell ref="E24:E25"/>
    <mergeCell ref="A18:N18"/>
    <mergeCell ref="A19:A20"/>
    <mergeCell ref="B19:B20"/>
    <mergeCell ref="C19:C20"/>
    <mergeCell ref="D19:D20"/>
    <mergeCell ref="E19:L19"/>
    <mergeCell ref="M19:N20"/>
    <mergeCell ref="J20:L20"/>
    <mergeCell ref="J21:L21"/>
    <mergeCell ref="M21:N21"/>
    <mergeCell ref="J22:L22"/>
    <mergeCell ref="M22:N22"/>
    <mergeCell ref="A23:N23"/>
    <mergeCell ref="L28:M28"/>
    <mergeCell ref="N28:N29"/>
    <mergeCell ref="F24:K24"/>
    <mergeCell ref="L24:M24"/>
    <mergeCell ref="N24:N25"/>
    <mergeCell ref="A27:N27"/>
    <mergeCell ref="A28:A29"/>
    <mergeCell ref="B28:B29"/>
    <mergeCell ref="C28:C29"/>
    <mergeCell ref="D28:D29"/>
    <mergeCell ref="E28:E29"/>
    <mergeCell ref="F28:K28"/>
    <mergeCell ref="A24:A25"/>
    <mergeCell ref="B24:B25"/>
    <mergeCell ref="C24:C25"/>
    <mergeCell ref="D24:D25"/>
  </mergeCells>
  <hyperlinks>
    <hyperlink ref="A1:E1" location="'Structs'!A1" display="&lt;-Volver al inicio" xr:uid="{14AE5332-6E86-47F2-A6BD-DEA18977E56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2F06A6D-F228-479D-87C8-840F34C2BE3C}">
          <x14:formula1>
            <xm:f>Valores!$C$2:$C$7</xm:f>
          </x14:formula1>
          <xm:sqref>C10:D10</xm:sqref>
        </x14:dataValidation>
        <x14:dataValidation type="list" allowBlank="1" showInputMessage="1" showErrorMessage="1" xr:uid="{F0D20586-44BA-4FE2-B8EC-51D4097A3B44}">
          <x14:formula1>
            <xm:f>Valores!$L$2:$L$13</xm:f>
          </x14:formula1>
          <xm:sqref>L30</xm:sqref>
        </x14:dataValidation>
        <x14:dataValidation type="list" allowBlank="1" showInputMessage="1" showErrorMessage="1" xr:uid="{307CB45A-FF6E-45BD-AE83-9A1A633BB86E}">
          <x14:formula1>
            <xm:f>Valores!$J$2:$J$3</xm:f>
          </x14:formula1>
          <xm:sqref>H21 I26</xm:sqref>
        </x14:dataValidation>
        <x14:dataValidation type="list" allowBlank="1" showInputMessage="1" showErrorMessage="1" xr:uid="{FA961212-B3D1-4792-8F23-4A30CE11247E}">
          <x14:formula1>
            <xm:f>Valores!$H$2:$H$3</xm:f>
          </x14:formula1>
          <xm:sqref>F14:F17 C30</xm:sqref>
        </x14:dataValidation>
        <x14:dataValidation type="list" allowBlank="1" showInputMessage="1" showErrorMessage="1" xr:uid="{68C974EA-26E2-4265-9C28-059FB9D1A9D5}">
          <x14:formula1>
            <xm:f>Valores!$G$2:$G$12</xm:f>
          </x14:formula1>
          <xm:sqref>G30 F21:F22 G26 L26 C14:C17</xm:sqref>
        </x14:dataValidation>
        <x14:dataValidation type="list" allowBlank="1" showInputMessage="1" showErrorMessage="1" xr:uid="{EBCCC0F6-D847-4CED-B23B-7A7C4C3BFEF9}">
          <x14:formula1>
            <xm:f>Structs!$D$2</xm:f>
          </x14:formula1>
          <xm:sqref>A14:A17 B5:E5</xm:sqref>
        </x14:dataValidation>
        <x14:dataValidation type="list" allowBlank="1" showInputMessage="1" showErrorMessage="1" xr:uid="{9ABC3602-72C5-4CEB-ACD1-D594B1A60222}">
          <x14:formula1>
            <xm:f>Structs!$E$2</xm:f>
          </x14:formula1>
          <xm:sqref>B6:E6 H22 E14:E17 I21:I22 J26 D30 I30:J30</xm:sqref>
        </x14:dataValidation>
        <x14:dataValidation type="list" allowBlank="1" showInputMessage="1" showErrorMessage="1" xr:uid="{8C6132CA-071D-47DC-8874-04ED911E61DD}">
          <x14:formula1>
            <xm:f>Structs!$D$2:$E$2</xm:f>
          </x14:formula1>
          <xm:sqref>A21:A22 A26 A30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3462-65FE-4418-B5B6-A661BB8C0FC2}">
  <dimension ref="A1:N45"/>
  <sheetViews>
    <sheetView zoomScale="55" zoomScaleNormal="55" workbookViewId="0">
      <pane ySplit="1" topLeftCell="A2" activePane="bottomLeft" state="frozen"/>
      <selection pane="bottomLeft" activeCell="B2" sqref="B2:E2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Structs!I15</f>
        <v>CompletedService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Structs!B15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Structs!C15</f>
        <v>Estructura que representa un servicio completado (realizado) sobre una motocicleta en una sede. Incluye estado, precios, notas y lista de ítems de servicio.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41" t="s">
        <v>82</v>
      </c>
      <c r="C9" s="141"/>
      <c r="D9" s="142"/>
      <c r="E9" s="53" t="str">
        <f>HYPERLINK("#'"&amp;F9&amp;"'!A1", F9)</f>
        <v>Branch</v>
      </c>
      <c r="F9" s="55" t="s">
        <v>12</v>
      </c>
    </row>
    <row r="10" spans="1:14">
      <c r="A10" s="25" t="s">
        <v>81</v>
      </c>
      <c r="B10" s="141" t="s">
        <v>82</v>
      </c>
      <c r="C10" s="141"/>
      <c r="D10" s="142"/>
      <c r="E10" s="53" t="str">
        <f>HYPERLINK("#'"&amp;F10&amp;"'!A1", F10)</f>
        <v>Motorcycle</v>
      </c>
      <c r="F10" s="56" t="s">
        <v>18</v>
      </c>
    </row>
    <row r="11" spans="1:14">
      <c r="A11" s="25" t="s">
        <v>81</v>
      </c>
      <c r="B11" s="141" t="s">
        <v>82</v>
      </c>
      <c r="C11" s="141"/>
      <c r="D11" s="142"/>
      <c r="E11" s="53" t="str">
        <f>HYPERLINK("#'"&amp;F11&amp;"'!A1", F11)</f>
        <v>Diagnostic</v>
      </c>
      <c r="F11" s="56" t="s">
        <v>32</v>
      </c>
    </row>
    <row r="12" spans="1:14">
      <c r="A12" s="25" t="s">
        <v>81</v>
      </c>
      <c r="B12" s="141" t="s">
        <v>82</v>
      </c>
      <c r="C12" s="141"/>
      <c r="D12" s="142"/>
      <c r="E12" s="53" t="str">
        <f>HYPERLINK("#'"&amp;F12&amp;"'!A1", F12)</f>
        <v>ServiceStatus</v>
      </c>
      <c r="F12" s="56" t="s">
        <v>63</v>
      </c>
    </row>
    <row r="13" spans="1:14">
      <c r="A13" s="25" t="s">
        <v>81</v>
      </c>
      <c r="B13" s="141" t="s">
        <v>258</v>
      </c>
      <c r="C13" s="141"/>
      <c r="D13" s="142"/>
      <c r="E13" s="53" t="str">
        <f>HYPERLINK("#'"&amp;F13&amp;"'!A1", F13)</f>
        <v>CompletedServiceItem</v>
      </c>
      <c r="F13" s="56" t="s">
        <v>38</v>
      </c>
    </row>
    <row r="14" spans="1:14">
      <c r="A14" s="25" t="s">
        <v>83</v>
      </c>
      <c r="B14" s="141" t="s">
        <v>82</v>
      </c>
      <c r="C14" s="141"/>
      <c r="D14" s="142"/>
      <c r="E14" s="53" t="str">
        <f>HYPERLINK("#'"&amp;F14&amp;"'!A1", F14)</f>
        <v>ServiceStatusHistory</v>
      </c>
      <c r="F14" s="56" t="s">
        <v>40</v>
      </c>
    </row>
    <row r="15" spans="1:14">
      <c r="A15" s="124" t="s">
        <v>84</v>
      </c>
      <c r="B15" s="125"/>
      <c r="C15" s="125"/>
      <c r="D15" s="125"/>
      <c r="E15" s="126"/>
      <c r="F15" s="126"/>
      <c r="G15" s="125"/>
      <c r="H15" s="125"/>
      <c r="I15" s="125"/>
      <c r="J15" s="125"/>
      <c r="K15" s="125"/>
      <c r="L15" s="125"/>
      <c r="M15" s="125"/>
      <c r="N15" s="127"/>
    </row>
    <row r="16" spans="1:14">
      <c r="A16" s="128" t="s">
        <v>4</v>
      </c>
      <c r="B16" s="129" t="s">
        <v>85</v>
      </c>
      <c r="C16" s="129" t="s">
        <v>86</v>
      </c>
      <c r="D16" s="129"/>
      <c r="E16" s="129" t="s">
        <v>87</v>
      </c>
      <c r="F16" s="129" t="s">
        <v>88</v>
      </c>
      <c r="G16" s="130" t="s">
        <v>89</v>
      </c>
      <c r="H16" s="131"/>
      <c r="I16" s="132"/>
      <c r="J16" s="129" t="s">
        <v>90</v>
      </c>
      <c r="K16" s="129"/>
      <c r="L16" s="129"/>
      <c r="M16" s="129"/>
      <c r="N16" s="136"/>
    </row>
    <row r="17" spans="1:14">
      <c r="A17" s="128"/>
      <c r="B17" s="129"/>
      <c r="C17" s="10" t="s">
        <v>86</v>
      </c>
      <c r="D17" s="10" t="s">
        <v>91</v>
      </c>
      <c r="E17" s="129"/>
      <c r="F17" s="156"/>
      <c r="G17" s="157"/>
      <c r="H17" s="158"/>
      <c r="I17" s="159"/>
      <c r="J17" s="129"/>
      <c r="K17" s="129"/>
      <c r="L17" s="129"/>
      <c r="M17" s="129"/>
      <c r="N17" s="136"/>
    </row>
    <row r="18" spans="1:14">
      <c r="A18" s="6" t="s">
        <v>8</v>
      </c>
      <c r="B18" s="26" t="s">
        <v>92</v>
      </c>
      <c r="C18" s="24" t="s">
        <v>134</v>
      </c>
      <c r="D18" s="24" t="s">
        <v>135</v>
      </c>
      <c r="E18" s="65" t="s">
        <v>9</v>
      </c>
      <c r="F18" s="70" t="s">
        <v>94</v>
      </c>
      <c r="G18" s="153" t="s">
        <v>95</v>
      </c>
      <c r="H18" s="154"/>
      <c r="I18" s="155"/>
      <c r="J18" s="115" t="s">
        <v>165</v>
      </c>
      <c r="K18" s="115"/>
      <c r="L18" s="115"/>
      <c r="M18" s="115"/>
      <c r="N18" s="117"/>
    </row>
    <row r="19" spans="1:14">
      <c r="A19" s="6" t="s">
        <v>8</v>
      </c>
      <c r="B19" s="27" t="s">
        <v>172</v>
      </c>
      <c r="C19" s="25" t="s">
        <v>134</v>
      </c>
      <c r="D19" s="25" t="s">
        <v>135</v>
      </c>
      <c r="E19" s="65" t="s">
        <v>9</v>
      </c>
      <c r="F19" s="71" t="s">
        <v>94</v>
      </c>
      <c r="G19" s="151" t="s">
        <v>95</v>
      </c>
      <c r="H19" s="115"/>
      <c r="I19" s="150"/>
      <c r="J19" s="115" t="s">
        <v>259</v>
      </c>
      <c r="K19" s="115"/>
      <c r="L19" s="115"/>
      <c r="M19" s="115"/>
      <c r="N19" s="117"/>
    </row>
    <row r="20" spans="1:14">
      <c r="A20" s="6" t="s">
        <v>8</v>
      </c>
      <c r="B20" s="27" t="s">
        <v>248</v>
      </c>
      <c r="C20" s="25" t="s">
        <v>134</v>
      </c>
      <c r="D20" s="25" t="s">
        <v>135</v>
      </c>
      <c r="E20" s="65" t="s">
        <v>9</v>
      </c>
      <c r="F20" s="71" t="s">
        <v>94</v>
      </c>
      <c r="G20" s="151" t="s">
        <v>140</v>
      </c>
      <c r="H20" s="115"/>
      <c r="I20" s="150"/>
      <c r="J20" s="115" t="s">
        <v>249</v>
      </c>
      <c r="K20" s="115"/>
      <c r="L20" s="115"/>
      <c r="M20" s="115"/>
      <c r="N20" s="117"/>
    </row>
    <row r="21" spans="1:14">
      <c r="A21" s="6" t="s">
        <v>8</v>
      </c>
      <c r="B21" s="27" t="s">
        <v>216</v>
      </c>
      <c r="C21" s="25" t="s">
        <v>134</v>
      </c>
      <c r="D21" s="25" t="s">
        <v>135</v>
      </c>
      <c r="E21" s="65" t="s">
        <v>9</v>
      </c>
      <c r="F21" s="71" t="s">
        <v>94</v>
      </c>
      <c r="G21" s="151" t="s">
        <v>260</v>
      </c>
      <c r="H21" s="115"/>
      <c r="I21" s="150"/>
      <c r="J21" s="115" t="s">
        <v>217</v>
      </c>
      <c r="K21" s="115"/>
      <c r="L21" s="115"/>
      <c r="M21" s="115"/>
      <c r="N21" s="117"/>
    </row>
    <row r="22" spans="1:14">
      <c r="A22" s="6" t="s">
        <v>8</v>
      </c>
      <c r="B22" s="27" t="s">
        <v>261</v>
      </c>
      <c r="C22" s="25" t="s">
        <v>134</v>
      </c>
      <c r="D22" s="25" t="s">
        <v>135</v>
      </c>
      <c r="E22" s="65" t="s">
        <v>9</v>
      </c>
      <c r="F22" s="71" t="s">
        <v>94</v>
      </c>
      <c r="G22" s="151" t="s">
        <v>140</v>
      </c>
      <c r="H22" s="115"/>
      <c r="I22" s="150"/>
      <c r="J22" s="115" t="s">
        <v>262</v>
      </c>
      <c r="K22" s="115"/>
      <c r="L22" s="115"/>
      <c r="M22" s="115"/>
      <c r="N22" s="117"/>
    </row>
    <row r="23" spans="1:14">
      <c r="A23" s="6" t="s">
        <v>8</v>
      </c>
      <c r="B23" s="27" t="s">
        <v>263</v>
      </c>
      <c r="C23" s="25" t="s">
        <v>111</v>
      </c>
      <c r="D23" s="25" t="s">
        <v>224</v>
      </c>
      <c r="E23" s="65" t="s">
        <v>9</v>
      </c>
      <c r="F23" s="71" t="s">
        <v>94</v>
      </c>
      <c r="G23" s="151" t="s">
        <v>95</v>
      </c>
      <c r="H23" s="115"/>
      <c r="I23" s="150"/>
      <c r="J23" s="115" t="s">
        <v>264</v>
      </c>
      <c r="K23" s="115"/>
      <c r="L23" s="115"/>
      <c r="M23" s="115"/>
      <c r="N23" s="117"/>
    </row>
    <row r="24" spans="1:14">
      <c r="A24" s="6" t="s">
        <v>8</v>
      </c>
      <c r="B24" s="27" t="s">
        <v>265</v>
      </c>
      <c r="C24" s="25" t="s">
        <v>111</v>
      </c>
      <c r="D24" s="25" t="s">
        <v>224</v>
      </c>
      <c r="E24" s="65" t="s">
        <v>9</v>
      </c>
      <c r="F24" s="71" t="s">
        <v>94</v>
      </c>
      <c r="G24" s="151" t="s">
        <v>140</v>
      </c>
      <c r="H24" s="115"/>
      <c r="I24" s="150"/>
      <c r="J24" s="115" t="s">
        <v>266</v>
      </c>
      <c r="K24" s="115"/>
      <c r="L24" s="115"/>
      <c r="M24" s="115"/>
      <c r="N24" s="117"/>
    </row>
    <row r="25" spans="1:14">
      <c r="A25" s="6" t="s">
        <v>8</v>
      </c>
      <c r="B25" s="27" t="s">
        <v>149</v>
      </c>
      <c r="C25" s="25" t="s">
        <v>111</v>
      </c>
      <c r="D25" s="25" t="s">
        <v>63</v>
      </c>
      <c r="E25" s="65" t="s">
        <v>9</v>
      </c>
      <c r="F25" s="71" t="s">
        <v>94</v>
      </c>
      <c r="G25" s="151" t="s">
        <v>95</v>
      </c>
      <c r="H25" s="115"/>
      <c r="I25" s="150"/>
      <c r="J25" s="115" t="s">
        <v>267</v>
      </c>
      <c r="K25" s="115"/>
      <c r="L25" s="115"/>
      <c r="M25" s="115"/>
      <c r="N25" s="117"/>
    </row>
    <row r="26" spans="1:14" ht="15.75" customHeight="1">
      <c r="A26" s="6" t="s">
        <v>8</v>
      </c>
      <c r="B26" s="27" t="s">
        <v>268</v>
      </c>
      <c r="C26" s="25" t="s">
        <v>181</v>
      </c>
      <c r="D26" s="25"/>
      <c r="E26" s="65" t="s">
        <v>9</v>
      </c>
      <c r="F26" s="71" t="s">
        <v>94</v>
      </c>
      <c r="G26" s="151" t="s">
        <v>140</v>
      </c>
      <c r="H26" s="115"/>
      <c r="I26" s="150"/>
      <c r="J26" s="115" t="s">
        <v>269</v>
      </c>
      <c r="K26" s="115"/>
      <c r="L26" s="115"/>
      <c r="M26" s="115"/>
      <c r="N26" s="117"/>
    </row>
    <row r="27" spans="1:14">
      <c r="A27" s="6" t="s">
        <v>8</v>
      </c>
      <c r="B27" s="27" t="s">
        <v>270</v>
      </c>
      <c r="C27" s="25" t="s">
        <v>181</v>
      </c>
      <c r="D27" s="25" t="s">
        <v>135</v>
      </c>
      <c r="E27" s="65" t="s">
        <v>9</v>
      </c>
      <c r="F27" s="71" t="s">
        <v>94</v>
      </c>
      <c r="G27" s="151" t="s">
        <v>140</v>
      </c>
      <c r="H27" s="115"/>
      <c r="I27" s="150"/>
      <c r="J27" s="115" t="s">
        <v>271</v>
      </c>
      <c r="K27" s="115"/>
      <c r="L27" s="115"/>
      <c r="M27" s="115"/>
      <c r="N27" s="117"/>
    </row>
    <row r="28" spans="1:14" ht="25.5">
      <c r="A28" s="29" t="s">
        <v>8</v>
      </c>
      <c r="B28" s="27" t="s">
        <v>272</v>
      </c>
      <c r="C28" s="25" t="s">
        <v>93</v>
      </c>
      <c r="D28" s="25"/>
      <c r="E28" s="30" t="s">
        <v>9</v>
      </c>
      <c r="F28" s="71" t="s">
        <v>94</v>
      </c>
      <c r="G28" s="151" t="s">
        <v>140</v>
      </c>
      <c r="H28" s="115"/>
      <c r="I28" s="150"/>
      <c r="J28" s="115" t="s">
        <v>273</v>
      </c>
      <c r="K28" s="115"/>
      <c r="L28" s="115"/>
      <c r="M28" s="115"/>
      <c r="N28" s="117"/>
    </row>
    <row r="29" spans="1:14">
      <c r="A29" s="29"/>
      <c r="B29" s="27" t="s">
        <v>274</v>
      </c>
      <c r="C29" s="64" t="s">
        <v>111</v>
      </c>
      <c r="D29" s="64" t="s">
        <v>275</v>
      </c>
      <c r="E29" s="65" t="s">
        <v>9</v>
      </c>
      <c r="F29" s="71" t="s">
        <v>94</v>
      </c>
      <c r="G29" s="66" t="s">
        <v>140</v>
      </c>
      <c r="H29" s="33"/>
      <c r="I29" s="62"/>
      <c r="J29" s="33" t="s">
        <v>276</v>
      </c>
      <c r="K29" s="33"/>
      <c r="L29" s="33"/>
      <c r="M29" s="33"/>
      <c r="N29" s="61"/>
    </row>
    <row r="30" spans="1:14">
      <c r="A30" s="29"/>
      <c r="B30" s="27" t="s">
        <v>277</v>
      </c>
      <c r="C30" s="64" t="s">
        <v>111</v>
      </c>
      <c r="D30" s="64" t="s">
        <v>224</v>
      </c>
      <c r="E30" s="65" t="s">
        <v>9</v>
      </c>
      <c r="F30" s="71" t="s">
        <v>94</v>
      </c>
      <c r="G30" s="66" t="s">
        <v>140</v>
      </c>
      <c r="H30" s="33"/>
      <c r="I30" s="62"/>
      <c r="J30" s="33" t="s">
        <v>278</v>
      </c>
      <c r="K30" s="33"/>
      <c r="L30" s="33"/>
      <c r="M30" s="33"/>
      <c r="N30" s="61"/>
    </row>
    <row r="31" spans="1:14">
      <c r="A31" s="29"/>
      <c r="B31" s="27" t="s">
        <v>223</v>
      </c>
      <c r="C31" s="64" t="s">
        <v>111</v>
      </c>
      <c r="D31" s="64" t="s">
        <v>224</v>
      </c>
      <c r="E31" s="65" t="s">
        <v>9</v>
      </c>
      <c r="F31" s="71" t="s">
        <v>94</v>
      </c>
      <c r="G31" s="66" t="s">
        <v>95</v>
      </c>
      <c r="H31" s="33"/>
      <c r="I31" s="62"/>
      <c r="J31" s="33" t="s">
        <v>244</v>
      </c>
      <c r="K31" s="33"/>
      <c r="L31" s="33"/>
      <c r="M31" s="33"/>
      <c r="N31" s="61"/>
    </row>
    <row r="32" spans="1:14">
      <c r="A32" s="29"/>
      <c r="B32" s="27" t="s">
        <v>245</v>
      </c>
      <c r="C32" s="64" t="s">
        <v>111</v>
      </c>
      <c r="D32" s="64" t="s">
        <v>224</v>
      </c>
      <c r="E32" s="65" t="s">
        <v>9</v>
      </c>
      <c r="F32" s="72" t="s">
        <v>94</v>
      </c>
      <c r="G32" s="67" t="s">
        <v>95</v>
      </c>
      <c r="H32" s="68"/>
      <c r="I32" s="69"/>
      <c r="J32" s="33" t="s">
        <v>246</v>
      </c>
      <c r="K32" s="33"/>
      <c r="L32" s="33"/>
      <c r="M32" s="33"/>
      <c r="N32" s="61"/>
    </row>
    <row r="33" spans="1:14">
      <c r="A33" s="118" t="s">
        <v>115</v>
      </c>
      <c r="B33" s="119"/>
      <c r="C33" s="119"/>
      <c r="D33" s="119"/>
      <c r="E33" s="119"/>
      <c r="F33" s="152"/>
      <c r="G33" s="152"/>
      <c r="H33" s="152"/>
      <c r="I33" s="152"/>
      <c r="J33" s="119"/>
      <c r="K33" s="119"/>
      <c r="L33" s="119"/>
      <c r="M33" s="119"/>
      <c r="N33" s="120"/>
    </row>
    <row r="34" spans="1:14">
      <c r="A34" s="121" t="s">
        <v>4</v>
      </c>
      <c r="B34" s="122" t="s">
        <v>85</v>
      </c>
      <c r="C34" s="122" t="s">
        <v>116</v>
      </c>
      <c r="D34" s="122" t="s">
        <v>117</v>
      </c>
      <c r="E34" s="122" t="s">
        <v>118</v>
      </c>
      <c r="F34" s="122"/>
      <c r="G34" s="122"/>
      <c r="H34" s="122"/>
      <c r="I34" s="122"/>
      <c r="J34" s="122"/>
      <c r="K34" s="122"/>
      <c r="L34" s="122"/>
      <c r="M34" s="122" t="s">
        <v>119</v>
      </c>
      <c r="N34" s="123"/>
    </row>
    <row r="35" spans="1:14">
      <c r="A35" s="121"/>
      <c r="B35" s="122"/>
      <c r="C35" s="122"/>
      <c r="D35" s="122"/>
      <c r="E35" s="11" t="s">
        <v>85</v>
      </c>
      <c r="F35" s="11" t="s">
        <v>86</v>
      </c>
      <c r="G35" s="11" t="s">
        <v>91</v>
      </c>
      <c r="H35" s="11" t="s">
        <v>120</v>
      </c>
      <c r="I35" s="11" t="s">
        <v>87</v>
      </c>
      <c r="J35" s="122" t="s">
        <v>117</v>
      </c>
      <c r="K35" s="122"/>
      <c r="L35" s="122"/>
      <c r="M35" s="122"/>
      <c r="N35" s="123"/>
    </row>
    <row r="36" spans="1:14" ht="27">
      <c r="A36" s="6" t="s">
        <v>9</v>
      </c>
      <c r="B36" s="26" t="str">
        <f>B2</f>
        <v>CompletedService</v>
      </c>
      <c r="C36" s="28" t="s">
        <v>121</v>
      </c>
      <c r="D36" s="28" t="s">
        <v>122</v>
      </c>
      <c r="E36" s="3"/>
      <c r="F36" s="3"/>
      <c r="G36" s="3"/>
      <c r="H36" s="3"/>
      <c r="I36" s="3"/>
      <c r="J36" s="106"/>
      <c r="K36" s="107"/>
      <c r="L36" s="108"/>
      <c r="M36" s="106"/>
      <c r="N36" s="109"/>
    </row>
    <row r="37" spans="1:14">
      <c r="A37" s="6" t="s">
        <v>8</v>
      </c>
      <c r="B37" s="26" t="s">
        <v>123</v>
      </c>
      <c r="C37" s="28" t="s">
        <v>124</v>
      </c>
      <c r="D37" s="28" t="s">
        <v>125</v>
      </c>
      <c r="E37" s="3"/>
      <c r="F37" s="3"/>
      <c r="G37" s="3"/>
      <c r="H37" s="3" t="s">
        <v>9</v>
      </c>
      <c r="I37" s="3" t="s">
        <v>9</v>
      </c>
      <c r="J37" s="106" t="s">
        <v>136</v>
      </c>
      <c r="K37" s="107"/>
      <c r="L37" s="108"/>
      <c r="M37" s="106"/>
      <c r="N37" s="109"/>
    </row>
    <row r="38" spans="1:14">
      <c r="A38" s="110" t="s">
        <v>126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2"/>
    </row>
    <row r="39" spans="1:14">
      <c r="A39" s="113" t="s">
        <v>4</v>
      </c>
      <c r="B39" s="100" t="s">
        <v>85</v>
      </c>
      <c r="C39" s="100" t="s">
        <v>127</v>
      </c>
      <c r="D39" s="100" t="s">
        <v>128</v>
      </c>
      <c r="E39" s="100" t="s">
        <v>117</v>
      </c>
      <c r="F39" s="100" t="s">
        <v>118</v>
      </c>
      <c r="G39" s="100"/>
      <c r="H39" s="100"/>
      <c r="I39" s="100"/>
      <c r="J39" s="100"/>
      <c r="K39" s="100"/>
      <c r="L39" s="100" t="s">
        <v>129</v>
      </c>
      <c r="M39" s="100"/>
      <c r="N39" s="101" t="s">
        <v>119</v>
      </c>
    </row>
    <row r="40" spans="1:14">
      <c r="A40" s="113"/>
      <c r="B40" s="100"/>
      <c r="C40" s="100"/>
      <c r="D40" s="100"/>
      <c r="E40" s="100"/>
      <c r="F40" s="12" t="s">
        <v>85</v>
      </c>
      <c r="G40" s="12" t="s">
        <v>86</v>
      </c>
      <c r="H40" s="12" t="s">
        <v>91</v>
      </c>
      <c r="I40" s="12" t="s">
        <v>120</v>
      </c>
      <c r="J40" s="12" t="s">
        <v>87</v>
      </c>
      <c r="K40" s="12" t="s">
        <v>117</v>
      </c>
      <c r="L40" s="12" t="s">
        <v>86</v>
      </c>
      <c r="M40" s="12" t="s">
        <v>91</v>
      </c>
      <c r="N40" s="101"/>
    </row>
    <row r="41" spans="1:14">
      <c r="A41" s="6" t="s">
        <v>9</v>
      </c>
      <c r="B41" s="24" t="s">
        <v>9</v>
      </c>
      <c r="C41" s="28" t="s">
        <v>9</v>
      </c>
      <c r="D41" s="28" t="s">
        <v>9</v>
      </c>
      <c r="E41" s="3" t="s">
        <v>130</v>
      </c>
      <c r="F41" s="3"/>
      <c r="G41" s="3"/>
      <c r="H41" s="3"/>
      <c r="I41" s="3"/>
      <c r="J41" s="3"/>
      <c r="K41" s="3"/>
      <c r="L41" s="3"/>
      <c r="M41" s="3"/>
      <c r="N41" s="7"/>
    </row>
    <row r="42" spans="1:14">
      <c r="A42" s="102" t="s">
        <v>131</v>
      </c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4"/>
    </row>
    <row r="43" spans="1:14">
      <c r="A43" s="105" t="s">
        <v>4</v>
      </c>
      <c r="B43" s="98" t="s">
        <v>85</v>
      </c>
      <c r="C43" s="98" t="s">
        <v>132</v>
      </c>
      <c r="D43" s="98" t="s">
        <v>128</v>
      </c>
      <c r="E43" s="98" t="s">
        <v>117</v>
      </c>
      <c r="F43" s="98" t="s">
        <v>118</v>
      </c>
      <c r="G43" s="98"/>
      <c r="H43" s="98"/>
      <c r="I43" s="98"/>
      <c r="J43" s="98"/>
      <c r="K43" s="98"/>
      <c r="L43" s="98" t="s">
        <v>129</v>
      </c>
      <c r="M43" s="98"/>
      <c r="N43" s="99" t="s">
        <v>119</v>
      </c>
    </row>
    <row r="44" spans="1:14">
      <c r="A44" s="105"/>
      <c r="B44" s="98"/>
      <c r="C44" s="98"/>
      <c r="D44" s="98"/>
      <c r="E44" s="98"/>
      <c r="F44" s="13" t="s">
        <v>85</v>
      </c>
      <c r="G44" s="13" t="s">
        <v>86</v>
      </c>
      <c r="H44" s="13" t="s">
        <v>91</v>
      </c>
      <c r="I44" s="13" t="s">
        <v>120</v>
      </c>
      <c r="J44" s="13" t="s">
        <v>87</v>
      </c>
      <c r="K44" s="13" t="s">
        <v>117</v>
      </c>
      <c r="L44" s="13" t="s">
        <v>86</v>
      </c>
      <c r="M44" s="13" t="s">
        <v>91</v>
      </c>
      <c r="N44" s="99"/>
    </row>
    <row r="45" spans="1:14">
      <c r="A45" s="6" t="s">
        <v>8</v>
      </c>
      <c r="B45" s="26" t="s">
        <v>123</v>
      </c>
      <c r="C45" s="3" t="s">
        <v>94</v>
      </c>
      <c r="D45" s="3" t="s">
        <v>9</v>
      </c>
      <c r="E45" s="24" t="s">
        <v>125</v>
      </c>
      <c r="F45" s="3"/>
      <c r="G45" s="3"/>
      <c r="H45" s="3"/>
      <c r="I45" s="3" t="s">
        <v>9</v>
      </c>
      <c r="J45" s="3" t="s">
        <v>9</v>
      </c>
      <c r="K45" s="3"/>
      <c r="L45" s="3" t="s">
        <v>158</v>
      </c>
      <c r="M45" s="3"/>
      <c r="N45" s="7"/>
    </row>
  </sheetData>
  <mergeCells count="74">
    <mergeCell ref="B6:E6"/>
    <mergeCell ref="A1:E1"/>
    <mergeCell ref="B2:E2"/>
    <mergeCell ref="B3:E3"/>
    <mergeCell ref="B4:E4"/>
    <mergeCell ref="B5:E5"/>
    <mergeCell ref="B13:D13"/>
    <mergeCell ref="B14:D14"/>
    <mergeCell ref="A7:E7"/>
    <mergeCell ref="B8:D8"/>
    <mergeCell ref="B9:D9"/>
    <mergeCell ref="B10:D10"/>
    <mergeCell ref="B11:D11"/>
    <mergeCell ref="B12:D12"/>
    <mergeCell ref="A15:N15"/>
    <mergeCell ref="A16:A17"/>
    <mergeCell ref="B16:B17"/>
    <mergeCell ref="C16:D16"/>
    <mergeCell ref="E16:E17"/>
    <mergeCell ref="F16:F17"/>
    <mergeCell ref="G16:I17"/>
    <mergeCell ref="J16:N17"/>
    <mergeCell ref="G18:I18"/>
    <mergeCell ref="J18:N18"/>
    <mergeCell ref="G19:I19"/>
    <mergeCell ref="J19:N19"/>
    <mergeCell ref="G20:I20"/>
    <mergeCell ref="J20:N20"/>
    <mergeCell ref="G21:I21"/>
    <mergeCell ref="J21:N21"/>
    <mergeCell ref="G22:I22"/>
    <mergeCell ref="J22:N22"/>
    <mergeCell ref="G23:I23"/>
    <mergeCell ref="J23:N23"/>
    <mergeCell ref="G24:I24"/>
    <mergeCell ref="J24:N24"/>
    <mergeCell ref="G25:I25"/>
    <mergeCell ref="J25:N25"/>
    <mergeCell ref="G26:I26"/>
    <mergeCell ref="J26:N26"/>
    <mergeCell ref="A34:A35"/>
    <mergeCell ref="B34:B35"/>
    <mergeCell ref="C34:C35"/>
    <mergeCell ref="D34:D35"/>
    <mergeCell ref="E34:L34"/>
    <mergeCell ref="G27:I27"/>
    <mergeCell ref="J27:N27"/>
    <mergeCell ref="G28:I28"/>
    <mergeCell ref="J28:N28"/>
    <mergeCell ref="A33:N33"/>
    <mergeCell ref="M34:N35"/>
    <mergeCell ref="J35:L35"/>
    <mergeCell ref="J36:L36"/>
    <mergeCell ref="M36:N36"/>
    <mergeCell ref="J37:L37"/>
    <mergeCell ref="M37:N37"/>
    <mergeCell ref="A38:N38"/>
    <mergeCell ref="A39:A40"/>
    <mergeCell ref="B39:B40"/>
    <mergeCell ref="C39:C40"/>
    <mergeCell ref="D39:D40"/>
    <mergeCell ref="E39:E40"/>
    <mergeCell ref="F39:K39"/>
    <mergeCell ref="L39:M39"/>
    <mergeCell ref="N39:N40"/>
    <mergeCell ref="A42:N42"/>
    <mergeCell ref="A43:A44"/>
    <mergeCell ref="B43:B44"/>
    <mergeCell ref="C43:C44"/>
    <mergeCell ref="D43:D44"/>
    <mergeCell ref="E43:E44"/>
    <mergeCell ref="F43:K43"/>
    <mergeCell ref="L43:M43"/>
    <mergeCell ref="N43:N44"/>
  </mergeCells>
  <hyperlinks>
    <hyperlink ref="A1:E1" location="'Structs'!A1" display="&lt;-Volver al inicio" xr:uid="{102493ED-2235-4075-8305-ABA1496E753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5E11A74-A9BB-4D3A-9F60-1075F31CFCC5}">
          <x14:formula1>
            <xm:f>Valores!$C$2:$C$7</xm:f>
          </x14:formula1>
          <xm:sqref>B9:D14</xm:sqref>
        </x14:dataValidation>
        <x14:dataValidation type="list" allowBlank="1" showInputMessage="1" showErrorMessage="1" xr:uid="{346138AB-6C8D-466D-8C93-DCAEC7BA0D7E}">
          <x14:formula1>
            <xm:f>Valores!$L$2:$L$13</xm:f>
          </x14:formula1>
          <xm:sqref>L45</xm:sqref>
        </x14:dataValidation>
        <x14:dataValidation type="list" allowBlank="1" showInputMessage="1" showErrorMessage="1" xr:uid="{E0B9DD74-07C0-4CF4-9CFA-511C0B9F8423}">
          <x14:formula1>
            <xm:f>Valores!$J$2:$J$3</xm:f>
          </x14:formula1>
          <xm:sqref>H36 I41</xm:sqref>
        </x14:dataValidation>
        <x14:dataValidation type="list" allowBlank="1" showInputMessage="1" showErrorMessage="1" xr:uid="{266D6B64-A501-440C-A9EF-03DAA8C1F78E}">
          <x14:formula1>
            <xm:f>Valores!$H$2:$H$3</xm:f>
          </x14:formula1>
          <xm:sqref>C45 F18:F32</xm:sqref>
        </x14:dataValidation>
        <x14:dataValidation type="list" allowBlank="1" showInputMessage="1" showErrorMessage="1" xr:uid="{718BD7A5-FDE6-4A5C-9D2D-84942B80F0FF}">
          <x14:formula1>
            <xm:f>Valores!$G$2:$G$12</xm:f>
          </x14:formula1>
          <xm:sqref>G45 F36:F37 G41 L41 C18:C32</xm:sqref>
        </x14:dataValidation>
        <x14:dataValidation type="list" allowBlank="1" showInputMessage="1" showErrorMessage="1" xr:uid="{8775D22E-E440-4749-A3CA-E261218DAEE4}">
          <x14:formula1>
            <xm:f>Structs!$D$2</xm:f>
          </x14:formula1>
          <xm:sqref>A18:A32 B5:E5</xm:sqref>
        </x14:dataValidation>
        <x14:dataValidation type="list" allowBlank="1" showInputMessage="1" showErrorMessage="1" xr:uid="{C583AFA5-109C-4B6E-9B5E-C36A27B082B2}">
          <x14:formula1>
            <xm:f>Structs!$E$2</xm:f>
          </x14:formula1>
          <xm:sqref>B6:E6 H37 I45:J45 I36:I37 J41 D45 E18:E32</xm:sqref>
        </x14:dataValidation>
        <x14:dataValidation type="list" allowBlank="1" showInputMessage="1" showErrorMessage="1" xr:uid="{5AD34E39-6C7C-4417-923D-7542D3FCE495}">
          <x14:formula1>
            <xm:f>Structs!$D$2:$E$2</xm:f>
          </x14:formula1>
          <xm:sqref>A36:A37 A41 A45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BEF2-8A59-4B21-A5CD-C68C751E85FA}">
  <dimension ref="A1:N34"/>
  <sheetViews>
    <sheetView zoomScale="55" zoomScaleNormal="55" workbookViewId="0">
      <pane ySplit="1" topLeftCell="A2" activePane="bottomLeft" state="frozen"/>
      <selection pane="bottomLeft" activeCell="B4" sqref="B4:E4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Structs!I16</f>
        <v>CompletedServiceItem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Structs!B16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Structs!C16</f>
        <v>Estructura que representa un ítem individual dentro de un servicio completado, incluyendo calificación y comentario del usuario.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41" t="s">
        <v>82</v>
      </c>
      <c r="C9" s="141"/>
      <c r="D9" s="142"/>
      <c r="E9" s="53" t="str">
        <f>HYPERLINK("#'"&amp;F9&amp;"'!A1", F9)</f>
        <v>CompletedService</v>
      </c>
      <c r="F9" s="55" t="s">
        <v>36</v>
      </c>
    </row>
    <row r="10" spans="1:14">
      <c r="A10" s="25" t="s">
        <v>81</v>
      </c>
      <c r="B10" s="141" t="s">
        <v>82</v>
      </c>
      <c r="C10" s="141"/>
      <c r="D10" s="142"/>
      <c r="E10" s="53" t="str">
        <f>HYPERLINK("#'"&amp;F10&amp;"'!A1", F10)</f>
        <v>Service</v>
      </c>
      <c r="F10" s="56" t="s">
        <v>42</v>
      </c>
    </row>
    <row r="11" spans="1:14">
      <c r="A11" s="124" t="s">
        <v>84</v>
      </c>
      <c r="B11" s="125"/>
      <c r="C11" s="125"/>
      <c r="D11" s="125"/>
      <c r="E11" s="126"/>
      <c r="F11" s="126"/>
      <c r="G11" s="125"/>
      <c r="H11" s="125"/>
      <c r="I11" s="125"/>
      <c r="J11" s="125"/>
      <c r="K11" s="125"/>
      <c r="L11" s="125"/>
      <c r="M11" s="125"/>
      <c r="N11" s="127"/>
    </row>
    <row r="12" spans="1:14">
      <c r="A12" s="128" t="s">
        <v>4</v>
      </c>
      <c r="B12" s="129" t="s">
        <v>85</v>
      </c>
      <c r="C12" s="129" t="s">
        <v>86</v>
      </c>
      <c r="D12" s="129"/>
      <c r="E12" s="129" t="s">
        <v>87</v>
      </c>
      <c r="F12" s="129" t="s">
        <v>88</v>
      </c>
      <c r="G12" s="130" t="s">
        <v>89</v>
      </c>
      <c r="H12" s="131"/>
      <c r="I12" s="132"/>
      <c r="J12" s="129" t="s">
        <v>90</v>
      </c>
      <c r="K12" s="129"/>
      <c r="L12" s="129"/>
      <c r="M12" s="129"/>
      <c r="N12" s="136"/>
    </row>
    <row r="13" spans="1:14">
      <c r="A13" s="128"/>
      <c r="B13" s="129"/>
      <c r="C13" s="10" t="s">
        <v>86</v>
      </c>
      <c r="D13" s="10" t="s">
        <v>91</v>
      </c>
      <c r="E13" s="129"/>
      <c r="F13" s="156"/>
      <c r="G13" s="157"/>
      <c r="H13" s="158"/>
      <c r="I13" s="159"/>
      <c r="J13" s="129"/>
      <c r="K13" s="129"/>
      <c r="L13" s="129"/>
      <c r="M13" s="129"/>
      <c r="N13" s="136"/>
    </row>
    <row r="14" spans="1:14">
      <c r="A14" s="6" t="s">
        <v>8</v>
      </c>
      <c r="B14" s="26" t="s">
        <v>92</v>
      </c>
      <c r="C14" s="24" t="s">
        <v>134</v>
      </c>
      <c r="D14" s="24" t="s">
        <v>135</v>
      </c>
      <c r="E14" s="65" t="s">
        <v>9</v>
      </c>
      <c r="F14" s="70" t="s">
        <v>94</v>
      </c>
      <c r="G14" s="153" t="s">
        <v>95</v>
      </c>
      <c r="H14" s="154"/>
      <c r="I14" s="155"/>
      <c r="J14" s="115" t="s">
        <v>165</v>
      </c>
      <c r="K14" s="115"/>
      <c r="L14" s="115"/>
      <c r="M14" s="115"/>
      <c r="N14" s="117"/>
    </row>
    <row r="15" spans="1:14" ht="25.5">
      <c r="A15" s="6" t="s">
        <v>8</v>
      </c>
      <c r="B15" s="27" t="s">
        <v>279</v>
      </c>
      <c r="C15" s="25" t="s">
        <v>134</v>
      </c>
      <c r="D15" s="25" t="s">
        <v>135</v>
      </c>
      <c r="E15" s="65" t="s">
        <v>9</v>
      </c>
      <c r="F15" s="71" t="s">
        <v>94</v>
      </c>
      <c r="G15" s="151" t="s">
        <v>95</v>
      </c>
      <c r="H15" s="115"/>
      <c r="I15" s="150"/>
      <c r="J15" s="115" t="s">
        <v>280</v>
      </c>
      <c r="K15" s="115"/>
      <c r="L15" s="115"/>
      <c r="M15" s="115"/>
      <c r="N15" s="117"/>
    </row>
    <row r="16" spans="1:14">
      <c r="A16" s="6" t="s">
        <v>8</v>
      </c>
      <c r="B16" s="27" t="s">
        <v>281</v>
      </c>
      <c r="C16" s="25" t="s">
        <v>134</v>
      </c>
      <c r="D16" s="25"/>
      <c r="E16" s="65" t="s">
        <v>9</v>
      </c>
      <c r="F16" s="71" t="s">
        <v>94</v>
      </c>
      <c r="G16" s="151" t="s">
        <v>95</v>
      </c>
      <c r="H16" s="115"/>
      <c r="I16" s="150"/>
      <c r="J16" s="115" t="s">
        <v>282</v>
      </c>
      <c r="K16" s="115"/>
      <c r="L16" s="115"/>
      <c r="M16" s="115"/>
      <c r="N16" s="117"/>
    </row>
    <row r="17" spans="1:14">
      <c r="A17" s="6" t="s">
        <v>8</v>
      </c>
      <c r="B17" s="27" t="s">
        <v>283</v>
      </c>
      <c r="C17" s="25" t="s">
        <v>134</v>
      </c>
      <c r="D17" s="25"/>
      <c r="E17" s="65" t="s">
        <v>9</v>
      </c>
      <c r="F17" s="71" t="s">
        <v>94</v>
      </c>
      <c r="G17" s="151" t="s">
        <v>140</v>
      </c>
      <c r="H17" s="115"/>
      <c r="I17" s="150"/>
      <c r="J17" s="115" t="s">
        <v>284</v>
      </c>
      <c r="K17" s="115"/>
      <c r="L17" s="115"/>
      <c r="M17" s="115"/>
      <c r="N17" s="117"/>
    </row>
    <row r="18" spans="1:14">
      <c r="A18" s="6" t="s">
        <v>8</v>
      </c>
      <c r="B18" s="27" t="s">
        <v>285</v>
      </c>
      <c r="C18" s="25" t="s">
        <v>196</v>
      </c>
      <c r="D18" s="25"/>
      <c r="E18" s="65" t="s">
        <v>9</v>
      </c>
      <c r="F18" s="71" t="s">
        <v>94</v>
      </c>
      <c r="G18" s="151" t="s">
        <v>140</v>
      </c>
      <c r="H18" s="115"/>
      <c r="I18" s="150"/>
      <c r="J18" s="115" t="s">
        <v>286</v>
      </c>
      <c r="K18" s="115"/>
      <c r="L18" s="115"/>
      <c r="M18" s="115"/>
      <c r="N18" s="117"/>
    </row>
    <row r="19" spans="1:14">
      <c r="A19" s="6" t="s">
        <v>8</v>
      </c>
      <c r="B19" s="27" t="s">
        <v>287</v>
      </c>
      <c r="C19" s="25" t="s">
        <v>93</v>
      </c>
      <c r="D19" s="25"/>
      <c r="E19" s="65" t="s">
        <v>9</v>
      </c>
      <c r="F19" s="71" t="s">
        <v>94</v>
      </c>
      <c r="G19" s="151" t="s">
        <v>140</v>
      </c>
      <c r="H19" s="115"/>
      <c r="I19" s="150"/>
      <c r="J19" s="115" t="s">
        <v>288</v>
      </c>
      <c r="K19" s="115"/>
      <c r="L19" s="115"/>
      <c r="M19" s="115"/>
      <c r="N19" s="117"/>
    </row>
    <row r="20" spans="1:14">
      <c r="A20" s="6" t="s">
        <v>8</v>
      </c>
      <c r="B20" s="27" t="s">
        <v>289</v>
      </c>
      <c r="C20" s="25" t="s">
        <v>111</v>
      </c>
      <c r="D20" s="25" t="s">
        <v>224</v>
      </c>
      <c r="E20" s="65" t="s">
        <v>9</v>
      </c>
      <c r="F20" s="71" t="s">
        <v>94</v>
      </c>
      <c r="G20" s="151" t="s">
        <v>140</v>
      </c>
      <c r="H20" s="115"/>
      <c r="I20" s="150"/>
      <c r="J20" s="115" t="s">
        <v>290</v>
      </c>
      <c r="K20" s="115"/>
      <c r="L20" s="115"/>
      <c r="M20" s="115"/>
      <c r="N20" s="117"/>
    </row>
    <row r="21" spans="1:14" ht="25.5">
      <c r="A21" s="6" t="s">
        <v>8</v>
      </c>
      <c r="B21" s="27" t="s">
        <v>291</v>
      </c>
      <c r="C21" s="25" t="s">
        <v>162</v>
      </c>
      <c r="D21" s="25"/>
      <c r="E21" s="65" t="s">
        <v>9</v>
      </c>
      <c r="F21" s="71" t="s">
        <v>94</v>
      </c>
      <c r="G21" s="151" t="s">
        <v>241</v>
      </c>
      <c r="H21" s="115"/>
      <c r="I21" s="150"/>
      <c r="J21" s="115" t="s">
        <v>292</v>
      </c>
      <c r="K21" s="115"/>
      <c r="L21" s="115"/>
      <c r="M21" s="115"/>
      <c r="N21" s="117"/>
    </row>
    <row r="22" spans="1:14">
      <c r="A22" s="118" t="s">
        <v>115</v>
      </c>
      <c r="B22" s="119"/>
      <c r="C22" s="119"/>
      <c r="D22" s="119"/>
      <c r="E22" s="119"/>
      <c r="F22" s="152"/>
      <c r="G22" s="152"/>
      <c r="H22" s="152"/>
      <c r="I22" s="152"/>
      <c r="J22" s="119"/>
      <c r="K22" s="119"/>
      <c r="L22" s="119"/>
      <c r="M22" s="119"/>
      <c r="N22" s="120"/>
    </row>
    <row r="23" spans="1:14">
      <c r="A23" s="121" t="s">
        <v>4</v>
      </c>
      <c r="B23" s="122" t="s">
        <v>85</v>
      </c>
      <c r="C23" s="122" t="s">
        <v>116</v>
      </c>
      <c r="D23" s="122" t="s">
        <v>117</v>
      </c>
      <c r="E23" s="122" t="s">
        <v>118</v>
      </c>
      <c r="F23" s="122"/>
      <c r="G23" s="122"/>
      <c r="H23" s="122"/>
      <c r="I23" s="122"/>
      <c r="J23" s="122"/>
      <c r="K23" s="122"/>
      <c r="L23" s="122"/>
      <c r="M23" s="122" t="s">
        <v>119</v>
      </c>
      <c r="N23" s="123"/>
    </row>
    <row r="24" spans="1:14">
      <c r="A24" s="121"/>
      <c r="B24" s="122"/>
      <c r="C24" s="122"/>
      <c r="D24" s="122"/>
      <c r="E24" s="11" t="s">
        <v>85</v>
      </c>
      <c r="F24" s="11" t="s">
        <v>86</v>
      </c>
      <c r="G24" s="11" t="s">
        <v>91</v>
      </c>
      <c r="H24" s="11" t="s">
        <v>120</v>
      </c>
      <c r="I24" s="11" t="s">
        <v>87</v>
      </c>
      <c r="J24" s="122" t="s">
        <v>117</v>
      </c>
      <c r="K24" s="122"/>
      <c r="L24" s="122"/>
      <c r="M24" s="122"/>
      <c r="N24" s="123"/>
    </row>
    <row r="25" spans="1:14" ht="27">
      <c r="A25" s="6" t="s">
        <v>9</v>
      </c>
      <c r="B25" s="26" t="str">
        <f>B2</f>
        <v>CompletedServiceItem</v>
      </c>
      <c r="C25" s="28" t="s">
        <v>121</v>
      </c>
      <c r="D25" s="28" t="s">
        <v>122</v>
      </c>
      <c r="E25" s="3"/>
      <c r="F25" s="3"/>
      <c r="G25" s="3"/>
      <c r="H25" s="3"/>
      <c r="I25" s="3"/>
      <c r="J25" s="106"/>
      <c r="K25" s="107"/>
      <c r="L25" s="108"/>
      <c r="M25" s="106"/>
      <c r="N25" s="109"/>
    </row>
    <row r="26" spans="1:14">
      <c r="A26" s="6" t="s">
        <v>8</v>
      </c>
      <c r="B26" s="26" t="s">
        <v>123</v>
      </c>
      <c r="C26" s="28" t="s">
        <v>124</v>
      </c>
      <c r="D26" s="28" t="s">
        <v>125</v>
      </c>
      <c r="E26" s="3"/>
      <c r="F26" s="3"/>
      <c r="G26" s="3"/>
      <c r="H26" s="3" t="s">
        <v>9</v>
      </c>
      <c r="I26" s="3" t="s">
        <v>9</v>
      </c>
      <c r="J26" s="106" t="s">
        <v>136</v>
      </c>
      <c r="K26" s="107"/>
      <c r="L26" s="108"/>
      <c r="M26" s="106"/>
      <c r="N26" s="109"/>
    </row>
    <row r="27" spans="1:14">
      <c r="A27" s="110" t="s">
        <v>126</v>
      </c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2"/>
    </row>
    <row r="28" spans="1:14">
      <c r="A28" s="113" t="s">
        <v>4</v>
      </c>
      <c r="B28" s="100" t="s">
        <v>85</v>
      </c>
      <c r="C28" s="100" t="s">
        <v>127</v>
      </c>
      <c r="D28" s="100" t="s">
        <v>128</v>
      </c>
      <c r="E28" s="100" t="s">
        <v>117</v>
      </c>
      <c r="F28" s="100" t="s">
        <v>118</v>
      </c>
      <c r="G28" s="100"/>
      <c r="H28" s="100"/>
      <c r="I28" s="100"/>
      <c r="J28" s="100"/>
      <c r="K28" s="100"/>
      <c r="L28" s="100" t="s">
        <v>129</v>
      </c>
      <c r="M28" s="100"/>
      <c r="N28" s="101" t="s">
        <v>119</v>
      </c>
    </row>
    <row r="29" spans="1:14">
      <c r="A29" s="113"/>
      <c r="B29" s="100"/>
      <c r="C29" s="100"/>
      <c r="D29" s="100"/>
      <c r="E29" s="100"/>
      <c r="F29" s="12" t="s">
        <v>85</v>
      </c>
      <c r="G29" s="12" t="s">
        <v>86</v>
      </c>
      <c r="H29" s="12" t="s">
        <v>91</v>
      </c>
      <c r="I29" s="12" t="s">
        <v>120</v>
      </c>
      <c r="J29" s="12" t="s">
        <v>87</v>
      </c>
      <c r="K29" s="12" t="s">
        <v>117</v>
      </c>
      <c r="L29" s="12" t="s">
        <v>86</v>
      </c>
      <c r="M29" s="12" t="s">
        <v>91</v>
      </c>
      <c r="N29" s="101"/>
    </row>
    <row r="30" spans="1:14">
      <c r="A30" s="6" t="s">
        <v>9</v>
      </c>
      <c r="B30" s="24" t="s">
        <v>9</v>
      </c>
      <c r="C30" s="28" t="s">
        <v>9</v>
      </c>
      <c r="D30" s="28" t="s">
        <v>9</v>
      </c>
      <c r="E30" s="3" t="s">
        <v>130</v>
      </c>
      <c r="F30" s="3"/>
      <c r="G30" s="3"/>
      <c r="H30" s="3"/>
      <c r="I30" s="3"/>
      <c r="J30" s="3"/>
      <c r="K30" s="3"/>
      <c r="L30" s="3"/>
      <c r="M30" s="3"/>
      <c r="N30" s="7"/>
    </row>
    <row r="31" spans="1:14">
      <c r="A31" s="102" t="s">
        <v>131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4"/>
    </row>
    <row r="32" spans="1:14">
      <c r="A32" s="105" t="s">
        <v>4</v>
      </c>
      <c r="B32" s="98" t="s">
        <v>85</v>
      </c>
      <c r="C32" s="98" t="s">
        <v>132</v>
      </c>
      <c r="D32" s="98" t="s">
        <v>128</v>
      </c>
      <c r="E32" s="98" t="s">
        <v>117</v>
      </c>
      <c r="F32" s="98" t="s">
        <v>118</v>
      </c>
      <c r="G32" s="98"/>
      <c r="H32" s="98"/>
      <c r="I32" s="98"/>
      <c r="J32" s="98"/>
      <c r="K32" s="98"/>
      <c r="L32" s="98" t="s">
        <v>129</v>
      </c>
      <c r="M32" s="98"/>
      <c r="N32" s="99" t="s">
        <v>119</v>
      </c>
    </row>
    <row r="33" spans="1:14">
      <c r="A33" s="105"/>
      <c r="B33" s="98"/>
      <c r="C33" s="98"/>
      <c r="D33" s="98"/>
      <c r="E33" s="98"/>
      <c r="F33" s="13" t="s">
        <v>85</v>
      </c>
      <c r="G33" s="13" t="s">
        <v>86</v>
      </c>
      <c r="H33" s="13" t="s">
        <v>91</v>
      </c>
      <c r="I33" s="13" t="s">
        <v>120</v>
      </c>
      <c r="J33" s="13" t="s">
        <v>87</v>
      </c>
      <c r="K33" s="13" t="s">
        <v>117</v>
      </c>
      <c r="L33" s="13" t="s">
        <v>86</v>
      </c>
      <c r="M33" s="13" t="s">
        <v>91</v>
      </c>
      <c r="N33" s="99"/>
    </row>
    <row r="34" spans="1:14">
      <c r="A34" s="6" t="s">
        <v>8</v>
      </c>
      <c r="B34" s="26" t="s">
        <v>123</v>
      </c>
      <c r="C34" s="3" t="s">
        <v>94</v>
      </c>
      <c r="D34" s="3" t="s">
        <v>9</v>
      </c>
      <c r="E34" s="24" t="s">
        <v>125</v>
      </c>
      <c r="F34" s="3"/>
      <c r="G34" s="3"/>
      <c r="H34" s="3"/>
      <c r="I34" s="3" t="s">
        <v>9</v>
      </c>
      <c r="J34" s="3" t="s">
        <v>9</v>
      </c>
      <c r="K34" s="3"/>
      <c r="L34" s="3" t="s">
        <v>158</v>
      </c>
      <c r="M34" s="3"/>
      <c r="N34" s="7"/>
    </row>
  </sheetData>
  <mergeCells count="64">
    <mergeCell ref="A7:E7"/>
    <mergeCell ref="B8:D8"/>
    <mergeCell ref="B9:D9"/>
    <mergeCell ref="B10:D10"/>
    <mergeCell ref="A1:E1"/>
    <mergeCell ref="B2:E2"/>
    <mergeCell ref="B3:E3"/>
    <mergeCell ref="B4:E4"/>
    <mergeCell ref="B5:E5"/>
    <mergeCell ref="B6:E6"/>
    <mergeCell ref="A11:N11"/>
    <mergeCell ref="A12:A13"/>
    <mergeCell ref="B12:B13"/>
    <mergeCell ref="C12:D12"/>
    <mergeCell ref="E12:E13"/>
    <mergeCell ref="F12:F13"/>
    <mergeCell ref="G12:I13"/>
    <mergeCell ref="J12:N13"/>
    <mergeCell ref="G14:I14"/>
    <mergeCell ref="J14:N14"/>
    <mergeCell ref="G15:I15"/>
    <mergeCell ref="J15:N15"/>
    <mergeCell ref="G16:I16"/>
    <mergeCell ref="J16:N16"/>
    <mergeCell ref="G20:I20"/>
    <mergeCell ref="J20:N20"/>
    <mergeCell ref="G21:I21"/>
    <mergeCell ref="J21:N21"/>
    <mergeCell ref="G17:I17"/>
    <mergeCell ref="J17:N17"/>
    <mergeCell ref="G18:I18"/>
    <mergeCell ref="J18:N18"/>
    <mergeCell ref="G19:I19"/>
    <mergeCell ref="J19:N19"/>
    <mergeCell ref="A22:N22"/>
    <mergeCell ref="A23:A24"/>
    <mergeCell ref="B23:B24"/>
    <mergeCell ref="C23:C24"/>
    <mergeCell ref="D23:D24"/>
    <mergeCell ref="E23:L23"/>
    <mergeCell ref="M23:N24"/>
    <mergeCell ref="J24:L24"/>
    <mergeCell ref="E28:E29"/>
    <mergeCell ref="J25:L25"/>
    <mergeCell ref="M25:N25"/>
    <mergeCell ref="J26:L26"/>
    <mergeCell ref="M26:N26"/>
    <mergeCell ref="A27:N27"/>
    <mergeCell ref="F28:K28"/>
    <mergeCell ref="L28:M28"/>
    <mergeCell ref="N28:N29"/>
    <mergeCell ref="A28:A29"/>
    <mergeCell ref="B28:B29"/>
    <mergeCell ref="C28:C29"/>
    <mergeCell ref="D28:D29"/>
    <mergeCell ref="A31:N31"/>
    <mergeCell ref="A32:A33"/>
    <mergeCell ref="B32:B33"/>
    <mergeCell ref="C32:C33"/>
    <mergeCell ref="D32:D33"/>
    <mergeCell ref="E32:E33"/>
    <mergeCell ref="F32:K32"/>
    <mergeCell ref="L32:M32"/>
    <mergeCell ref="N32:N33"/>
  </mergeCells>
  <hyperlinks>
    <hyperlink ref="A1:E1" location="'Structs'!A1" display="&lt;-Volver al inicio" xr:uid="{002BC7E8-D728-4F8C-8E10-95C1614096F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2B0E188-56D9-43F0-A78F-2328C5CA845E}">
          <x14:formula1>
            <xm:f>Structs!$D$2:$E$2</xm:f>
          </x14:formula1>
          <xm:sqref>A25:A26 A30 A34</xm:sqref>
        </x14:dataValidation>
        <x14:dataValidation type="list" allowBlank="1" showInputMessage="1" showErrorMessage="1" xr:uid="{3FE9260E-8E90-4D88-8232-F83DFDC1D87E}">
          <x14:formula1>
            <xm:f>Structs!$E$2</xm:f>
          </x14:formula1>
          <xm:sqref>B6:E6 H26 I34:J34 I25:I26 J30 D34 E14:E21</xm:sqref>
        </x14:dataValidation>
        <x14:dataValidation type="list" allowBlank="1" showInputMessage="1" showErrorMessage="1" xr:uid="{5D64379E-BB45-4325-B00F-28AD9C40A480}">
          <x14:formula1>
            <xm:f>Structs!$D$2</xm:f>
          </x14:formula1>
          <xm:sqref>A14:A21 B5:E5</xm:sqref>
        </x14:dataValidation>
        <x14:dataValidation type="list" allowBlank="1" showInputMessage="1" showErrorMessage="1" xr:uid="{AFBC1C8F-6810-4934-B615-BAC0DF028366}">
          <x14:formula1>
            <xm:f>Valores!$G$2:$G$12</xm:f>
          </x14:formula1>
          <xm:sqref>G34 F25:F26 G30 L30 C14:C21</xm:sqref>
        </x14:dataValidation>
        <x14:dataValidation type="list" allowBlank="1" showInputMessage="1" showErrorMessage="1" xr:uid="{4E00EF96-F017-48FF-8B60-04695E12B5C4}">
          <x14:formula1>
            <xm:f>Valores!$H$2:$H$3</xm:f>
          </x14:formula1>
          <xm:sqref>C34 F14:F21</xm:sqref>
        </x14:dataValidation>
        <x14:dataValidation type="list" allowBlank="1" showInputMessage="1" showErrorMessage="1" xr:uid="{6F4F488D-D6A3-4DAA-AE83-A5D21E322FBC}">
          <x14:formula1>
            <xm:f>Valores!$J$2:$J$3</xm:f>
          </x14:formula1>
          <xm:sqref>H25 I30</xm:sqref>
        </x14:dataValidation>
        <x14:dataValidation type="list" allowBlank="1" showInputMessage="1" showErrorMessage="1" xr:uid="{502987B3-BEDD-42B9-91D5-44DE841AF89F}">
          <x14:formula1>
            <xm:f>Valores!$L$2:$L$13</xm:f>
          </x14:formula1>
          <xm:sqref>L34</xm:sqref>
        </x14:dataValidation>
        <x14:dataValidation type="list" allowBlank="1" showInputMessage="1" showErrorMessage="1" xr:uid="{6A17AE37-200F-4F92-9D1C-BB8431DC63A2}">
          <x14:formula1>
            <xm:f>Valores!$C$2:$C$7</xm:f>
          </x14:formula1>
          <xm:sqref>B9:D10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6757-1629-4A87-B7D1-146A3AB306D3}">
  <dimension ref="A1:N33"/>
  <sheetViews>
    <sheetView zoomScale="55" zoomScaleNormal="55" workbookViewId="0">
      <pane ySplit="1" topLeftCell="A14" activePane="bottomLeft" state="frozen"/>
      <selection pane="bottomLeft" activeCell="H8" sqref="H8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Structs!I17</f>
        <v>ServiceStatusHistory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Structs!B17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Structs!C17</f>
        <v>Estructura que registra el historial de cambios de estado de un servicio completado, con el estado anterior, nuevo, autor y fecha.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14" t="s">
        <v>82</v>
      </c>
      <c r="C9" s="115"/>
      <c r="D9" s="150"/>
      <c r="E9" s="53" t="str">
        <f>HYPERLINK("#'"&amp;F9&amp;"'!A1", F9)</f>
        <v>CompletedService</v>
      </c>
      <c r="F9" s="55" t="s">
        <v>36</v>
      </c>
    </row>
    <row r="10" spans="1:14">
      <c r="A10" s="25" t="s">
        <v>81</v>
      </c>
      <c r="B10" s="114" t="s">
        <v>82</v>
      </c>
      <c r="C10" s="115"/>
      <c r="D10" s="150"/>
      <c r="E10" s="53" t="str">
        <f>HYPERLINK("#'"&amp;F10&amp;"'!A1", F10)</f>
        <v>ServiceStatus</v>
      </c>
      <c r="F10" s="56" t="s">
        <v>63</v>
      </c>
    </row>
    <row r="11" spans="1:14">
      <c r="A11" s="25" t="s">
        <v>81</v>
      </c>
      <c r="B11" s="114" t="s">
        <v>82</v>
      </c>
      <c r="C11" s="115"/>
      <c r="D11" s="150"/>
      <c r="E11" s="53" t="str">
        <f>HYPERLINK("#'"&amp;F11&amp;"'!A1", F11)</f>
        <v>Person</v>
      </c>
      <c r="F11" s="56" t="s">
        <v>10</v>
      </c>
    </row>
    <row r="12" spans="1:14">
      <c r="A12" s="124" t="s">
        <v>84</v>
      </c>
      <c r="B12" s="125"/>
      <c r="C12" s="125"/>
      <c r="D12" s="125"/>
      <c r="E12" s="126"/>
      <c r="F12" s="126"/>
      <c r="G12" s="125"/>
      <c r="H12" s="125"/>
      <c r="I12" s="125"/>
      <c r="J12" s="125"/>
      <c r="K12" s="125"/>
      <c r="L12" s="125"/>
      <c r="M12" s="125"/>
      <c r="N12" s="127"/>
    </row>
    <row r="13" spans="1:14">
      <c r="A13" s="128" t="s">
        <v>4</v>
      </c>
      <c r="B13" s="129" t="s">
        <v>85</v>
      </c>
      <c r="C13" s="129" t="s">
        <v>86</v>
      </c>
      <c r="D13" s="129"/>
      <c r="E13" s="129" t="s">
        <v>87</v>
      </c>
      <c r="F13" s="129" t="s">
        <v>88</v>
      </c>
      <c r="G13" s="73" t="s">
        <v>89</v>
      </c>
      <c r="H13" s="74"/>
      <c r="I13" s="75"/>
      <c r="J13" s="129" t="s">
        <v>90</v>
      </c>
      <c r="K13" s="129"/>
      <c r="L13" s="129"/>
      <c r="M13" s="129"/>
      <c r="N13" s="136"/>
    </row>
    <row r="14" spans="1:14">
      <c r="A14" s="128"/>
      <c r="B14" s="129"/>
      <c r="C14" s="10" t="s">
        <v>86</v>
      </c>
      <c r="D14" s="10" t="s">
        <v>91</v>
      </c>
      <c r="E14" s="129"/>
      <c r="F14" s="129"/>
      <c r="G14" s="76"/>
      <c r="H14" s="77"/>
      <c r="I14" s="78"/>
      <c r="J14" s="129"/>
      <c r="K14" s="129"/>
      <c r="L14" s="129"/>
      <c r="M14" s="129"/>
      <c r="N14" s="136"/>
    </row>
    <row r="15" spans="1:14">
      <c r="A15" s="6" t="s">
        <v>8</v>
      </c>
      <c r="B15" s="26" t="s">
        <v>92</v>
      </c>
      <c r="C15" s="24" t="s">
        <v>93</v>
      </c>
      <c r="D15" s="24" t="s">
        <v>135</v>
      </c>
      <c r="E15" s="3" t="s">
        <v>9</v>
      </c>
      <c r="F15" s="3" t="s">
        <v>94</v>
      </c>
      <c r="G15" s="114" t="s">
        <v>95</v>
      </c>
      <c r="H15" s="115"/>
      <c r="I15" s="116"/>
      <c r="J15" s="114" t="s">
        <v>165</v>
      </c>
      <c r="K15" s="115"/>
      <c r="L15" s="115"/>
      <c r="M15" s="115"/>
      <c r="N15" s="117"/>
    </row>
    <row r="16" spans="1:14" ht="25.5">
      <c r="A16" s="6" t="s">
        <v>8</v>
      </c>
      <c r="B16" s="27" t="s">
        <v>279</v>
      </c>
      <c r="C16" s="24" t="s">
        <v>93</v>
      </c>
      <c r="D16" s="25" t="s">
        <v>135</v>
      </c>
      <c r="E16" s="3" t="s">
        <v>9</v>
      </c>
      <c r="F16" s="3" t="s">
        <v>94</v>
      </c>
      <c r="G16" s="114" t="s">
        <v>95</v>
      </c>
      <c r="H16" s="115"/>
      <c r="I16" s="116"/>
      <c r="J16" s="114" t="s">
        <v>280</v>
      </c>
      <c r="K16" s="115"/>
      <c r="L16" s="115"/>
      <c r="M16" s="115"/>
      <c r="N16" s="117"/>
    </row>
    <row r="17" spans="1:14">
      <c r="A17" s="6" t="s">
        <v>8</v>
      </c>
      <c r="B17" s="27" t="s">
        <v>293</v>
      </c>
      <c r="C17" s="24" t="s">
        <v>111</v>
      </c>
      <c r="D17" s="24" t="s">
        <v>294</v>
      </c>
      <c r="E17" s="3" t="s">
        <v>9</v>
      </c>
      <c r="F17" s="3" t="s">
        <v>94</v>
      </c>
      <c r="G17" s="114" t="s">
        <v>140</v>
      </c>
      <c r="H17" s="115"/>
      <c r="I17" s="116"/>
      <c r="J17" s="114" t="s">
        <v>295</v>
      </c>
      <c r="K17" s="115"/>
      <c r="L17" s="115"/>
      <c r="M17" s="115"/>
      <c r="N17" s="117"/>
    </row>
    <row r="18" spans="1:14">
      <c r="A18" s="6" t="s">
        <v>8</v>
      </c>
      <c r="B18" s="27" t="s">
        <v>296</v>
      </c>
      <c r="C18" s="24" t="s">
        <v>111</v>
      </c>
      <c r="D18" s="25" t="s">
        <v>63</v>
      </c>
      <c r="E18" s="3" t="s">
        <v>9</v>
      </c>
      <c r="F18" s="3" t="s">
        <v>94</v>
      </c>
      <c r="G18" s="114" t="s">
        <v>95</v>
      </c>
      <c r="H18" s="115"/>
      <c r="I18" s="116"/>
      <c r="J18" s="114" t="s">
        <v>297</v>
      </c>
      <c r="K18" s="115"/>
      <c r="L18" s="115"/>
      <c r="M18" s="115"/>
      <c r="N18" s="117"/>
    </row>
    <row r="19" spans="1:14">
      <c r="A19" s="6" t="s">
        <v>8</v>
      </c>
      <c r="B19" s="27" t="s">
        <v>298</v>
      </c>
      <c r="C19" s="25" t="s">
        <v>93</v>
      </c>
      <c r="D19" s="25"/>
      <c r="E19" s="3" t="s">
        <v>9</v>
      </c>
      <c r="F19" s="3" t="s">
        <v>94</v>
      </c>
      <c r="G19" s="114" t="s">
        <v>95</v>
      </c>
      <c r="H19" s="115"/>
      <c r="I19" s="116"/>
      <c r="J19" s="114" t="s">
        <v>299</v>
      </c>
      <c r="K19" s="115"/>
      <c r="L19" s="115"/>
      <c r="M19" s="115"/>
      <c r="N19" s="117"/>
    </row>
    <row r="20" spans="1:14">
      <c r="A20" s="6" t="s">
        <v>8</v>
      </c>
      <c r="B20" s="27" t="s">
        <v>223</v>
      </c>
      <c r="C20" s="25" t="s">
        <v>111</v>
      </c>
      <c r="D20" s="25" t="s">
        <v>224</v>
      </c>
      <c r="E20" s="3" t="s">
        <v>9</v>
      </c>
      <c r="F20" s="3" t="s">
        <v>94</v>
      </c>
      <c r="G20" s="114" t="s">
        <v>95</v>
      </c>
      <c r="H20" s="115"/>
      <c r="I20" s="116"/>
      <c r="J20" s="114" t="s">
        <v>300</v>
      </c>
      <c r="K20" s="115"/>
      <c r="L20" s="115"/>
      <c r="M20" s="115"/>
      <c r="N20" s="117"/>
    </row>
    <row r="21" spans="1:14">
      <c r="A21" s="118" t="s">
        <v>115</v>
      </c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20"/>
    </row>
    <row r="22" spans="1:14">
      <c r="A22" s="121" t="s">
        <v>4</v>
      </c>
      <c r="B22" s="122" t="s">
        <v>85</v>
      </c>
      <c r="C22" s="122" t="s">
        <v>116</v>
      </c>
      <c r="D22" s="122" t="s">
        <v>117</v>
      </c>
      <c r="E22" s="122" t="s">
        <v>118</v>
      </c>
      <c r="F22" s="122"/>
      <c r="G22" s="122"/>
      <c r="H22" s="122"/>
      <c r="I22" s="122"/>
      <c r="J22" s="122"/>
      <c r="K22" s="122"/>
      <c r="L22" s="122"/>
      <c r="M22" s="122" t="s">
        <v>119</v>
      </c>
      <c r="N22" s="123"/>
    </row>
    <row r="23" spans="1:14">
      <c r="A23" s="121"/>
      <c r="B23" s="122"/>
      <c r="C23" s="122"/>
      <c r="D23" s="122"/>
      <c r="E23" s="11" t="s">
        <v>85</v>
      </c>
      <c r="F23" s="11" t="s">
        <v>86</v>
      </c>
      <c r="G23" s="11" t="s">
        <v>91</v>
      </c>
      <c r="H23" s="11" t="s">
        <v>120</v>
      </c>
      <c r="I23" s="11" t="s">
        <v>87</v>
      </c>
      <c r="J23" s="122" t="s">
        <v>117</v>
      </c>
      <c r="K23" s="122"/>
      <c r="L23" s="122"/>
      <c r="M23" s="122"/>
      <c r="N23" s="123"/>
    </row>
    <row r="24" spans="1:14" ht="27">
      <c r="A24" s="6" t="s">
        <v>9</v>
      </c>
      <c r="B24" s="26" t="str">
        <f>B2</f>
        <v>ServiceStatusHistory</v>
      </c>
      <c r="C24" s="28" t="s">
        <v>121</v>
      </c>
      <c r="D24" s="28" t="s">
        <v>122</v>
      </c>
      <c r="E24" s="3"/>
      <c r="F24" s="3"/>
      <c r="G24" s="3"/>
      <c r="H24" s="3"/>
      <c r="I24" s="3"/>
      <c r="J24" s="106"/>
      <c r="K24" s="107"/>
      <c r="L24" s="108"/>
      <c r="M24" s="106"/>
      <c r="N24" s="109"/>
    </row>
    <row r="25" spans="1:14">
      <c r="A25" s="6" t="s">
        <v>8</v>
      </c>
      <c r="B25" s="26" t="s">
        <v>123</v>
      </c>
      <c r="C25" s="28" t="s">
        <v>124</v>
      </c>
      <c r="D25" s="28" t="s">
        <v>125</v>
      </c>
      <c r="E25" s="3"/>
      <c r="F25" s="3"/>
      <c r="G25" s="3"/>
      <c r="H25" s="3" t="s">
        <v>9</v>
      </c>
      <c r="I25" s="3" t="s">
        <v>9</v>
      </c>
      <c r="J25" s="106" t="s">
        <v>165</v>
      </c>
      <c r="K25" s="107"/>
      <c r="L25" s="108"/>
      <c r="M25" s="106"/>
      <c r="N25" s="109"/>
    </row>
    <row r="26" spans="1:14">
      <c r="A26" s="110" t="s">
        <v>126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2"/>
    </row>
    <row r="27" spans="1:14">
      <c r="A27" s="113" t="s">
        <v>4</v>
      </c>
      <c r="B27" s="100" t="s">
        <v>85</v>
      </c>
      <c r="C27" s="100" t="s">
        <v>127</v>
      </c>
      <c r="D27" s="100" t="s">
        <v>128</v>
      </c>
      <c r="E27" s="100" t="s">
        <v>117</v>
      </c>
      <c r="F27" s="100" t="s">
        <v>118</v>
      </c>
      <c r="G27" s="100"/>
      <c r="H27" s="100"/>
      <c r="I27" s="100"/>
      <c r="J27" s="100"/>
      <c r="K27" s="100"/>
      <c r="L27" s="100" t="s">
        <v>129</v>
      </c>
      <c r="M27" s="100"/>
      <c r="N27" s="101" t="s">
        <v>119</v>
      </c>
    </row>
    <row r="28" spans="1:14">
      <c r="A28" s="113"/>
      <c r="B28" s="100"/>
      <c r="C28" s="100"/>
      <c r="D28" s="100"/>
      <c r="E28" s="100"/>
      <c r="F28" s="12" t="s">
        <v>85</v>
      </c>
      <c r="G28" s="12" t="s">
        <v>86</v>
      </c>
      <c r="H28" s="12" t="s">
        <v>91</v>
      </c>
      <c r="I28" s="12" t="s">
        <v>120</v>
      </c>
      <c r="J28" s="12" t="s">
        <v>87</v>
      </c>
      <c r="K28" s="12" t="s">
        <v>117</v>
      </c>
      <c r="L28" s="12" t="s">
        <v>86</v>
      </c>
      <c r="M28" s="12" t="s">
        <v>91</v>
      </c>
      <c r="N28" s="101"/>
    </row>
    <row r="29" spans="1:14">
      <c r="A29" s="6" t="s">
        <v>9</v>
      </c>
      <c r="B29" s="24" t="s">
        <v>9</v>
      </c>
      <c r="C29" s="28" t="s">
        <v>9</v>
      </c>
      <c r="D29" s="28" t="s">
        <v>9</v>
      </c>
      <c r="E29" s="3" t="s">
        <v>130</v>
      </c>
      <c r="F29" s="3"/>
      <c r="G29" s="3"/>
      <c r="H29" s="3"/>
      <c r="I29" s="3"/>
      <c r="J29" s="3"/>
      <c r="K29" s="3"/>
      <c r="L29" s="3"/>
      <c r="M29" s="3"/>
      <c r="N29" s="7"/>
    </row>
    <row r="30" spans="1:14">
      <c r="A30" s="102" t="s">
        <v>131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4"/>
    </row>
    <row r="31" spans="1:14">
      <c r="A31" s="105" t="s">
        <v>4</v>
      </c>
      <c r="B31" s="98" t="s">
        <v>85</v>
      </c>
      <c r="C31" s="98" t="s">
        <v>132</v>
      </c>
      <c r="D31" s="98" t="s">
        <v>128</v>
      </c>
      <c r="E31" s="98" t="s">
        <v>117</v>
      </c>
      <c r="F31" s="98" t="s">
        <v>118</v>
      </c>
      <c r="G31" s="98"/>
      <c r="H31" s="98"/>
      <c r="I31" s="98"/>
      <c r="J31" s="98"/>
      <c r="K31" s="98"/>
      <c r="L31" s="98" t="s">
        <v>129</v>
      </c>
      <c r="M31" s="98"/>
      <c r="N31" s="99" t="s">
        <v>119</v>
      </c>
    </row>
    <row r="32" spans="1:14">
      <c r="A32" s="105"/>
      <c r="B32" s="98"/>
      <c r="C32" s="98"/>
      <c r="D32" s="98"/>
      <c r="E32" s="98"/>
      <c r="F32" s="13" t="s">
        <v>85</v>
      </c>
      <c r="G32" s="13" t="s">
        <v>86</v>
      </c>
      <c r="H32" s="13" t="s">
        <v>91</v>
      </c>
      <c r="I32" s="13" t="s">
        <v>120</v>
      </c>
      <c r="J32" s="13" t="s">
        <v>87</v>
      </c>
      <c r="K32" s="13" t="s">
        <v>117</v>
      </c>
      <c r="L32" s="13" t="s">
        <v>86</v>
      </c>
      <c r="M32" s="13" t="s">
        <v>91</v>
      </c>
      <c r="N32" s="99"/>
    </row>
    <row r="33" spans="1:14">
      <c r="A33" s="6" t="s">
        <v>8</v>
      </c>
      <c r="B33" s="26" t="s">
        <v>123</v>
      </c>
      <c r="C33" s="3" t="s">
        <v>94</v>
      </c>
      <c r="D33" s="3" t="s">
        <v>9</v>
      </c>
      <c r="E33" s="24" t="s">
        <v>125</v>
      </c>
      <c r="F33" s="3"/>
      <c r="G33" s="3"/>
      <c r="H33" s="3"/>
      <c r="I33" s="3" t="s">
        <v>9</v>
      </c>
      <c r="J33" s="3" t="s">
        <v>9</v>
      </c>
      <c r="K33" s="3"/>
      <c r="L33" s="3" t="s">
        <v>158</v>
      </c>
      <c r="M33" s="3"/>
      <c r="N33" s="7"/>
    </row>
  </sheetData>
  <mergeCells count="60">
    <mergeCell ref="B6:E6"/>
    <mergeCell ref="A1:E1"/>
    <mergeCell ref="B2:E2"/>
    <mergeCell ref="B3:E3"/>
    <mergeCell ref="B4:E4"/>
    <mergeCell ref="B5:E5"/>
    <mergeCell ref="G17:I17"/>
    <mergeCell ref="A7:E7"/>
    <mergeCell ref="B8:D8"/>
    <mergeCell ref="B9:D9"/>
    <mergeCell ref="B10:D10"/>
    <mergeCell ref="B11:D11"/>
    <mergeCell ref="J23:L23"/>
    <mergeCell ref="J20:N20"/>
    <mergeCell ref="A12:N12"/>
    <mergeCell ref="A13:A14"/>
    <mergeCell ref="B13:B14"/>
    <mergeCell ref="C13:D13"/>
    <mergeCell ref="E13:E14"/>
    <mergeCell ref="F13:F14"/>
    <mergeCell ref="J13:N14"/>
    <mergeCell ref="J15:N15"/>
    <mergeCell ref="J16:N16"/>
    <mergeCell ref="J17:N17"/>
    <mergeCell ref="J18:N18"/>
    <mergeCell ref="J19:N19"/>
    <mergeCell ref="G15:I15"/>
    <mergeCell ref="G16:I16"/>
    <mergeCell ref="L27:M27"/>
    <mergeCell ref="E31:E32"/>
    <mergeCell ref="F31:K31"/>
    <mergeCell ref="J24:L24"/>
    <mergeCell ref="M24:N24"/>
    <mergeCell ref="J25:L25"/>
    <mergeCell ref="M25:N25"/>
    <mergeCell ref="A26:N26"/>
    <mergeCell ref="A27:A28"/>
    <mergeCell ref="B27:B28"/>
    <mergeCell ref="C27:C28"/>
    <mergeCell ref="D27:D28"/>
    <mergeCell ref="E27:E28"/>
    <mergeCell ref="L31:M31"/>
    <mergeCell ref="N31:N32"/>
    <mergeCell ref="N27:N28"/>
    <mergeCell ref="A31:A32"/>
    <mergeCell ref="B31:B32"/>
    <mergeCell ref="C31:C32"/>
    <mergeCell ref="D31:D32"/>
    <mergeCell ref="G18:I18"/>
    <mergeCell ref="G19:I19"/>
    <mergeCell ref="G20:I20"/>
    <mergeCell ref="F27:K27"/>
    <mergeCell ref="A30:N30"/>
    <mergeCell ref="A21:N21"/>
    <mergeCell ref="A22:A23"/>
    <mergeCell ref="B22:B23"/>
    <mergeCell ref="C22:C23"/>
    <mergeCell ref="D22:D23"/>
    <mergeCell ref="E22:L22"/>
    <mergeCell ref="M22:N23"/>
  </mergeCells>
  <hyperlinks>
    <hyperlink ref="A1:E1" location="'Structs'!A1" display="&lt;-Volver al inicio" xr:uid="{59E4E059-8D65-4922-A382-4EF9967C9FE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7697ABC-4F70-47D2-ABA6-E8DA8BD5C99B}">
          <x14:formula1>
            <xm:f>Valores!$C$2:$C$7</xm:f>
          </x14:formula1>
          <xm:sqref>C10:D11</xm:sqref>
        </x14:dataValidation>
        <x14:dataValidation type="list" allowBlank="1" showInputMessage="1" showErrorMessage="1" xr:uid="{938F0312-C3CF-41B7-B270-AF8648E7806C}">
          <x14:formula1>
            <xm:f>Valores!$L$2:$L$13</xm:f>
          </x14:formula1>
          <xm:sqref>L33</xm:sqref>
        </x14:dataValidation>
        <x14:dataValidation type="list" allowBlank="1" showInputMessage="1" showErrorMessage="1" xr:uid="{83940EA3-86FC-464E-B37D-96E3EC94661E}">
          <x14:formula1>
            <xm:f>Valores!$J$2:$J$3</xm:f>
          </x14:formula1>
          <xm:sqref>H24 I29</xm:sqref>
        </x14:dataValidation>
        <x14:dataValidation type="list" allowBlank="1" showInputMessage="1" showErrorMessage="1" xr:uid="{AD5634E4-D418-4233-A010-88BDB53355D1}">
          <x14:formula1>
            <xm:f>Valores!$H$2:$H$3</xm:f>
          </x14:formula1>
          <xm:sqref>F15:F20 C33</xm:sqref>
        </x14:dataValidation>
        <x14:dataValidation type="list" allowBlank="1" showInputMessage="1" showErrorMessage="1" xr:uid="{58EBDA2E-F267-4F2E-B1E7-B3D54F6AB56F}">
          <x14:formula1>
            <xm:f>Valores!$G$2:$G$12</xm:f>
          </x14:formula1>
          <xm:sqref>G33 F24:F25 G29 L29 C15:C20</xm:sqref>
        </x14:dataValidation>
        <x14:dataValidation type="list" allowBlank="1" showInputMessage="1" showErrorMessage="1" xr:uid="{8A6141D4-433C-47A8-9957-799660A346C6}">
          <x14:formula1>
            <xm:f>Structs!$D$2</xm:f>
          </x14:formula1>
          <xm:sqref>A15:A20 B5:E5</xm:sqref>
        </x14:dataValidation>
        <x14:dataValidation type="list" allowBlank="1" showInputMessage="1" showErrorMessage="1" xr:uid="{B2FBA250-7B9C-4957-A46E-E8BEDFD66D99}">
          <x14:formula1>
            <xm:f>Structs!$E$2</xm:f>
          </x14:formula1>
          <xm:sqref>B6:E6 H25 E15:E20 I24:I25 J29 D33 I33:J33</xm:sqref>
        </x14:dataValidation>
        <x14:dataValidation type="list" allowBlank="1" showInputMessage="1" showErrorMessage="1" xr:uid="{3BCA5306-7C8C-482D-88C3-BA3AE72BAFCA}">
          <x14:formula1>
            <xm:f>Structs!$D$2:$E$2</xm:f>
          </x14:formula1>
          <xm:sqref>A24:A25 A29 A33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BF96-D4F6-45FD-8E0C-DE3039E82F52}">
  <dimension ref="A1:N32"/>
  <sheetViews>
    <sheetView zoomScale="55" zoomScaleNormal="55" workbookViewId="0">
      <pane ySplit="1" topLeftCell="A2" activePane="bottomLeft" state="frozen"/>
      <selection pane="bottomLeft" activeCell="B10" sqref="B9:D10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Structs!I18</f>
        <v>Service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Structs!B18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Structs!C18</f>
        <v>Estructura que representa un servicio del catálogo global (por ejemplo: cambio de aceite, revisión de frenos). Incluye nombre, descripción, tipo y estado.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14" t="s">
        <v>82</v>
      </c>
      <c r="C9" s="115"/>
      <c r="D9" s="150"/>
      <c r="E9" s="53" t="str">
        <f>HYPERLINK("#'"&amp;F9&amp;"'!A1", F9)</f>
        <v>ServiceType</v>
      </c>
      <c r="F9" s="24" t="s">
        <v>65</v>
      </c>
    </row>
    <row r="10" spans="1:14">
      <c r="A10" s="25" t="s">
        <v>83</v>
      </c>
      <c r="B10" s="114" t="s">
        <v>82</v>
      </c>
      <c r="C10" s="115"/>
      <c r="D10" s="150"/>
      <c r="E10" s="53" t="str">
        <f>HYPERLINK("#'"&amp;F10&amp;"'!A1", F10)</f>
        <v>BranchServiceInfo</v>
      </c>
      <c r="F10" s="25" t="s">
        <v>48</v>
      </c>
    </row>
    <row r="11" spans="1:14">
      <c r="A11" s="25" t="s">
        <v>83</v>
      </c>
      <c r="B11" s="114" t="s">
        <v>82</v>
      </c>
      <c r="C11" s="115"/>
      <c r="D11" s="150"/>
      <c r="E11" s="53" t="str">
        <f>HYPERLINK("#'"&amp;F11&amp;"'!A1", F11)</f>
        <v>CompletedServiceItem</v>
      </c>
      <c r="F11" s="25" t="s">
        <v>38</v>
      </c>
    </row>
    <row r="12" spans="1:14">
      <c r="A12" s="25" t="s">
        <v>83</v>
      </c>
      <c r="B12" s="114" t="s">
        <v>82</v>
      </c>
      <c r="C12" s="115"/>
      <c r="D12" s="150"/>
      <c r="E12" s="53" t="str">
        <f>HYPERLINK("#'"&amp;F12&amp;"'!A1", F12)</f>
        <v>ServiceReviewSummary</v>
      </c>
      <c r="F12" s="25" t="s">
        <v>46</v>
      </c>
    </row>
    <row r="13" spans="1:14">
      <c r="A13" s="124" t="s">
        <v>84</v>
      </c>
      <c r="B13" s="125"/>
      <c r="C13" s="125"/>
      <c r="D13" s="125"/>
      <c r="E13" s="126"/>
      <c r="F13" s="126"/>
      <c r="G13" s="125"/>
      <c r="H13" s="125"/>
      <c r="I13" s="125"/>
      <c r="J13" s="125"/>
      <c r="K13" s="125"/>
      <c r="L13" s="125"/>
      <c r="M13" s="125"/>
      <c r="N13" s="127"/>
    </row>
    <row r="14" spans="1:14">
      <c r="A14" s="128" t="s">
        <v>4</v>
      </c>
      <c r="B14" s="129" t="s">
        <v>85</v>
      </c>
      <c r="C14" s="129" t="s">
        <v>86</v>
      </c>
      <c r="D14" s="129"/>
      <c r="E14" s="129" t="s">
        <v>87</v>
      </c>
      <c r="F14" s="129" t="s">
        <v>88</v>
      </c>
      <c r="G14" s="130" t="s">
        <v>89</v>
      </c>
      <c r="H14" s="131"/>
      <c r="I14" s="132"/>
      <c r="J14" s="129" t="s">
        <v>90</v>
      </c>
      <c r="K14" s="129"/>
      <c r="L14" s="129"/>
      <c r="M14" s="129"/>
      <c r="N14" s="136"/>
    </row>
    <row r="15" spans="1:14">
      <c r="A15" s="128"/>
      <c r="B15" s="129"/>
      <c r="C15" s="10" t="s">
        <v>86</v>
      </c>
      <c r="D15" s="10" t="s">
        <v>91</v>
      </c>
      <c r="E15" s="129"/>
      <c r="F15" s="129"/>
      <c r="G15" s="133"/>
      <c r="H15" s="134"/>
      <c r="I15" s="135"/>
      <c r="J15" s="129"/>
      <c r="K15" s="129"/>
      <c r="L15" s="129"/>
      <c r="M15" s="129"/>
      <c r="N15" s="136"/>
    </row>
    <row r="16" spans="1:14">
      <c r="A16" s="6" t="s">
        <v>8</v>
      </c>
      <c r="B16" s="26" t="s">
        <v>92</v>
      </c>
      <c r="C16" s="24" t="s">
        <v>134</v>
      </c>
      <c r="D16" s="24" t="s">
        <v>135</v>
      </c>
      <c r="E16" s="3" t="s">
        <v>9</v>
      </c>
      <c r="F16" s="3" t="s">
        <v>94</v>
      </c>
      <c r="G16" s="24" t="s">
        <v>95</v>
      </c>
      <c r="H16" s="33"/>
      <c r="I16" s="34"/>
      <c r="J16" s="114" t="s">
        <v>165</v>
      </c>
      <c r="K16" s="115"/>
      <c r="L16" s="115"/>
      <c r="M16" s="115"/>
      <c r="N16" s="117"/>
    </row>
    <row r="17" spans="1:14">
      <c r="A17" s="6" t="s">
        <v>8</v>
      </c>
      <c r="B17" s="27" t="s">
        <v>144</v>
      </c>
      <c r="C17" s="25" t="s">
        <v>134</v>
      </c>
      <c r="D17" s="25" t="s">
        <v>135</v>
      </c>
      <c r="E17" s="3" t="s">
        <v>9</v>
      </c>
      <c r="F17" s="3" t="s">
        <v>94</v>
      </c>
      <c r="G17" s="25" t="s">
        <v>95</v>
      </c>
      <c r="H17" s="33"/>
      <c r="I17" s="34"/>
      <c r="J17" s="114" t="s">
        <v>301</v>
      </c>
      <c r="K17" s="115"/>
      <c r="L17" s="115"/>
      <c r="M17" s="115"/>
      <c r="N17" s="117"/>
    </row>
    <row r="18" spans="1:14">
      <c r="A18" s="6" t="s">
        <v>8</v>
      </c>
      <c r="B18" s="27" t="s">
        <v>167</v>
      </c>
      <c r="C18" s="25" t="s">
        <v>134</v>
      </c>
      <c r="D18" s="25" t="s">
        <v>135</v>
      </c>
      <c r="E18" s="3" t="s">
        <v>9</v>
      </c>
      <c r="F18" s="3" t="s">
        <v>94</v>
      </c>
      <c r="G18" s="25" t="s">
        <v>95</v>
      </c>
      <c r="H18" s="33"/>
      <c r="I18" s="34"/>
      <c r="J18" s="114" t="s">
        <v>302</v>
      </c>
      <c r="K18" s="115"/>
      <c r="L18" s="115"/>
      <c r="M18" s="115"/>
      <c r="N18" s="117"/>
    </row>
    <row r="19" spans="1:14">
      <c r="A19" s="6" t="s">
        <v>8</v>
      </c>
      <c r="B19" s="27" t="s">
        <v>65</v>
      </c>
      <c r="C19" s="25" t="s">
        <v>111</v>
      </c>
      <c r="D19" s="24" t="s">
        <v>65</v>
      </c>
      <c r="E19" s="3" t="s">
        <v>9</v>
      </c>
      <c r="F19" s="3" t="s">
        <v>94</v>
      </c>
      <c r="G19" s="25" t="s">
        <v>95</v>
      </c>
      <c r="H19" s="33"/>
      <c r="I19" s="34"/>
      <c r="J19" s="114" t="s">
        <v>303</v>
      </c>
      <c r="K19" s="115"/>
      <c r="L19" s="115"/>
      <c r="M19" s="115"/>
      <c r="N19" s="117"/>
    </row>
    <row r="20" spans="1:14">
      <c r="A20" s="6" t="s">
        <v>8</v>
      </c>
      <c r="B20" s="27" t="s">
        <v>304</v>
      </c>
      <c r="C20" s="25" t="s">
        <v>162</v>
      </c>
      <c r="D20" s="25" t="s">
        <v>135</v>
      </c>
      <c r="E20" s="3" t="s">
        <v>9</v>
      </c>
      <c r="F20" s="3" t="s">
        <v>94</v>
      </c>
      <c r="G20" s="25" t="s">
        <v>241</v>
      </c>
      <c r="H20" s="33"/>
      <c r="I20" s="34"/>
      <c r="J20" s="114" t="s">
        <v>242</v>
      </c>
      <c r="K20" s="115"/>
      <c r="L20" s="115"/>
      <c r="M20" s="115"/>
      <c r="N20" s="117"/>
    </row>
    <row r="21" spans="1:14">
      <c r="A21" s="118" t="s">
        <v>115</v>
      </c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20"/>
    </row>
    <row r="22" spans="1:14">
      <c r="A22" s="121" t="s">
        <v>4</v>
      </c>
      <c r="B22" s="122" t="s">
        <v>85</v>
      </c>
      <c r="C22" s="122" t="s">
        <v>116</v>
      </c>
      <c r="D22" s="122" t="s">
        <v>117</v>
      </c>
      <c r="E22" s="122" t="s">
        <v>118</v>
      </c>
      <c r="F22" s="122"/>
      <c r="G22" s="122"/>
      <c r="H22" s="122"/>
      <c r="I22" s="122"/>
      <c r="J22" s="122"/>
      <c r="K22" s="122"/>
      <c r="L22" s="122"/>
      <c r="M22" s="122" t="s">
        <v>119</v>
      </c>
      <c r="N22" s="123"/>
    </row>
    <row r="23" spans="1:14">
      <c r="A23" s="121"/>
      <c r="B23" s="122"/>
      <c r="C23" s="122"/>
      <c r="D23" s="122"/>
      <c r="E23" s="11" t="s">
        <v>85</v>
      </c>
      <c r="F23" s="11" t="s">
        <v>86</v>
      </c>
      <c r="G23" s="11" t="s">
        <v>91</v>
      </c>
      <c r="H23" s="11" t="s">
        <v>120</v>
      </c>
      <c r="I23" s="11" t="s">
        <v>87</v>
      </c>
      <c r="J23" s="122" t="s">
        <v>117</v>
      </c>
      <c r="K23" s="122"/>
      <c r="L23" s="122"/>
      <c r="M23" s="122"/>
      <c r="N23" s="123"/>
    </row>
    <row r="24" spans="1:14" ht="27">
      <c r="A24" s="6" t="s">
        <v>9</v>
      </c>
      <c r="B24" s="26" t="str">
        <f>B2</f>
        <v>Service</v>
      </c>
      <c r="C24" s="28" t="s">
        <v>121</v>
      </c>
      <c r="D24" s="28" t="s">
        <v>122</v>
      </c>
      <c r="E24" s="3"/>
      <c r="F24" s="3"/>
      <c r="G24" s="3"/>
      <c r="H24" s="3"/>
      <c r="I24" s="3"/>
      <c r="J24" s="106"/>
      <c r="K24" s="107"/>
      <c r="L24" s="108"/>
      <c r="M24" s="106"/>
      <c r="N24" s="109"/>
    </row>
    <row r="25" spans="1:14">
      <c r="A25" s="110" t="s">
        <v>126</v>
      </c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2"/>
    </row>
    <row r="26" spans="1:14">
      <c r="A26" s="113" t="s">
        <v>4</v>
      </c>
      <c r="B26" s="100" t="s">
        <v>85</v>
      </c>
      <c r="C26" s="100" t="s">
        <v>127</v>
      </c>
      <c r="D26" s="100" t="s">
        <v>128</v>
      </c>
      <c r="E26" s="100" t="s">
        <v>117</v>
      </c>
      <c r="F26" s="100" t="s">
        <v>118</v>
      </c>
      <c r="G26" s="100"/>
      <c r="H26" s="100"/>
      <c r="I26" s="100"/>
      <c r="J26" s="100"/>
      <c r="K26" s="100"/>
      <c r="L26" s="100" t="s">
        <v>129</v>
      </c>
      <c r="M26" s="100"/>
      <c r="N26" s="101" t="s">
        <v>119</v>
      </c>
    </row>
    <row r="27" spans="1:14">
      <c r="A27" s="113"/>
      <c r="B27" s="100"/>
      <c r="C27" s="100"/>
      <c r="D27" s="100"/>
      <c r="E27" s="100"/>
      <c r="F27" s="12" t="s">
        <v>85</v>
      </c>
      <c r="G27" s="12" t="s">
        <v>86</v>
      </c>
      <c r="H27" s="12" t="s">
        <v>91</v>
      </c>
      <c r="I27" s="12" t="s">
        <v>120</v>
      </c>
      <c r="J27" s="12" t="s">
        <v>87</v>
      </c>
      <c r="K27" s="12" t="s">
        <v>117</v>
      </c>
      <c r="L27" s="12" t="s">
        <v>86</v>
      </c>
      <c r="M27" s="12" t="s">
        <v>91</v>
      </c>
      <c r="N27" s="101"/>
    </row>
    <row r="28" spans="1:14">
      <c r="A28" s="6" t="s">
        <v>9</v>
      </c>
      <c r="B28" s="24" t="s">
        <v>9</v>
      </c>
      <c r="C28" s="28" t="s">
        <v>9</v>
      </c>
      <c r="D28" s="28" t="s">
        <v>9</v>
      </c>
      <c r="E28" s="3" t="s">
        <v>130</v>
      </c>
      <c r="F28" s="3"/>
      <c r="G28" s="3"/>
      <c r="H28" s="3"/>
      <c r="I28" s="3"/>
      <c r="J28" s="3"/>
      <c r="K28" s="3"/>
      <c r="L28" s="3"/>
      <c r="M28" s="3"/>
      <c r="N28" s="7"/>
    </row>
    <row r="29" spans="1:14">
      <c r="A29" s="102" t="s">
        <v>131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4"/>
    </row>
    <row r="30" spans="1:14">
      <c r="A30" s="105" t="s">
        <v>4</v>
      </c>
      <c r="B30" s="98" t="s">
        <v>85</v>
      </c>
      <c r="C30" s="98" t="s">
        <v>132</v>
      </c>
      <c r="D30" s="98" t="s">
        <v>128</v>
      </c>
      <c r="E30" s="98" t="s">
        <v>117</v>
      </c>
      <c r="F30" s="98" t="s">
        <v>118</v>
      </c>
      <c r="G30" s="98"/>
      <c r="H30" s="98"/>
      <c r="I30" s="98"/>
      <c r="J30" s="98"/>
      <c r="K30" s="98"/>
      <c r="L30" s="98" t="s">
        <v>129</v>
      </c>
      <c r="M30" s="98"/>
      <c r="N30" s="99" t="s">
        <v>119</v>
      </c>
    </row>
    <row r="31" spans="1:14">
      <c r="A31" s="105"/>
      <c r="B31" s="98"/>
      <c r="C31" s="98"/>
      <c r="D31" s="98"/>
      <c r="E31" s="98"/>
      <c r="F31" s="13" t="s">
        <v>85</v>
      </c>
      <c r="G31" s="13" t="s">
        <v>86</v>
      </c>
      <c r="H31" s="13" t="s">
        <v>91</v>
      </c>
      <c r="I31" s="13" t="s">
        <v>120</v>
      </c>
      <c r="J31" s="13" t="s">
        <v>87</v>
      </c>
      <c r="K31" s="13" t="s">
        <v>117</v>
      </c>
      <c r="L31" s="13" t="s">
        <v>86</v>
      </c>
      <c r="M31" s="13" t="s">
        <v>91</v>
      </c>
      <c r="N31" s="99"/>
    </row>
    <row r="32" spans="1:14">
      <c r="A32" s="6" t="s">
        <v>9</v>
      </c>
      <c r="B32" s="26" t="s">
        <v>9</v>
      </c>
      <c r="C32" s="3" t="s">
        <v>9</v>
      </c>
      <c r="D32" s="3" t="s">
        <v>9</v>
      </c>
      <c r="E32" s="24" t="s">
        <v>9</v>
      </c>
      <c r="F32" s="3" t="s">
        <v>9</v>
      </c>
      <c r="G32" s="3" t="s">
        <v>9</v>
      </c>
      <c r="H32" s="3" t="s">
        <v>9</v>
      </c>
      <c r="I32" s="3" t="s">
        <v>9</v>
      </c>
      <c r="J32" s="3" t="s">
        <v>9</v>
      </c>
      <c r="K32" s="3" t="s">
        <v>9</v>
      </c>
      <c r="L32" s="3" t="s">
        <v>9</v>
      </c>
      <c r="M32" s="3" t="s">
        <v>9</v>
      </c>
      <c r="N32" s="7" t="s">
        <v>9</v>
      </c>
    </row>
  </sheetData>
  <mergeCells count="53">
    <mergeCell ref="B12:D12"/>
    <mergeCell ref="A1:E1"/>
    <mergeCell ref="B2:E2"/>
    <mergeCell ref="B3:E3"/>
    <mergeCell ref="B4:E4"/>
    <mergeCell ref="B5:E5"/>
    <mergeCell ref="B6:E6"/>
    <mergeCell ref="A7:E7"/>
    <mergeCell ref="B8:D8"/>
    <mergeCell ref="B9:D9"/>
    <mergeCell ref="B10:D10"/>
    <mergeCell ref="B11:D11"/>
    <mergeCell ref="A13:N13"/>
    <mergeCell ref="A14:A15"/>
    <mergeCell ref="B14:B15"/>
    <mergeCell ref="C14:D14"/>
    <mergeCell ref="E14:E15"/>
    <mergeCell ref="F14:F15"/>
    <mergeCell ref="G14:I15"/>
    <mergeCell ref="J14:N15"/>
    <mergeCell ref="J16:N16"/>
    <mergeCell ref="J17:N17"/>
    <mergeCell ref="J18:N18"/>
    <mergeCell ref="J19:N19"/>
    <mergeCell ref="J20:N20"/>
    <mergeCell ref="A21:N21"/>
    <mergeCell ref="A22:A23"/>
    <mergeCell ref="B22:B23"/>
    <mergeCell ref="C22:C23"/>
    <mergeCell ref="D22:D23"/>
    <mergeCell ref="E22:L22"/>
    <mergeCell ref="M22:N23"/>
    <mergeCell ref="F26:K26"/>
    <mergeCell ref="J23:L23"/>
    <mergeCell ref="J24:L24"/>
    <mergeCell ref="M24:N24"/>
    <mergeCell ref="A25:N25"/>
    <mergeCell ref="N30:N31"/>
    <mergeCell ref="L26:M26"/>
    <mergeCell ref="N26:N27"/>
    <mergeCell ref="A29:N29"/>
    <mergeCell ref="A30:A31"/>
    <mergeCell ref="B30:B31"/>
    <mergeCell ref="C30:C31"/>
    <mergeCell ref="D30:D31"/>
    <mergeCell ref="E30:E31"/>
    <mergeCell ref="F30:K30"/>
    <mergeCell ref="L30:M30"/>
    <mergeCell ref="A26:A27"/>
    <mergeCell ref="B26:B27"/>
    <mergeCell ref="C26:C27"/>
    <mergeCell ref="D26:D27"/>
    <mergeCell ref="E26:E27"/>
  </mergeCells>
  <hyperlinks>
    <hyperlink ref="A1:E1" location="'Structs'!A1" display="&lt;-Volver al inicio" xr:uid="{14D80260-7734-4313-8963-0D6CC069021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59243AE-CE77-4066-985B-677E6A8A15C8}">
          <x14:formula1>
            <xm:f>Structs!$D$2:$E$2</xm:f>
          </x14:formula1>
          <xm:sqref>A24 A28 A32</xm:sqref>
        </x14:dataValidation>
        <x14:dataValidation type="list" allowBlank="1" showInputMessage="1" showErrorMessage="1" xr:uid="{F5A3FB74-47F9-4083-9D31-3CB3D09CA78B}">
          <x14:formula1>
            <xm:f>Structs!$E$2</xm:f>
          </x14:formula1>
          <xm:sqref>B6:E6 E16:E20 I24 J28 D32 I32:J32</xm:sqref>
        </x14:dataValidation>
        <x14:dataValidation type="list" allowBlank="1" showInputMessage="1" showErrorMessage="1" xr:uid="{166520B2-0B1A-48C8-8119-28D599D23E92}">
          <x14:formula1>
            <xm:f>Structs!$D$2</xm:f>
          </x14:formula1>
          <xm:sqref>A16:A20 B5:E5</xm:sqref>
        </x14:dataValidation>
        <x14:dataValidation type="list" allowBlank="1" showInputMessage="1" showErrorMessage="1" xr:uid="{1993B90A-75DB-4B19-B9A3-245012FB9341}">
          <x14:formula1>
            <xm:f>Valores!$G$2:$G$12</xm:f>
          </x14:formula1>
          <xm:sqref>G32 F24 G28 L28 C16:C20</xm:sqref>
        </x14:dataValidation>
        <x14:dataValidation type="list" allowBlank="1" showInputMessage="1" showErrorMessage="1" xr:uid="{261EC0E7-547E-4EC2-B40A-D9366DD016CF}">
          <x14:formula1>
            <xm:f>Valores!$H$2:$H$3</xm:f>
          </x14:formula1>
          <xm:sqref>F16:F20 C32</xm:sqref>
        </x14:dataValidation>
        <x14:dataValidation type="list" allowBlank="1" showInputMessage="1" showErrorMessage="1" xr:uid="{E7BA2898-5865-4F9A-A9A2-50C8356E855E}">
          <x14:formula1>
            <xm:f>Valores!$J$2:$J$3</xm:f>
          </x14:formula1>
          <xm:sqref>H24 I28</xm:sqref>
        </x14:dataValidation>
        <x14:dataValidation type="list" allowBlank="1" showInputMessage="1" showErrorMessage="1" xr:uid="{F22775BF-C134-496B-92D3-30F412BBE112}">
          <x14:formula1>
            <xm:f>Valores!$L$2:$L$13</xm:f>
          </x14:formula1>
          <xm:sqref>L32</xm:sqref>
        </x14:dataValidation>
        <x14:dataValidation type="list" allowBlank="1" showInputMessage="1" showErrorMessage="1" xr:uid="{5E188231-DC59-4604-9E14-5747A61C9E5B}">
          <x14:formula1>
            <xm:f>Valores!$C$2:$C$7</xm:f>
          </x14:formula1>
          <xm:sqref>C10:D12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09B7-F131-408F-B0BF-FFFC767A42AD}">
  <dimension ref="A1:N29"/>
  <sheetViews>
    <sheetView zoomScale="55" zoomScaleNormal="55" workbookViewId="0">
      <pane ySplit="1" topLeftCell="B2" activePane="bottomLeft" state="frozen"/>
      <selection pane="bottomLeft" activeCell="J13" sqref="J13:N17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Structs!I19</f>
        <v>ServiceReview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Structs!B19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Structs!C19</f>
        <v>Estructura que representa una reseña individual de un servicio, con nombre del revisor, calificación, comentario y modelo de moto.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60" t="s">
        <v>258</v>
      </c>
      <c r="C9" s="115"/>
      <c r="D9" s="150"/>
      <c r="E9" s="53" t="str">
        <f>HYPERLINK("#'"&amp;F9&amp;"'!A1", F9)</f>
        <v>ServiceReviewSummary</v>
      </c>
      <c r="F9" s="24" t="s">
        <v>46</v>
      </c>
    </row>
    <row r="10" spans="1:14">
      <c r="A10" s="124" t="s">
        <v>84</v>
      </c>
      <c r="B10" s="125"/>
      <c r="C10" s="125"/>
      <c r="D10" s="125"/>
      <c r="E10" s="126"/>
      <c r="F10" s="126"/>
      <c r="G10" s="125"/>
      <c r="H10" s="125"/>
      <c r="I10" s="125"/>
      <c r="J10" s="125"/>
      <c r="K10" s="125"/>
      <c r="L10" s="125"/>
      <c r="M10" s="125"/>
      <c r="N10" s="127"/>
    </row>
    <row r="11" spans="1:14">
      <c r="A11" s="128" t="s">
        <v>4</v>
      </c>
      <c r="B11" s="129" t="s">
        <v>85</v>
      </c>
      <c r="C11" s="129" t="s">
        <v>86</v>
      </c>
      <c r="D11" s="129"/>
      <c r="E11" s="129" t="s">
        <v>87</v>
      </c>
      <c r="F11" s="129" t="s">
        <v>88</v>
      </c>
      <c r="G11" s="130" t="s">
        <v>89</v>
      </c>
      <c r="H11" s="131"/>
      <c r="I11" s="132"/>
      <c r="J11" s="129" t="s">
        <v>90</v>
      </c>
      <c r="K11" s="129"/>
      <c r="L11" s="129"/>
      <c r="M11" s="129"/>
      <c r="N11" s="136"/>
    </row>
    <row r="12" spans="1:14">
      <c r="A12" s="128"/>
      <c r="B12" s="129"/>
      <c r="C12" s="10" t="s">
        <v>86</v>
      </c>
      <c r="D12" s="10" t="s">
        <v>91</v>
      </c>
      <c r="E12" s="129"/>
      <c r="F12" s="129"/>
      <c r="G12" s="133"/>
      <c r="H12" s="134"/>
      <c r="I12" s="135"/>
      <c r="J12" s="129"/>
      <c r="K12" s="129"/>
      <c r="L12" s="129"/>
      <c r="M12" s="129"/>
      <c r="N12" s="136"/>
    </row>
    <row r="13" spans="1:14">
      <c r="A13" s="6" t="s">
        <v>8</v>
      </c>
      <c r="B13" s="26" t="s">
        <v>305</v>
      </c>
      <c r="C13" s="24" t="s">
        <v>134</v>
      </c>
      <c r="D13" s="24" t="s">
        <v>135</v>
      </c>
      <c r="E13" s="3" t="s">
        <v>9</v>
      </c>
      <c r="F13" s="3" t="s">
        <v>94</v>
      </c>
      <c r="G13" s="24" t="s">
        <v>95</v>
      </c>
      <c r="H13" s="33"/>
      <c r="I13" s="34"/>
      <c r="J13" s="114" t="s">
        <v>306</v>
      </c>
      <c r="K13" s="115"/>
      <c r="L13" s="115"/>
      <c r="M13" s="115"/>
      <c r="N13" s="117"/>
    </row>
    <row r="14" spans="1:14">
      <c r="A14" s="6" t="s">
        <v>8</v>
      </c>
      <c r="B14" s="27" t="s">
        <v>285</v>
      </c>
      <c r="C14" s="25" t="s">
        <v>196</v>
      </c>
      <c r="D14" s="25" t="s">
        <v>135</v>
      </c>
      <c r="E14" s="3" t="s">
        <v>9</v>
      </c>
      <c r="F14" s="3" t="s">
        <v>94</v>
      </c>
      <c r="G14" s="25">
        <v>0</v>
      </c>
      <c r="H14" s="33"/>
      <c r="I14" s="34"/>
      <c r="J14" s="114" t="s">
        <v>307</v>
      </c>
      <c r="K14" s="115"/>
      <c r="L14" s="115"/>
      <c r="M14" s="115"/>
      <c r="N14" s="117"/>
    </row>
    <row r="15" spans="1:14">
      <c r="A15" s="6" t="s">
        <v>8</v>
      </c>
      <c r="B15" s="27" t="s">
        <v>287</v>
      </c>
      <c r="C15" s="25" t="s">
        <v>134</v>
      </c>
      <c r="D15" s="25" t="s">
        <v>135</v>
      </c>
      <c r="E15" s="3" t="s">
        <v>9</v>
      </c>
      <c r="F15" s="3" t="s">
        <v>94</v>
      </c>
      <c r="G15" s="25" t="s">
        <v>140</v>
      </c>
      <c r="H15" s="33"/>
      <c r="I15" s="34"/>
      <c r="J15" s="114" t="s">
        <v>308</v>
      </c>
      <c r="K15" s="115"/>
      <c r="L15" s="115"/>
      <c r="M15" s="115"/>
      <c r="N15" s="117"/>
    </row>
    <row r="16" spans="1:14">
      <c r="A16" s="6" t="s">
        <v>8</v>
      </c>
      <c r="B16" s="27" t="s">
        <v>289</v>
      </c>
      <c r="C16" s="25" t="s">
        <v>111</v>
      </c>
      <c r="D16" s="24" t="s">
        <v>224</v>
      </c>
      <c r="E16" s="3" t="s">
        <v>9</v>
      </c>
      <c r="F16" s="3" t="s">
        <v>94</v>
      </c>
      <c r="G16" s="25" t="s">
        <v>95</v>
      </c>
      <c r="H16" s="33"/>
      <c r="I16" s="34"/>
      <c r="J16" s="114" t="s">
        <v>309</v>
      </c>
      <c r="K16" s="115"/>
      <c r="L16" s="115"/>
      <c r="M16" s="115"/>
      <c r="N16" s="117"/>
    </row>
    <row r="17" spans="1:14">
      <c r="A17" s="6" t="s">
        <v>8</v>
      </c>
      <c r="B17" s="27" t="s">
        <v>310</v>
      </c>
      <c r="C17" s="25" t="s">
        <v>162</v>
      </c>
      <c r="D17" s="25" t="s">
        <v>135</v>
      </c>
      <c r="E17" s="3" t="s">
        <v>9</v>
      </c>
      <c r="F17" s="3" t="s">
        <v>94</v>
      </c>
      <c r="G17" s="25" t="s">
        <v>140</v>
      </c>
      <c r="H17" s="33"/>
      <c r="I17" s="34"/>
      <c r="J17" s="114" t="s">
        <v>311</v>
      </c>
      <c r="K17" s="115"/>
      <c r="L17" s="115"/>
      <c r="M17" s="115"/>
      <c r="N17" s="117"/>
    </row>
    <row r="18" spans="1:14">
      <c r="A18" s="118" t="s">
        <v>115</v>
      </c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20"/>
    </row>
    <row r="19" spans="1:14">
      <c r="A19" s="121" t="s">
        <v>4</v>
      </c>
      <c r="B19" s="122" t="s">
        <v>85</v>
      </c>
      <c r="C19" s="122" t="s">
        <v>116</v>
      </c>
      <c r="D19" s="122" t="s">
        <v>117</v>
      </c>
      <c r="E19" s="122" t="s">
        <v>118</v>
      </c>
      <c r="F19" s="122"/>
      <c r="G19" s="122"/>
      <c r="H19" s="122"/>
      <c r="I19" s="122"/>
      <c r="J19" s="122"/>
      <c r="K19" s="122"/>
      <c r="L19" s="122"/>
      <c r="M19" s="122" t="s">
        <v>119</v>
      </c>
      <c r="N19" s="123"/>
    </row>
    <row r="20" spans="1:14">
      <c r="A20" s="121"/>
      <c r="B20" s="122"/>
      <c r="C20" s="122"/>
      <c r="D20" s="122"/>
      <c r="E20" s="11" t="s">
        <v>85</v>
      </c>
      <c r="F20" s="11" t="s">
        <v>86</v>
      </c>
      <c r="G20" s="11" t="s">
        <v>91</v>
      </c>
      <c r="H20" s="11" t="s">
        <v>120</v>
      </c>
      <c r="I20" s="11" t="s">
        <v>87</v>
      </c>
      <c r="J20" s="122" t="s">
        <v>117</v>
      </c>
      <c r="K20" s="122"/>
      <c r="L20" s="122"/>
      <c r="M20" s="122"/>
      <c r="N20" s="123"/>
    </row>
    <row r="21" spans="1:14" ht="27">
      <c r="A21" s="6" t="s">
        <v>9</v>
      </c>
      <c r="B21" s="26" t="str">
        <f>B2</f>
        <v>ServiceReview</v>
      </c>
      <c r="C21" s="28" t="s">
        <v>121</v>
      </c>
      <c r="D21" s="28" t="s">
        <v>122</v>
      </c>
      <c r="E21" s="3"/>
      <c r="F21" s="3"/>
      <c r="G21" s="3"/>
      <c r="H21" s="3"/>
      <c r="I21" s="3"/>
      <c r="J21" s="106"/>
      <c r="K21" s="107"/>
      <c r="L21" s="108"/>
      <c r="M21" s="106"/>
      <c r="N21" s="109"/>
    </row>
    <row r="22" spans="1:14">
      <c r="A22" s="110" t="s">
        <v>126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2"/>
    </row>
    <row r="23" spans="1:14">
      <c r="A23" s="113" t="s">
        <v>4</v>
      </c>
      <c r="B23" s="100" t="s">
        <v>85</v>
      </c>
      <c r="C23" s="100" t="s">
        <v>127</v>
      </c>
      <c r="D23" s="100" t="s">
        <v>128</v>
      </c>
      <c r="E23" s="100" t="s">
        <v>117</v>
      </c>
      <c r="F23" s="100" t="s">
        <v>118</v>
      </c>
      <c r="G23" s="100"/>
      <c r="H23" s="100"/>
      <c r="I23" s="100"/>
      <c r="J23" s="100"/>
      <c r="K23" s="100"/>
      <c r="L23" s="100" t="s">
        <v>129</v>
      </c>
      <c r="M23" s="100"/>
      <c r="N23" s="101" t="s">
        <v>119</v>
      </c>
    </row>
    <row r="24" spans="1:14">
      <c r="A24" s="113"/>
      <c r="B24" s="100"/>
      <c r="C24" s="100"/>
      <c r="D24" s="100"/>
      <c r="E24" s="100"/>
      <c r="F24" s="12" t="s">
        <v>85</v>
      </c>
      <c r="G24" s="12" t="s">
        <v>86</v>
      </c>
      <c r="H24" s="12" t="s">
        <v>91</v>
      </c>
      <c r="I24" s="12" t="s">
        <v>120</v>
      </c>
      <c r="J24" s="12" t="s">
        <v>87</v>
      </c>
      <c r="K24" s="12" t="s">
        <v>117</v>
      </c>
      <c r="L24" s="12" t="s">
        <v>86</v>
      </c>
      <c r="M24" s="12" t="s">
        <v>91</v>
      </c>
      <c r="N24" s="101"/>
    </row>
    <row r="25" spans="1:14">
      <c r="A25" s="6" t="s">
        <v>9</v>
      </c>
      <c r="B25" s="24" t="s">
        <v>9</v>
      </c>
      <c r="C25" s="28" t="s">
        <v>9</v>
      </c>
      <c r="D25" s="28" t="s">
        <v>9</v>
      </c>
      <c r="E25" s="3" t="s">
        <v>130</v>
      </c>
      <c r="F25" s="3"/>
      <c r="G25" s="3"/>
      <c r="H25" s="3"/>
      <c r="I25" s="3"/>
      <c r="J25" s="3"/>
      <c r="K25" s="3"/>
      <c r="L25" s="3"/>
      <c r="M25" s="3"/>
      <c r="N25" s="7"/>
    </row>
    <row r="26" spans="1:14">
      <c r="A26" s="102" t="s">
        <v>131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4"/>
    </row>
    <row r="27" spans="1:14">
      <c r="A27" s="105" t="s">
        <v>4</v>
      </c>
      <c r="B27" s="98" t="s">
        <v>85</v>
      </c>
      <c r="C27" s="98" t="s">
        <v>132</v>
      </c>
      <c r="D27" s="98" t="s">
        <v>128</v>
      </c>
      <c r="E27" s="98" t="s">
        <v>117</v>
      </c>
      <c r="F27" s="98" t="s">
        <v>118</v>
      </c>
      <c r="G27" s="98"/>
      <c r="H27" s="98"/>
      <c r="I27" s="98"/>
      <c r="J27" s="98"/>
      <c r="K27" s="98"/>
      <c r="L27" s="98" t="s">
        <v>129</v>
      </c>
      <c r="M27" s="98"/>
      <c r="N27" s="99" t="s">
        <v>119</v>
      </c>
    </row>
    <row r="28" spans="1:14">
      <c r="A28" s="105"/>
      <c r="B28" s="98"/>
      <c r="C28" s="98"/>
      <c r="D28" s="98"/>
      <c r="E28" s="98"/>
      <c r="F28" s="13" t="s">
        <v>85</v>
      </c>
      <c r="G28" s="13" t="s">
        <v>86</v>
      </c>
      <c r="H28" s="13" t="s">
        <v>91</v>
      </c>
      <c r="I28" s="13" t="s">
        <v>120</v>
      </c>
      <c r="J28" s="13" t="s">
        <v>87</v>
      </c>
      <c r="K28" s="13" t="s">
        <v>117</v>
      </c>
      <c r="L28" s="13" t="s">
        <v>86</v>
      </c>
      <c r="M28" s="13" t="s">
        <v>91</v>
      </c>
      <c r="N28" s="99"/>
    </row>
    <row r="29" spans="1:14">
      <c r="A29" s="6" t="s">
        <v>9</v>
      </c>
      <c r="B29" s="26" t="s">
        <v>9</v>
      </c>
      <c r="C29" s="3" t="s">
        <v>9</v>
      </c>
      <c r="D29" s="3" t="s">
        <v>9</v>
      </c>
      <c r="E29" s="24" t="s">
        <v>9</v>
      </c>
      <c r="F29" s="3" t="s">
        <v>9</v>
      </c>
      <c r="G29" s="3" t="s">
        <v>9</v>
      </c>
      <c r="H29" s="3" t="s">
        <v>9</v>
      </c>
      <c r="I29" s="3" t="s">
        <v>9</v>
      </c>
      <c r="J29" s="3" t="s">
        <v>9</v>
      </c>
      <c r="K29" s="3" t="s">
        <v>9</v>
      </c>
      <c r="L29" s="3" t="s">
        <v>9</v>
      </c>
      <c r="M29" s="3" t="s">
        <v>9</v>
      </c>
      <c r="N29" s="7" t="s">
        <v>9</v>
      </c>
    </row>
  </sheetData>
  <mergeCells count="50">
    <mergeCell ref="A7:E7"/>
    <mergeCell ref="B8:D8"/>
    <mergeCell ref="B9:D9"/>
    <mergeCell ref="A1:E1"/>
    <mergeCell ref="B2:E2"/>
    <mergeCell ref="B3:E3"/>
    <mergeCell ref="B4:E4"/>
    <mergeCell ref="B5:E5"/>
    <mergeCell ref="B6:E6"/>
    <mergeCell ref="A10:N10"/>
    <mergeCell ref="A11:A12"/>
    <mergeCell ref="B11:B12"/>
    <mergeCell ref="C11:D11"/>
    <mergeCell ref="E11:E12"/>
    <mergeCell ref="F11:F12"/>
    <mergeCell ref="G11:I12"/>
    <mergeCell ref="J11:N12"/>
    <mergeCell ref="M19:N20"/>
    <mergeCell ref="J20:L20"/>
    <mergeCell ref="J13:N13"/>
    <mergeCell ref="J14:N14"/>
    <mergeCell ref="J15:N15"/>
    <mergeCell ref="J16:N16"/>
    <mergeCell ref="J17:N17"/>
    <mergeCell ref="A18:N18"/>
    <mergeCell ref="A19:A20"/>
    <mergeCell ref="B19:B20"/>
    <mergeCell ref="C19:C20"/>
    <mergeCell ref="D19:D20"/>
    <mergeCell ref="E19:L19"/>
    <mergeCell ref="J21:L21"/>
    <mergeCell ref="M21:N21"/>
    <mergeCell ref="A22:N22"/>
    <mergeCell ref="A23:A24"/>
    <mergeCell ref="B23:B24"/>
    <mergeCell ref="C23:C24"/>
    <mergeCell ref="D23:D24"/>
    <mergeCell ref="E23:E24"/>
    <mergeCell ref="F23:K23"/>
    <mergeCell ref="L23:M23"/>
    <mergeCell ref="N23:N24"/>
    <mergeCell ref="A26:N26"/>
    <mergeCell ref="A27:A28"/>
    <mergeCell ref="B27:B28"/>
    <mergeCell ref="C27:C28"/>
    <mergeCell ref="D27:D28"/>
    <mergeCell ref="E27:E28"/>
    <mergeCell ref="F27:K27"/>
    <mergeCell ref="L27:M27"/>
    <mergeCell ref="N27:N28"/>
  </mergeCells>
  <hyperlinks>
    <hyperlink ref="A1:E1" location="'Structs'!A1" display="&lt;-Volver al inicio" xr:uid="{1F905040-2CA2-449F-AFDC-CD0466DB933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C79F3B6-B101-4755-8BF9-AD3203D430C9}">
          <x14:formula1>
            <xm:f>Valores!$C$2:$C$7</xm:f>
          </x14:formula1>
          <xm:sqref>C9:D9</xm:sqref>
        </x14:dataValidation>
        <x14:dataValidation type="list" allowBlank="1" showInputMessage="1" showErrorMessage="1" xr:uid="{D0406B18-EB04-47D0-8E7D-D8FDC938A020}">
          <x14:formula1>
            <xm:f>Valores!$L$2:$L$13</xm:f>
          </x14:formula1>
          <xm:sqref>L29</xm:sqref>
        </x14:dataValidation>
        <x14:dataValidation type="list" allowBlank="1" showInputMessage="1" showErrorMessage="1" xr:uid="{33456B62-87B4-44A3-AEB7-CE51AA400F54}">
          <x14:formula1>
            <xm:f>Valores!$J$2:$J$3</xm:f>
          </x14:formula1>
          <xm:sqref>H21 I25</xm:sqref>
        </x14:dataValidation>
        <x14:dataValidation type="list" allowBlank="1" showInputMessage="1" showErrorMessage="1" xr:uid="{298354FB-E692-456E-B6B2-B7E849C3B2FA}">
          <x14:formula1>
            <xm:f>Valores!$H$2:$H$3</xm:f>
          </x14:formula1>
          <xm:sqref>F13:F17 C29</xm:sqref>
        </x14:dataValidation>
        <x14:dataValidation type="list" allowBlank="1" showInputMessage="1" showErrorMessage="1" xr:uid="{CB3940E3-DF39-4158-9387-E16D228B1944}">
          <x14:formula1>
            <xm:f>Valores!$G$2:$G$12</xm:f>
          </x14:formula1>
          <xm:sqref>G29 F21 G25 L25 C13:C17</xm:sqref>
        </x14:dataValidation>
        <x14:dataValidation type="list" allowBlank="1" showInputMessage="1" showErrorMessage="1" xr:uid="{468FCE85-21D5-4AB6-A885-05363E4DA546}">
          <x14:formula1>
            <xm:f>Structs!$D$2</xm:f>
          </x14:formula1>
          <xm:sqref>A13:A17 B5:E5</xm:sqref>
        </x14:dataValidation>
        <x14:dataValidation type="list" allowBlank="1" showInputMessage="1" showErrorMessage="1" xr:uid="{BAF1ECD3-2D7E-46B1-82B6-25C8655FC03E}">
          <x14:formula1>
            <xm:f>Structs!$E$2</xm:f>
          </x14:formula1>
          <xm:sqref>B6:E6 E13:E17 I21 J25 D29 I29:J29</xm:sqref>
        </x14:dataValidation>
        <x14:dataValidation type="list" allowBlank="1" showInputMessage="1" showErrorMessage="1" xr:uid="{8B07B722-92F8-4EBF-AF45-5E86BB4E4439}">
          <x14:formula1>
            <xm:f>Structs!$D$2:$E$2</xm:f>
          </x14:formula1>
          <xm:sqref>A21 A25 A29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551B-AAF9-49E8-A77F-F5F695588C4A}">
  <dimension ref="A1:N28"/>
  <sheetViews>
    <sheetView zoomScale="55" zoomScaleNormal="55" workbookViewId="0">
      <pane ySplit="1" topLeftCell="A2" activePane="bottomLeft" state="frozen"/>
      <selection pane="bottomLeft" activeCell="E15" sqref="E15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Structs!I21</f>
        <v>BranchServiceInfo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Structs!B21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Structs!C21</f>
        <v>Estructura que relaciona un servicio del catálogo con una sede específica, incluyendo la fecha de asociación y estado de activación.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14" t="s">
        <v>133</v>
      </c>
      <c r="C9" s="115"/>
      <c r="D9" s="150"/>
      <c r="E9" s="53" t="str">
        <f>HYPERLINK("#'"&amp;F9&amp;"'!A1", F9)</f>
        <v>Service</v>
      </c>
      <c r="F9" s="55" t="s">
        <v>42</v>
      </c>
    </row>
    <row r="10" spans="1:14">
      <c r="A10" s="25" t="s">
        <v>83</v>
      </c>
      <c r="B10" s="164" t="s">
        <v>82</v>
      </c>
      <c r="C10" s="165"/>
      <c r="D10" s="166"/>
      <c r="E10" s="53" t="str">
        <f>HYPERLINK("#'"&amp;F10&amp;"'!A1", F10)</f>
        <v>Branch</v>
      </c>
      <c r="F10" s="56" t="s">
        <v>12</v>
      </c>
    </row>
    <row r="11" spans="1:14">
      <c r="A11" s="124" t="s">
        <v>84</v>
      </c>
      <c r="B11" s="125"/>
      <c r="C11" s="125"/>
      <c r="D11" s="125"/>
      <c r="E11" s="126"/>
      <c r="F11" s="126"/>
      <c r="G11" s="125"/>
      <c r="H11" s="125"/>
      <c r="I11" s="125"/>
      <c r="J11" s="125"/>
      <c r="K11" s="125"/>
      <c r="L11" s="125"/>
      <c r="M11" s="125"/>
      <c r="N11" s="127"/>
    </row>
    <row r="12" spans="1:14">
      <c r="A12" s="128" t="s">
        <v>4</v>
      </c>
      <c r="B12" s="129" t="s">
        <v>85</v>
      </c>
      <c r="C12" s="129" t="s">
        <v>86</v>
      </c>
      <c r="D12" s="129"/>
      <c r="E12" s="129" t="s">
        <v>87</v>
      </c>
      <c r="F12" s="129" t="s">
        <v>88</v>
      </c>
      <c r="G12" s="130" t="s">
        <v>89</v>
      </c>
      <c r="H12" s="131"/>
      <c r="I12" s="132"/>
      <c r="J12" s="129" t="s">
        <v>90</v>
      </c>
      <c r="K12" s="129"/>
      <c r="L12" s="129"/>
      <c r="M12" s="129"/>
      <c r="N12" s="136"/>
    </row>
    <row r="13" spans="1:14">
      <c r="A13" s="128"/>
      <c r="B13" s="129"/>
      <c r="C13" s="10" t="s">
        <v>86</v>
      </c>
      <c r="D13" s="10" t="s">
        <v>91</v>
      </c>
      <c r="E13" s="129"/>
      <c r="F13" s="129"/>
      <c r="G13" s="133"/>
      <c r="H13" s="158"/>
      <c r="I13" s="159"/>
      <c r="J13" s="129"/>
      <c r="K13" s="129"/>
      <c r="L13" s="129"/>
      <c r="M13" s="129"/>
      <c r="N13" s="136"/>
    </row>
    <row r="14" spans="1:14">
      <c r="A14" s="6" t="s">
        <v>8</v>
      </c>
      <c r="B14" s="26" t="s">
        <v>42</v>
      </c>
      <c r="C14" s="24" t="s">
        <v>111</v>
      </c>
      <c r="D14" s="24" t="s">
        <v>312</v>
      </c>
      <c r="E14" s="3" t="s">
        <v>9</v>
      </c>
      <c r="F14" s="3" t="s">
        <v>94</v>
      </c>
      <c r="G14" s="161" t="s">
        <v>95</v>
      </c>
      <c r="H14" s="162"/>
      <c r="I14" s="163"/>
      <c r="J14" s="115" t="s">
        <v>313</v>
      </c>
      <c r="K14" s="115"/>
      <c r="L14" s="115"/>
      <c r="M14" s="115"/>
      <c r="N14" s="117"/>
    </row>
    <row r="15" spans="1:14">
      <c r="A15" s="6" t="s">
        <v>8</v>
      </c>
      <c r="B15" s="27" t="s">
        <v>314</v>
      </c>
      <c r="C15" s="25" t="s">
        <v>134</v>
      </c>
      <c r="D15" s="25" t="s">
        <v>135</v>
      </c>
      <c r="E15" s="3" t="s">
        <v>9</v>
      </c>
      <c r="F15" s="3" t="s">
        <v>94</v>
      </c>
      <c r="G15" s="161" t="s">
        <v>95</v>
      </c>
      <c r="H15" s="162"/>
      <c r="I15" s="163"/>
      <c r="J15" s="115" t="s">
        <v>315</v>
      </c>
      <c r="K15" s="115"/>
      <c r="L15" s="115"/>
      <c r="M15" s="115"/>
      <c r="N15" s="117"/>
    </row>
    <row r="16" spans="1:14">
      <c r="A16" s="6" t="s">
        <v>8</v>
      </c>
      <c r="B16" s="27" t="s">
        <v>240</v>
      </c>
      <c r="C16" s="25" t="s">
        <v>162</v>
      </c>
      <c r="D16" s="25" t="s">
        <v>135</v>
      </c>
      <c r="E16" s="3" t="s">
        <v>9</v>
      </c>
      <c r="F16" s="3" t="s">
        <v>94</v>
      </c>
      <c r="G16" s="161" t="s">
        <v>241</v>
      </c>
      <c r="H16" s="162"/>
      <c r="I16" s="163"/>
      <c r="J16" s="115" t="s">
        <v>316</v>
      </c>
      <c r="K16" s="115"/>
      <c r="L16" s="115"/>
      <c r="M16" s="115"/>
      <c r="N16" s="117"/>
    </row>
    <row r="17" spans="1:14">
      <c r="A17" s="118" t="s">
        <v>115</v>
      </c>
      <c r="B17" s="119"/>
      <c r="C17" s="119"/>
      <c r="D17" s="119"/>
      <c r="E17" s="119"/>
      <c r="F17" s="119"/>
      <c r="G17" s="119"/>
      <c r="H17" s="152"/>
      <c r="I17" s="152"/>
      <c r="J17" s="119"/>
      <c r="K17" s="119"/>
      <c r="L17" s="119"/>
      <c r="M17" s="119"/>
      <c r="N17" s="120"/>
    </row>
    <row r="18" spans="1:14">
      <c r="A18" s="121" t="s">
        <v>4</v>
      </c>
      <c r="B18" s="122" t="s">
        <v>85</v>
      </c>
      <c r="C18" s="122" t="s">
        <v>116</v>
      </c>
      <c r="D18" s="122" t="s">
        <v>117</v>
      </c>
      <c r="E18" s="122" t="s">
        <v>118</v>
      </c>
      <c r="F18" s="122"/>
      <c r="G18" s="122"/>
      <c r="H18" s="122"/>
      <c r="I18" s="122"/>
      <c r="J18" s="122"/>
      <c r="K18" s="122"/>
      <c r="L18" s="122"/>
      <c r="M18" s="122" t="s">
        <v>119</v>
      </c>
      <c r="N18" s="123"/>
    </row>
    <row r="19" spans="1:14">
      <c r="A19" s="121"/>
      <c r="B19" s="122"/>
      <c r="C19" s="122"/>
      <c r="D19" s="122"/>
      <c r="E19" s="11" t="s">
        <v>85</v>
      </c>
      <c r="F19" s="11" t="s">
        <v>86</v>
      </c>
      <c r="G19" s="11" t="s">
        <v>91</v>
      </c>
      <c r="H19" s="11" t="s">
        <v>120</v>
      </c>
      <c r="I19" s="11" t="s">
        <v>87</v>
      </c>
      <c r="J19" s="122" t="s">
        <v>117</v>
      </c>
      <c r="K19" s="122"/>
      <c r="L19" s="122"/>
      <c r="M19" s="122"/>
      <c r="N19" s="123"/>
    </row>
    <row r="20" spans="1:14" ht="27">
      <c r="A20" s="6" t="s">
        <v>9</v>
      </c>
      <c r="B20" s="26" t="str">
        <f>B2</f>
        <v>BranchServiceInfo</v>
      </c>
      <c r="C20" s="28" t="s">
        <v>121</v>
      </c>
      <c r="D20" s="28" t="s">
        <v>122</v>
      </c>
      <c r="E20" s="3"/>
      <c r="F20" s="3"/>
      <c r="G20" s="3"/>
      <c r="H20" s="3"/>
      <c r="I20" s="3"/>
      <c r="J20" s="106"/>
      <c r="K20" s="107"/>
      <c r="L20" s="108"/>
      <c r="M20" s="106"/>
      <c r="N20" s="109"/>
    </row>
    <row r="21" spans="1:14">
      <c r="A21" s="110" t="s">
        <v>126</v>
      </c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2"/>
    </row>
    <row r="22" spans="1:14">
      <c r="A22" s="113" t="s">
        <v>4</v>
      </c>
      <c r="B22" s="100" t="s">
        <v>85</v>
      </c>
      <c r="C22" s="100" t="s">
        <v>127</v>
      </c>
      <c r="D22" s="100" t="s">
        <v>128</v>
      </c>
      <c r="E22" s="100" t="s">
        <v>117</v>
      </c>
      <c r="F22" s="100" t="s">
        <v>118</v>
      </c>
      <c r="G22" s="100"/>
      <c r="H22" s="100"/>
      <c r="I22" s="100"/>
      <c r="J22" s="100"/>
      <c r="K22" s="100"/>
      <c r="L22" s="100" t="s">
        <v>129</v>
      </c>
      <c r="M22" s="100"/>
      <c r="N22" s="101" t="s">
        <v>119</v>
      </c>
    </row>
    <row r="23" spans="1:14">
      <c r="A23" s="113"/>
      <c r="B23" s="100"/>
      <c r="C23" s="100"/>
      <c r="D23" s="100"/>
      <c r="E23" s="100"/>
      <c r="F23" s="12" t="s">
        <v>85</v>
      </c>
      <c r="G23" s="12" t="s">
        <v>86</v>
      </c>
      <c r="H23" s="12" t="s">
        <v>91</v>
      </c>
      <c r="I23" s="12" t="s">
        <v>120</v>
      </c>
      <c r="J23" s="12" t="s">
        <v>87</v>
      </c>
      <c r="K23" s="12" t="s">
        <v>117</v>
      </c>
      <c r="L23" s="12" t="s">
        <v>86</v>
      </c>
      <c r="M23" s="12" t="s">
        <v>91</v>
      </c>
      <c r="N23" s="101"/>
    </row>
    <row r="24" spans="1:14">
      <c r="A24" s="6" t="s">
        <v>9</v>
      </c>
      <c r="B24" s="24" t="s">
        <v>9</v>
      </c>
      <c r="C24" s="28" t="s">
        <v>9</v>
      </c>
      <c r="D24" s="28" t="s">
        <v>9</v>
      </c>
      <c r="E24" s="3" t="s">
        <v>130</v>
      </c>
      <c r="F24" s="3"/>
      <c r="G24" s="3"/>
      <c r="H24" s="3"/>
      <c r="I24" s="3"/>
      <c r="J24" s="3"/>
      <c r="K24" s="3"/>
      <c r="L24" s="3"/>
      <c r="M24" s="3"/>
      <c r="N24" s="7"/>
    </row>
    <row r="25" spans="1:14">
      <c r="A25" s="102" t="s">
        <v>131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4"/>
    </row>
    <row r="26" spans="1:14">
      <c r="A26" s="105" t="s">
        <v>4</v>
      </c>
      <c r="B26" s="98" t="s">
        <v>85</v>
      </c>
      <c r="C26" s="98" t="s">
        <v>132</v>
      </c>
      <c r="D26" s="98" t="s">
        <v>128</v>
      </c>
      <c r="E26" s="98" t="s">
        <v>117</v>
      </c>
      <c r="F26" s="98" t="s">
        <v>118</v>
      </c>
      <c r="G26" s="98"/>
      <c r="H26" s="98"/>
      <c r="I26" s="98"/>
      <c r="J26" s="98"/>
      <c r="K26" s="98"/>
      <c r="L26" s="98" t="s">
        <v>129</v>
      </c>
      <c r="M26" s="98"/>
      <c r="N26" s="99" t="s">
        <v>119</v>
      </c>
    </row>
    <row r="27" spans="1:14">
      <c r="A27" s="105"/>
      <c r="B27" s="98"/>
      <c r="C27" s="98"/>
      <c r="D27" s="98"/>
      <c r="E27" s="98"/>
      <c r="F27" s="13" t="s">
        <v>85</v>
      </c>
      <c r="G27" s="13" t="s">
        <v>86</v>
      </c>
      <c r="H27" s="13" t="s">
        <v>91</v>
      </c>
      <c r="I27" s="13" t="s">
        <v>120</v>
      </c>
      <c r="J27" s="13" t="s">
        <v>87</v>
      </c>
      <c r="K27" s="13" t="s">
        <v>117</v>
      </c>
      <c r="L27" s="13" t="s">
        <v>86</v>
      </c>
      <c r="M27" s="13" t="s">
        <v>91</v>
      </c>
      <c r="N27" s="99"/>
    </row>
    <row r="28" spans="1:14">
      <c r="A28" s="6" t="s">
        <v>9</v>
      </c>
      <c r="B28" s="26" t="s">
        <v>9</v>
      </c>
      <c r="C28" s="3" t="s">
        <v>9</v>
      </c>
      <c r="D28" s="3" t="s">
        <v>9</v>
      </c>
      <c r="E28" s="24" t="s">
        <v>9</v>
      </c>
      <c r="F28" s="3" t="s">
        <v>9</v>
      </c>
      <c r="G28" s="3" t="s">
        <v>9</v>
      </c>
      <c r="H28" s="3" t="s">
        <v>9</v>
      </c>
      <c r="I28" s="3" t="s">
        <v>9</v>
      </c>
      <c r="J28" s="3" t="s">
        <v>9</v>
      </c>
      <c r="K28" s="3" t="s">
        <v>9</v>
      </c>
      <c r="L28" s="3" t="s">
        <v>9</v>
      </c>
      <c r="M28" s="3" t="s">
        <v>9</v>
      </c>
      <c r="N28" s="7" t="s">
        <v>9</v>
      </c>
    </row>
  </sheetData>
  <mergeCells count="52">
    <mergeCell ref="B6:E6"/>
    <mergeCell ref="A1:E1"/>
    <mergeCell ref="B2:E2"/>
    <mergeCell ref="B3:E3"/>
    <mergeCell ref="B4:E4"/>
    <mergeCell ref="B5:E5"/>
    <mergeCell ref="A12:A13"/>
    <mergeCell ref="B12:B13"/>
    <mergeCell ref="C12:D12"/>
    <mergeCell ref="E12:E13"/>
    <mergeCell ref="F12:F13"/>
    <mergeCell ref="A7:E7"/>
    <mergeCell ref="B8:D8"/>
    <mergeCell ref="B9:D9"/>
    <mergeCell ref="B10:D10"/>
    <mergeCell ref="A11:N11"/>
    <mergeCell ref="G16:I16"/>
    <mergeCell ref="J16:N16"/>
    <mergeCell ref="G12:I13"/>
    <mergeCell ref="J12:N13"/>
    <mergeCell ref="G14:I14"/>
    <mergeCell ref="J14:N14"/>
    <mergeCell ref="G15:I15"/>
    <mergeCell ref="J15:N15"/>
    <mergeCell ref="A17:N17"/>
    <mergeCell ref="A18:A19"/>
    <mergeCell ref="B18:B19"/>
    <mergeCell ref="C18:C19"/>
    <mergeCell ref="D18:D19"/>
    <mergeCell ref="E18:L18"/>
    <mergeCell ref="M18:N19"/>
    <mergeCell ref="J19:L19"/>
    <mergeCell ref="J20:L20"/>
    <mergeCell ref="M20:N20"/>
    <mergeCell ref="A21:N21"/>
    <mergeCell ref="A22:A23"/>
    <mergeCell ref="B22:B23"/>
    <mergeCell ref="C22:C23"/>
    <mergeCell ref="D22:D23"/>
    <mergeCell ref="E22:E23"/>
    <mergeCell ref="F22:K22"/>
    <mergeCell ref="L22:M22"/>
    <mergeCell ref="N22:N23"/>
    <mergeCell ref="A25:N25"/>
    <mergeCell ref="A26:A27"/>
    <mergeCell ref="B26:B27"/>
    <mergeCell ref="C26:C27"/>
    <mergeCell ref="D26:D27"/>
    <mergeCell ref="E26:E27"/>
    <mergeCell ref="F26:K26"/>
    <mergeCell ref="L26:M26"/>
    <mergeCell ref="N26:N27"/>
  </mergeCells>
  <hyperlinks>
    <hyperlink ref="A1:E1" location="'Structs'!A1" display="&lt;-Volver al inicio" xr:uid="{6A4EDED7-AD2C-4ABC-BA85-EC7595D37B9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23E9531-6C51-4437-AFBB-83B0AF77859C}">
          <x14:formula1>
            <xm:f>Structs!$D$2:$E$2</xm:f>
          </x14:formula1>
          <xm:sqref>A20 A24 A28</xm:sqref>
        </x14:dataValidation>
        <x14:dataValidation type="list" allowBlank="1" showInputMessage="1" showErrorMessage="1" xr:uid="{94ED14A1-0751-4FFB-B264-37BD331E9657}">
          <x14:formula1>
            <xm:f>Structs!$E$2</xm:f>
          </x14:formula1>
          <xm:sqref>B6:E6 E14:E16 I20 J24 D28 I28:J28</xm:sqref>
        </x14:dataValidation>
        <x14:dataValidation type="list" allowBlank="1" showInputMessage="1" showErrorMessage="1" xr:uid="{CDC2E951-3FA7-496E-BFAA-843FB62A82D1}">
          <x14:formula1>
            <xm:f>Structs!$D$2</xm:f>
          </x14:formula1>
          <xm:sqref>A14:A16 B5:E5</xm:sqref>
        </x14:dataValidation>
        <x14:dataValidation type="list" allowBlank="1" showInputMessage="1" showErrorMessage="1" xr:uid="{08417F15-4A57-4CE1-9FE9-428722D14484}">
          <x14:formula1>
            <xm:f>Valores!$G$2:$G$12</xm:f>
          </x14:formula1>
          <xm:sqref>G28 F20 G24 L24 C14:C16</xm:sqref>
        </x14:dataValidation>
        <x14:dataValidation type="list" allowBlank="1" showInputMessage="1" showErrorMessage="1" xr:uid="{6A5AB9C0-22B1-413C-B748-B6AB395363B9}">
          <x14:formula1>
            <xm:f>Valores!$H$2:$H$3</xm:f>
          </x14:formula1>
          <xm:sqref>C28 F14:F16</xm:sqref>
        </x14:dataValidation>
        <x14:dataValidation type="list" allowBlank="1" showInputMessage="1" showErrorMessage="1" xr:uid="{FAE20477-DA69-4B8E-9724-F8CE31B4C9DB}">
          <x14:formula1>
            <xm:f>Valores!$J$2:$J$3</xm:f>
          </x14:formula1>
          <xm:sqref>H20 I24</xm:sqref>
        </x14:dataValidation>
        <x14:dataValidation type="list" allowBlank="1" showInputMessage="1" showErrorMessage="1" xr:uid="{F85CBCDA-EC2A-4C4F-8E95-4A494D0E30C3}">
          <x14:formula1>
            <xm:f>Valores!$L$2:$L$13</xm:f>
          </x14:formula1>
          <xm:sqref>L28</xm:sqref>
        </x14:dataValidation>
        <x14:dataValidation type="list" allowBlank="1" showInputMessage="1" showErrorMessage="1" xr:uid="{B9CF655E-DEE0-454E-AB18-DD3373036B76}">
          <x14:formula1>
            <xm:f>Valores!$C$2:$C$7</xm:f>
          </x14:formula1>
          <xm:sqref>C10:D10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4F6C-36E5-421B-9636-04562E9BD9CB}">
  <dimension ref="A1:N31"/>
  <sheetViews>
    <sheetView zoomScale="55" zoomScaleNormal="55" workbookViewId="0">
      <pane ySplit="1" topLeftCell="A2" activePane="bottomLeft" state="frozen"/>
      <selection pane="bottomLeft" activeCell="J17" sqref="J17:N17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Structs!I20</f>
        <v>ServiceReviewSummary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Structs!B20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Structs!C20</f>
        <v>Estructura que agrega el resumen de reseñas de un servicio: promedio, total, desglose por estrellas y lista de reseñas.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14" t="s">
        <v>82</v>
      </c>
      <c r="C9" s="115"/>
      <c r="D9" s="150"/>
      <c r="E9" s="53" t="str">
        <f>HYPERLINK("#'"&amp;F9&amp;"'!A1", F9)</f>
        <v>Service</v>
      </c>
      <c r="F9" s="55" t="s">
        <v>42</v>
      </c>
    </row>
    <row r="10" spans="1:14">
      <c r="A10" s="25" t="s">
        <v>83</v>
      </c>
      <c r="B10" s="114" t="s">
        <v>258</v>
      </c>
      <c r="C10" s="115"/>
      <c r="D10" s="150"/>
      <c r="E10" s="53" t="str">
        <f>HYPERLINK("#'"&amp;F10&amp;"'!A1", F10)</f>
        <v>ServiceReview</v>
      </c>
      <c r="F10" s="56" t="s">
        <v>44</v>
      </c>
    </row>
    <row r="11" spans="1:14">
      <c r="A11" s="124" t="s">
        <v>84</v>
      </c>
      <c r="B11" s="125"/>
      <c r="C11" s="125"/>
      <c r="D11" s="125"/>
      <c r="E11" s="126"/>
      <c r="F11" s="126"/>
      <c r="G11" s="125"/>
      <c r="H11" s="125"/>
      <c r="I11" s="125"/>
      <c r="J11" s="125"/>
      <c r="K11" s="125"/>
      <c r="L11" s="125"/>
      <c r="M11" s="125"/>
      <c r="N11" s="127"/>
    </row>
    <row r="12" spans="1:14">
      <c r="A12" s="128" t="s">
        <v>4</v>
      </c>
      <c r="B12" s="129" t="s">
        <v>85</v>
      </c>
      <c r="C12" s="129" t="s">
        <v>86</v>
      </c>
      <c r="D12" s="129"/>
      <c r="E12" s="129" t="s">
        <v>87</v>
      </c>
      <c r="F12" s="129" t="s">
        <v>88</v>
      </c>
      <c r="G12" s="130" t="s">
        <v>89</v>
      </c>
      <c r="H12" s="131"/>
      <c r="I12" s="132"/>
      <c r="J12" s="129" t="s">
        <v>90</v>
      </c>
      <c r="K12" s="129"/>
      <c r="L12" s="129"/>
      <c r="M12" s="129"/>
      <c r="N12" s="136"/>
    </row>
    <row r="13" spans="1:14">
      <c r="A13" s="128"/>
      <c r="B13" s="129"/>
      <c r="C13" s="10" t="s">
        <v>86</v>
      </c>
      <c r="D13" s="10" t="s">
        <v>91</v>
      </c>
      <c r="E13" s="129"/>
      <c r="F13" s="129"/>
      <c r="G13" s="133"/>
      <c r="H13" s="158"/>
      <c r="I13" s="159"/>
      <c r="J13" s="129"/>
      <c r="K13" s="129"/>
      <c r="L13" s="129"/>
      <c r="M13" s="129"/>
      <c r="N13" s="136"/>
    </row>
    <row r="14" spans="1:14">
      <c r="A14" s="6" t="s">
        <v>8</v>
      </c>
      <c r="B14" s="26" t="s">
        <v>281</v>
      </c>
      <c r="C14" s="24" t="s">
        <v>134</v>
      </c>
      <c r="D14" s="24" t="s">
        <v>135</v>
      </c>
      <c r="E14" s="3" t="s">
        <v>9</v>
      </c>
      <c r="F14" s="3" t="s">
        <v>94</v>
      </c>
      <c r="G14" s="167" t="s">
        <v>95</v>
      </c>
      <c r="H14" s="168"/>
      <c r="I14" s="169"/>
      <c r="J14" s="115" t="s">
        <v>317</v>
      </c>
      <c r="K14" s="115"/>
      <c r="L14" s="115"/>
      <c r="M14" s="115"/>
      <c r="N14" s="117"/>
    </row>
    <row r="15" spans="1:14">
      <c r="A15" s="6" t="s">
        <v>8</v>
      </c>
      <c r="B15" s="27" t="s">
        <v>283</v>
      </c>
      <c r="C15" s="25" t="s">
        <v>134</v>
      </c>
      <c r="D15" s="25" t="s">
        <v>135</v>
      </c>
      <c r="E15" s="3" t="s">
        <v>9</v>
      </c>
      <c r="F15" s="3" t="s">
        <v>94</v>
      </c>
      <c r="G15" s="161" t="s">
        <v>95</v>
      </c>
      <c r="H15" s="162"/>
      <c r="I15" s="163"/>
      <c r="J15" s="115" t="s">
        <v>301</v>
      </c>
      <c r="K15" s="115"/>
      <c r="L15" s="115"/>
      <c r="M15" s="115"/>
      <c r="N15" s="117"/>
    </row>
    <row r="16" spans="1:14">
      <c r="A16" s="6" t="s">
        <v>8</v>
      </c>
      <c r="B16" s="27" t="s">
        <v>318</v>
      </c>
      <c r="C16" s="25" t="s">
        <v>181</v>
      </c>
      <c r="D16" s="25" t="s">
        <v>135</v>
      </c>
      <c r="E16" s="3" t="s">
        <v>9</v>
      </c>
      <c r="F16" s="3" t="s">
        <v>94</v>
      </c>
      <c r="G16" s="161">
        <v>0</v>
      </c>
      <c r="H16" s="162"/>
      <c r="I16" s="163"/>
      <c r="J16" s="115" t="s">
        <v>319</v>
      </c>
      <c r="K16" s="115"/>
      <c r="L16" s="115"/>
      <c r="M16" s="115"/>
      <c r="N16" s="117"/>
    </row>
    <row r="17" spans="1:14">
      <c r="A17" s="6" t="s">
        <v>8</v>
      </c>
      <c r="B17" s="27" t="s">
        <v>320</v>
      </c>
      <c r="C17" s="25" t="s">
        <v>196</v>
      </c>
      <c r="D17" s="24" t="s">
        <v>65</v>
      </c>
      <c r="E17" s="3" t="s">
        <v>9</v>
      </c>
      <c r="F17" s="3" t="s">
        <v>94</v>
      </c>
      <c r="G17" s="161">
        <v>0</v>
      </c>
      <c r="H17" s="162"/>
      <c r="I17" s="163"/>
      <c r="J17" s="115" t="s">
        <v>321</v>
      </c>
      <c r="K17" s="115"/>
      <c r="L17" s="115"/>
      <c r="M17" s="115"/>
      <c r="N17" s="117"/>
    </row>
    <row r="18" spans="1:14">
      <c r="A18" s="6" t="s">
        <v>8</v>
      </c>
      <c r="B18" s="27" t="s">
        <v>322</v>
      </c>
      <c r="C18" s="25" t="s">
        <v>111</v>
      </c>
      <c r="D18" s="24" t="s">
        <v>323</v>
      </c>
      <c r="E18" s="3" t="s">
        <v>9</v>
      </c>
      <c r="F18" s="3" t="s">
        <v>94</v>
      </c>
      <c r="G18" s="161" t="s">
        <v>95</v>
      </c>
      <c r="H18" s="162"/>
      <c r="I18" s="163"/>
      <c r="J18" s="115" t="s">
        <v>324</v>
      </c>
      <c r="K18" s="115"/>
      <c r="L18" s="115"/>
      <c r="M18" s="115"/>
      <c r="N18" s="117"/>
    </row>
    <row r="19" spans="1:14">
      <c r="A19" s="29" t="s">
        <v>8</v>
      </c>
      <c r="B19" s="27" t="s">
        <v>325</v>
      </c>
      <c r="C19" s="64" t="s">
        <v>111</v>
      </c>
      <c r="D19" s="25" t="s">
        <v>326</v>
      </c>
      <c r="E19" s="30"/>
      <c r="F19" s="3" t="s">
        <v>94</v>
      </c>
      <c r="G19" s="161" t="s">
        <v>95</v>
      </c>
      <c r="H19" s="162"/>
      <c r="I19" s="163"/>
      <c r="J19" s="33" t="s">
        <v>327</v>
      </c>
      <c r="K19" s="33"/>
      <c r="L19" s="33"/>
      <c r="M19" s="33"/>
      <c r="N19" s="61"/>
    </row>
    <row r="20" spans="1:14">
      <c r="A20" s="118" t="s">
        <v>115</v>
      </c>
      <c r="B20" s="119"/>
      <c r="C20" s="119"/>
      <c r="D20" s="119"/>
      <c r="E20" s="119"/>
      <c r="F20" s="119"/>
      <c r="G20" s="119"/>
      <c r="H20" s="152"/>
      <c r="I20" s="152"/>
      <c r="J20" s="119"/>
      <c r="K20" s="119"/>
      <c r="L20" s="119"/>
      <c r="M20" s="119"/>
      <c r="N20" s="120"/>
    </row>
    <row r="21" spans="1:14">
      <c r="A21" s="121" t="s">
        <v>4</v>
      </c>
      <c r="B21" s="122" t="s">
        <v>85</v>
      </c>
      <c r="C21" s="122" t="s">
        <v>116</v>
      </c>
      <c r="D21" s="122" t="s">
        <v>117</v>
      </c>
      <c r="E21" s="122" t="s">
        <v>118</v>
      </c>
      <c r="F21" s="122"/>
      <c r="G21" s="122"/>
      <c r="H21" s="122"/>
      <c r="I21" s="122"/>
      <c r="J21" s="122"/>
      <c r="K21" s="122"/>
      <c r="L21" s="122"/>
      <c r="M21" s="122" t="s">
        <v>119</v>
      </c>
      <c r="N21" s="123"/>
    </row>
    <row r="22" spans="1:14">
      <c r="A22" s="121"/>
      <c r="B22" s="122"/>
      <c r="C22" s="122"/>
      <c r="D22" s="122"/>
      <c r="E22" s="11" t="s">
        <v>85</v>
      </c>
      <c r="F22" s="11" t="s">
        <v>86</v>
      </c>
      <c r="G22" s="11" t="s">
        <v>91</v>
      </c>
      <c r="H22" s="11" t="s">
        <v>120</v>
      </c>
      <c r="I22" s="11" t="s">
        <v>87</v>
      </c>
      <c r="J22" s="122" t="s">
        <v>117</v>
      </c>
      <c r="K22" s="122"/>
      <c r="L22" s="122"/>
      <c r="M22" s="122"/>
      <c r="N22" s="123"/>
    </row>
    <row r="23" spans="1:14" ht="27">
      <c r="A23" s="6" t="s">
        <v>9</v>
      </c>
      <c r="B23" s="26" t="str">
        <f>B2</f>
        <v>ServiceReviewSummary</v>
      </c>
      <c r="C23" s="28" t="s">
        <v>121</v>
      </c>
      <c r="D23" s="28" t="s">
        <v>122</v>
      </c>
      <c r="E23" s="3"/>
      <c r="F23" s="3"/>
      <c r="G23" s="3"/>
      <c r="H23" s="3"/>
      <c r="I23" s="3"/>
      <c r="J23" s="106"/>
      <c r="K23" s="107"/>
      <c r="L23" s="108"/>
      <c r="M23" s="106"/>
      <c r="N23" s="109"/>
    </row>
    <row r="24" spans="1:14">
      <c r="A24" s="110" t="s">
        <v>126</v>
      </c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2"/>
    </row>
    <row r="25" spans="1:14">
      <c r="A25" s="113" t="s">
        <v>4</v>
      </c>
      <c r="B25" s="100" t="s">
        <v>85</v>
      </c>
      <c r="C25" s="100" t="s">
        <v>127</v>
      </c>
      <c r="D25" s="100" t="s">
        <v>128</v>
      </c>
      <c r="E25" s="100" t="s">
        <v>117</v>
      </c>
      <c r="F25" s="100" t="s">
        <v>118</v>
      </c>
      <c r="G25" s="100"/>
      <c r="H25" s="100"/>
      <c r="I25" s="100"/>
      <c r="J25" s="100"/>
      <c r="K25" s="100"/>
      <c r="L25" s="100" t="s">
        <v>129</v>
      </c>
      <c r="M25" s="100"/>
      <c r="N25" s="101" t="s">
        <v>119</v>
      </c>
    </row>
    <row r="26" spans="1:14">
      <c r="A26" s="113"/>
      <c r="B26" s="100"/>
      <c r="C26" s="100"/>
      <c r="D26" s="100"/>
      <c r="E26" s="100"/>
      <c r="F26" s="12" t="s">
        <v>85</v>
      </c>
      <c r="G26" s="12" t="s">
        <v>86</v>
      </c>
      <c r="H26" s="12" t="s">
        <v>91</v>
      </c>
      <c r="I26" s="12" t="s">
        <v>120</v>
      </c>
      <c r="J26" s="12" t="s">
        <v>87</v>
      </c>
      <c r="K26" s="12" t="s">
        <v>117</v>
      </c>
      <c r="L26" s="12" t="s">
        <v>86</v>
      </c>
      <c r="M26" s="12" t="s">
        <v>91</v>
      </c>
      <c r="N26" s="101"/>
    </row>
    <row r="27" spans="1:14">
      <c r="A27" s="6" t="s">
        <v>9</v>
      </c>
      <c r="B27" s="24" t="s">
        <v>9</v>
      </c>
      <c r="C27" s="28" t="s">
        <v>9</v>
      </c>
      <c r="D27" s="28" t="s">
        <v>9</v>
      </c>
      <c r="E27" s="3" t="s">
        <v>130</v>
      </c>
      <c r="F27" s="3"/>
      <c r="G27" s="3"/>
      <c r="H27" s="3"/>
      <c r="I27" s="3"/>
      <c r="J27" s="3"/>
      <c r="K27" s="3"/>
      <c r="L27" s="3"/>
      <c r="M27" s="3"/>
      <c r="N27" s="7"/>
    </row>
    <row r="28" spans="1:14">
      <c r="A28" s="102" t="s">
        <v>131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4"/>
    </row>
    <row r="29" spans="1:14">
      <c r="A29" s="105" t="s">
        <v>4</v>
      </c>
      <c r="B29" s="98" t="s">
        <v>85</v>
      </c>
      <c r="C29" s="98" t="s">
        <v>132</v>
      </c>
      <c r="D29" s="98" t="s">
        <v>128</v>
      </c>
      <c r="E29" s="98" t="s">
        <v>117</v>
      </c>
      <c r="F29" s="98" t="s">
        <v>118</v>
      </c>
      <c r="G29" s="98"/>
      <c r="H29" s="98"/>
      <c r="I29" s="98"/>
      <c r="J29" s="98"/>
      <c r="K29" s="98"/>
      <c r="L29" s="98" t="s">
        <v>129</v>
      </c>
      <c r="M29" s="98"/>
      <c r="N29" s="99" t="s">
        <v>119</v>
      </c>
    </row>
    <row r="30" spans="1:14">
      <c r="A30" s="105"/>
      <c r="B30" s="98"/>
      <c r="C30" s="98"/>
      <c r="D30" s="98"/>
      <c r="E30" s="98"/>
      <c r="F30" s="13" t="s">
        <v>85</v>
      </c>
      <c r="G30" s="13" t="s">
        <v>86</v>
      </c>
      <c r="H30" s="13" t="s">
        <v>91</v>
      </c>
      <c r="I30" s="13" t="s">
        <v>120</v>
      </c>
      <c r="J30" s="13" t="s">
        <v>87</v>
      </c>
      <c r="K30" s="13" t="s">
        <v>117</v>
      </c>
      <c r="L30" s="13" t="s">
        <v>86</v>
      </c>
      <c r="M30" s="13" t="s">
        <v>91</v>
      </c>
      <c r="N30" s="99"/>
    </row>
    <row r="31" spans="1:14">
      <c r="A31" s="6" t="s">
        <v>9</v>
      </c>
      <c r="B31" s="26" t="s">
        <v>9</v>
      </c>
      <c r="C31" s="3" t="s">
        <v>9</v>
      </c>
      <c r="D31" s="3" t="s">
        <v>9</v>
      </c>
      <c r="E31" s="24" t="s">
        <v>9</v>
      </c>
      <c r="F31" s="3" t="s">
        <v>9</v>
      </c>
      <c r="G31" s="3" t="s">
        <v>9</v>
      </c>
      <c r="H31" s="3" t="s">
        <v>9</v>
      </c>
      <c r="I31" s="3" t="s">
        <v>9</v>
      </c>
      <c r="J31" s="3" t="s">
        <v>9</v>
      </c>
      <c r="K31" s="3" t="s">
        <v>9</v>
      </c>
      <c r="L31" s="3" t="s">
        <v>9</v>
      </c>
      <c r="M31" s="3" t="s">
        <v>9</v>
      </c>
      <c r="N31" s="7" t="s">
        <v>9</v>
      </c>
    </row>
  </sheetData>
  <mergeCells count="57">
    <mergeCell ref="A7:E7"/>
    <mergeCell ref="B8:D8"/>
    <mergeCell ref="B9:D9"/>
    <mergeCell ref="B10:D10"/>
    <mergeCell ref="A1:E1"/>
    <mergeCell ref="B2:E2"/>
    <mergeCell ref="B3:E3"/>
    <mergeCell ref="B4:E4"/>
    <mergeCell ref="B5:E5"/>
    <mergeCell ref="B6:E6"/>
    <mergeCell ref="A11:N11"/>
    <mergeCell ref="A12:A13"/>
    <mergeCell ref="B12:B13"/>
    <mergeCell ref="C12:D12"/>
    <mergeCell ref="E12:E13"/>
    <mergeCell ref="F12:F13"/>
    <mergeCell ref="G12:I13"/>
    <mergeCell ref="J12:N13"/>
    <mergeCell ref="A20:N20"/>
    <mergeCell ref="G14:I14"/>
    <mergeCell ref="G15:I15"/>
    <mergeCell ref="G16:I16"/>
    <mergeCell ref="G17:I17"/>
    <mergeCell ref="J14:N14"/>
    <mergeCell ref="J15:N15"/>
    <mergeCell ref="J16:N16"/>
    <mergeCell ref="J17:N17"/>
    <mergeCell ref="J18:N18"/>
    <mergeCell ref="G18:I18"/>
    <mergeCell ref="G19:I19"/>
    <mergeCell ref="M21:N22"/>
    <mergeCell ref="J22:L22"/>
    <mergeCell ref="B25:B26"/>
    <mergeCell ref="C25:C26"/>
    <mergeCell ref="D25:D26"/>
    <mergeCell ref="E25:E26"/>
    <mergeCell ref="F25:K25"/>
    <mergeCell ref="N25:N26"/>
    <mergeCell ref="J23:L23"/>
    <mergeCell ref="M23:N23"/>
    <mergeCell ref="A24:N24"/>
    <mergeCell ref="A25:A26"/>
    <mergeCell ref="L25:M25"/>
    <mergeCell ref="A21:A22"/>
    <mergeCell ref="B21:B22"/>
    <mergeCell ref="C21:C22"/>
    <mergeCell ref="D21:D22"/>
    <mergeCell ref="E21:L21"/>
    <mergeCell ref="A28:N28"/>
    <mergeCell ref="A29:A30"/>
    <mergeCell ref="B29:B30"/>
    <mergeCell ref="C29:C30"/>
    <mergeCell ref="D29:D30"/>
    <mergeCell ref="E29:E30"/>
    <mergeCell ref="F29:K29"/>
    <mergeCell ref="L29:M29"/>
    <mergeCell ref="N29:N30"/>
  </mergeCells>
  <hyperlinks>
    <hyperlink ref="A1:E1" location="'Structs'!A1" display="&lt;-Volver al inicio" xr:uid="{1E8DCB4C-C1C0-4DF6-B41C-13A4E03FE43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80468EE7-0D49-4121-A223-6AD36333C61C}">
          <x14:formula1>
            <xm:f>Valores!$C$2:$C$7</xm:f>
          </x14:formula1>
          <xm:sqref>C10:D10</xm:sqref>
        </x14:dataValidation>
        <x14:dataValidation type="list" allowBlank="1" showInputMessage="1" showErrorMessage="1" xr:uid="{9FD166A8-DDA6-48D8-B00D-7CEECAEDFF5A}">
          <x14:formula1>
            <xm:f>Valores!$L$2:$L$13</xm:f>
          </x14:formula1>
          <xm:sqref>L31</xm:sqref>
        </x14:dataValidation>
        <x14:dataValidation type="list" allowBlank="1" showInputMessage="1" showErrorMessage="1" xr:uid="{6ED40D28-8227-4CEF-B15C-FAC11A3149BC}">
          <x14:formula1>
            <xm:f>Valores!$J$2:$J$3</xm:f>
          </x14:formula1>
          <xm:sqref>H23 I27</xm:sqref>
        </x14:dataValidation>
        <x14:dataValidation type="list" allowBlank="1" showInputMessage="1" showErrorMessage="1" xr:uid="{5A483496-0615-42D6-A5E8-4FC79992CC06}">
          <x14:formula1>
            <xm:f>Valores!$H$2:$H$3</xm:f>
          </x14:formula1>
          <xm:sqref>C31 F14:F19</xm:sqref>
        </x14:dataValidation>
        <x14:dataValidation type="list" allowBlank="1" showInputMessage="1" showErrorMessage="1" xr:uid="{68E7FC34-64C3-4E5F-890F-2AF270712BCA}">
          <x14:formula1>
            <xm:f>Valores!$G$2:$G$12</xm:f>
          </x14:formula1>
          <xm:sqref>G31 F23 G27 L27 C14:C19</xm:sqref>
        </x14:dataValidation>
        <x14:dataValidation type="list" allowBlank="1" showInputMessage="1" showErrorMessage="1" xr:uid="{783A4231-CBC2-41CC-8511-FAC39AC831C4}">
          <x14:formula1>
            <xm:f>Structs!$D$2</xm:f>
          </x14:formula1>
          <xm:sqref>A14:A19 B5:E5</xm:sqref>
        </x14:dataValidation>
        <x14:dataValidation type="list" allowBlank="1" showInputMessage="1" showErrorMessage="1" xr:uid="{28E4560E-43E3-41C0-A86F-AA0EC9EDBF8F}">
          <x14:formula1>
            <xm:f>Structs!$E$2</xm:f>
          </x14:formula1>
          <xm:sqref>B6:E6 E14:E19 I23 J27 D31 I31:J31</xm:sqref>
        </x14:dataValidation>
        <x14:dataValidation type="list" allowBlank="1" showInputMessage="1" showErrorMessage="1" xr:uid="{CA62C532-85CB-4165-92E0-ECC26BD4514F}">
          <x14:formula1>
            <xm:f>Structs!$D$2:$E$2</xm:f>
          </x14:formula1>
          <xm:sqref>A23 A27 A31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0D0E-DDF6-4CEB-AFAA-62E60FE7954F}">
  <dimension ref="A1:N33"/>
  <sheetViews>
    <sheetView zoomScale="55" zoomScaleNormal="55" workbookViewId="0">
      <pane ySplit="1" topLeftCell="A2" activePane="bottomLeft" state="frozen"/>
      <selection pane="bottomLeft" activeCell="A38" sqref="A38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Structs!I22</f>
        <v>BranchSchedule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Structs!B22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Structs!C22</f>
        <v>Estructura que representa el horario general de una sede, con fechas de vigencia y estado de activación.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41" t="s">
        <v>82</v>
      </c>
      <c r="C9" s="141"/>
      <c r="D9" s="142"/>
      <c r="E9" s="53" t="str">
        <f>HYPERLINK("#'"&amp;F9&amp;"'!A1", F9)</f>
        <v>Branch</v>
      </c>
      <c r="F9" s="55" t="s">
        <v>12</v>
      </c>
    </row>
    <row r="10" spans="1:14">
      <c r="A10" s="25" t="s">
        <v>83</v>
      </c>
      <c r="B10" s="141" t="s">
        <v>258</v>
      </c>
      <c r="C10" s="141"/>
      <c r="D10" s="142"/>
      <c r="E10" s="53" t="str">
        <f>HYPERLINK("#'"&amp;F10&amp;"'!A1", F10)</f>
        <v>ScheduleDetail</v>
      </c>
      <c r="F10" s="56" t="s">
        <v>52</v>
      </c>
    </row>
    <row r="11" spans="1:14">
      <c r="A11" s="124" t="s">
        <v>84</v>
      </c>
      <c r="B11" s="125"/>
      <c r="C11" s="125"/>
      <c r="D11" s="125"/>
      <c r="E11" s="126"/>
      <c r="F11" s="126"/>
      <c r="G11" s="125"/>
      <c r="H11" s="125"/>
      <c r="I11" s="125"/>
      <c r="J11" s="125"/>
      <c r="K11" s="125"/>
      <c r="L11" s="125"/>
      <c r="M11" s="125"/>
      <c r="N11" s="127"/>
    </row>
    <row r="12" spans="1:14">
      <c r="A12" s="128" t="s">
        <v>4</v>
      </c>
      <c r="B12" s="129" t="s">
        <v>85</v>
      </c>
      <c r="C12" s="129" t="s">
        <v>86</v>
      </c>
      <c r="D12" s="129"/>
      <c r="E12" s="129" t="s">
        <v>87</v>
      </c>
      <c r="F12" s="129" t="s">
        <v>88</v>
      </c>
      <c r="G12" s="130" t="s">
        <v>89</v>
      </c>
      <c r="H12" s="131"/>
      <c r="I12" s="132"/>
      <c r="J12" s="129" t="s">
        <v>90</v>
      </c>
      <c r="K12" s="129"/>
      <c r="L12" s="129"/>
      <c r="M12" s="129"/>
      <c r="N12" s="136"/>
    </row>
    <row r="13" spans="1:14">
      <c r="A13" s="128"/>
      <c r="B13" s="129"/>
      <c r="C13" s="10" t="s">
        <v>86</v>
      </c>
      <c r="D13" s="10" t="s">
        <v>91</v>
      </c>
      <c r="E13" s="129"/>
      <c r="F13" s="129"/>
      <c r="G13" s="133"/>
      <c r="H13" s="134"/>
      <c r="I13" s="135"/>
      <c r="J13" s="129"/>
      <c r="K13" s="129"/>
      <c r="L13" s="129"/>
      <c r="M13" s="129"/>
      <c r="N13" s="136"/>
    </row>
    <row r="14" spans="1:14">
      <c r="A14" s="6" t="s">
        <v>8</v>
      </c>
      <c r="B14" s="26" t="s">
        <v>92</v>
      </c>
      <c r="C14" s="24" t="s">
        <v>93</v>
      </c>
      <c r="D14" s="24" t="s">
        <v>135</v>
      </c>
      <c r="E14" s="3" t="s">
        <v>9</v>
      </c>
      <c r="F14" s="3" t="s">
        <v>94</v>
      </c>
      <c r="G14" s="114" t="s">
        <v>95</v>
      </c>
      <c r="H14" s="115"/>
      <c r="I14" s="116"/>
      <c r="J14" s="114" t="s">
        <v>165</v>
      </c>
      <c r="K14" s="115"/>
      <c r="L14" s="115"/>
      <c r="M14" s="115"/>
      <c r="N14" s="117"/>
    </row>
    <row r="15" spans="1:14">
      <c r="A15" s="6" t="s">
        <v>8</v>
      </c>
      <c r="B15" s="27" t="s">
        <v>172</v>
      </c>
      <c r="C15" s="25" t="s">
        <v>93</v>
      </c>
      <c r="D15" s="25" t="s">
        <v>135</v>
      </c>
      <c r="E15" s="3" t="s">
        <v>9</v>
      </c>
      <c r="F15" s="3" t="s">
        <v>94</v>
      </c>
      <c r="G15" s="114" t="s">
        <v>95</v>
      </c>
      <c r="H15" s="115"/>
      <c r="I15" s="116"/>
      <c r="J15" s="114" t="s">
        <v>173</v>
      </c>
      <c r="K15" s="115"/>
      <c r="L15" s="115"/>
      <c r="M15" s="115"/>
      <c r="N15" s="117"/>
    </row>
    <row r="16" spans="1:14">
      <c r="A16" s="6" t="s">
        <v>8</v>
      </c>
      <c r="B16" s="27" t="s">
        <v>240</v>
      </c>
      <c r="C16" s="25" t="s">
        <v>162</v>
      </c>
      <c r="D16" s="25" t="s">
        <v>135</v>
      </c>
      <c r="E16" s="3" t="s">
        <v>9</v>
      </c>
      <c r="F16" s="3" t="s">
        <v>94</v>
      </c>
      <c r="G16" s="114" t="s">
        <v>241</v>
      </c>
      <c r="H16" s="115"/>
      <c r="I16" s="116"/>
      <c r="J16" s="114" t="s">
        <v>328</v>
      </c>
      <c r="K16" s="115"/>
      <c r="L16" s="115"/>
      <c r="M16" s="115"/>
      <c r="N16" s="117"/>
    </row>
    <row r="17" spans="1:14">
      <c r="A17" s="6" t="s">
        <v>8</v>
      </c>
      <c r="B17" s="27" t="s">
        <v>329</v>
      </c>
      <c r="C17" s="25" t="s">
        <v>111</v>
      </c>
      <c r="D17" s="25" t="s">
        <v>224</v>
      </c>
      <c r="E17" s="3" t="s">
        <v>9</v>
      </c>
      <c r="F17" s="3" t="s">
        <v>94</v>
      </c>
      <c r="G17" s="114" t="s">
        <v>95</v>
      </c>
      <c r="H17" s="115"/>
      <c r="I17" s="116"/>
      <c r="J17" s="114" t="s">
        <v>330</v>
      </c>
      <c r="K17" s="115"/>
      <c r="L17" s="115"/>
      <c r="M17" s="115"/>
      <c r="N17" s="117"/>
    </row>
    <row r="18" spans="1:14">
      <c r="A18" s="6" t="s">
        <v>8</v>
      </c>
      <c r="B18" s="27" t="s">
        <v>331</v>
      </c>
      <c r="C18" s="25" t="s">
        <v>111</v>
      </c>
      <c r="D18" s="25" t="s">
        <v>224</v>
      </c>
      <c r="E18" s="3" t="s">
        <v>9</v>
      </c>
      <c r="F18" s="3" t="s">
        <v>94</v>
      </c>
      <c r="G18" s="114" t="s">
        <v>140</v>
      </c>
      <c r="H18" s="115"/>
      <c r="I18" s="116"/>
      <c r="J18" s="114" t="s">
        <v>332</v>
      </c>
      <c r="K18" s="115"/>
      <c r="L18" s="115"/>
      <c r="M18" s="115"/>
      <c r="N18" s="117"/>
    </row>
    <row r="19" spans="1:14">
      <c r="A19" s="6" t="s">
        <v>8</v>
      </c>
      <c r="B19" s="27" t="s">
        <v>223</v>
      </c>
      <c r="C19" s="25" t="s">
        <v>111</v>
      </c>
      <c r="D19" s="25" t="s">
        <v>224</v>
      </c>
      <c r="E19" s="3" t="s">
        <v>9</v>
      </c>
      <c r="F19" s="3" t="s">
        <v>94</v>
      </c>
      <c r="G19" s="114" t="s">
        <v>95</v>
      </c>
      <c r="H19" s="115"/>
      <c r="I19" s="116"/>
      <c r="J19" s="114" t="s">
        <v>244</v>
      </c>
      <c r="K19" s="115"/>
      <c r="L19" s="115"/>
      <c r="M19" s="115"/>
      <c r="N19" s="117"/>
    </row>
    <row r="20" spans="1:14">
      <c r="A20" s="6" t="s">
        <v>8</v>
      </c>
      <c r="B20" s="27" t="s">
        <v>245</v>
      </c>
      <c r="C20" s="25" t="s">
        <v>111</v>
      </c>
      <c r="D20" s="25" t="s">
        <v>224</v>
      </c>
      <c r="E20" s="3" t="s">
        <v>9</v>
      </c>
      <c r="F20" s="3" t="s">
        <v>94</v>
      </c>
      <c r="G20" s="114" t="s">
        <v>95</v>
      </c>
      <c r="H20" s="115"/>
      <c r="I20" s="116"/>
      <c r="J20" s="114" t="s">
        <v>246</v>
      </c>
      <c r="K20" s="115"/>
      <c r="L20" s="115"/>
      <c r="M20" s="115"/>
      <c r="N20" s="117"/>
    </row>
    <row r="21" spans="1:14">
      <c r="A21" s="118" t="s">
        <v>115</v>
      </c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20"/>
    </row>
    <row r="22" spans="1:14">
      <c r="A22" s="121" t="s">
        <v>4</v>
      </c>
      <c r="B22" s="122" t="s">
        <v>85</v>
      </c>
      <c r="C22" s="122" t="s">
        <v>116</v>
      </c>
      <c r="D22" s="122" t="s">
        <v>117</v>
      </c>
      <c r="E22" s="122" t="s">
        <v>118</v>
      </c>
      <c r="F22" s="122"/>
      <c r="G22" s="122"/>
      <c r="H22" s="122"/>
      <c r="I22" s="122"/>
      <c r="J22" s="122"/>
      <c r="K22" s="122"/>
      <c r="L22" s="122"/>
      <c r="M22" s="122" t="s">
        <v>119</v>
      </c>
      <c r="N22" s="123"/>
    </row>
    <row r="23" spans="1:14">
      <c r="A23" s="121"/>
      <c r="B23" s="122"/>
      <c r="C23" s="122"/>
      <c r="D23" s="122"/>
      <c r="E23" s="11" t="s">
        <v>85</v>
      </c>
      <c r="F23" s="11" t="s">
        <v>86</v>
      </c>
      <c r="G23" s="11" t="s">
        <v>91</v>
      </c>
      <c r="H23" s="11" t="s">
        <v>120</v>
      </c>
      <c r="I23" s="11" t="s">
        <v>87</v>
      </c>
      <c r="J23" s="122" t="s">
        <v>117</v>
      </c>
      <c r="K23" s="122"/>
      <c r="L23" s="122"/>
      <c r="M23" s="122"/>
      <c r="N23" s="123"/>
    </row>
    <row r="24" spans="1:14" ht="27">
      <c r="A24" s="6" t="s">
        <v>9</v>
      </c>
      <c r="B24" s="26" t="str">
        <f>B2</f>
        <v>BranchSchedule</v>
      </c>
      <c r="C24" s="28" t="s">
        <v>121</v>
      </c>
      <c r="D24" s="28" t="s">
        <v>122</v>
      </c>
      <c r="E24" s="3"/>
      <c r="F24" s="3"/>
      <c r="G24" s="3"/>
      <c r="H24" s="3"/>
      <c r="I24" s="3"/>
      <c r="J24" s="106"/>
      <c r="K24" s="107"/>
      <c r="L24" s="108"/>
      <c r="M24" s="106"/>
      <c r="N24" s="109"/>
    </row>
    <row r="25" spans="1:14">
      <c r="A25" s="6" t="s">
        <v>8</v>
      </c>
      <c r="B25" s="26" t="s">
        <v>123</v>
      </c>
      <c r="C25" s="28" t="s">
        <v>124</v>
      </c>
      <c r="D25" s="28" t="s">
        <v>125</v>
      </c>
      <c r="E25" s="3"/>
      <c r="F25" s="3"/>
      <c r="G25" s="3"/>
      <c r="H25" s="3" t="s">
        <v>9</v>
      </c>
      <c r="I25" s="3" t="s">
        <v>9</v>
      </c>
      <c r="J25" s="106" t="s">
        <v>136</v>
      </c>
      <c r="K25" s="107"/>
      <c r="L25" s="108"/>
      <c r="M25" s="106"/>
      <c r="N25" s="109"/>
    </row>
    <row r="26" spans="1:14">
      <c r="A26" s="110" t="s">
        <v>126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2"/>
    </row>
    <row r="27" spans="1:14">
      <c r="A27" s="113" t="s">
        <v>4</v>
      </c>
      <c r="B27" s="100" t="s">
        <v>85</v>
      </c>
      <c r="C27" s="100" t="s">
        <v>127</v>
      </c>
      <c r="D27" s="100" t="s">
        <v>128</v>
      </c>
      <c r="E27" s="100" t="s">
        <v>117</v>
      </c>
      <c r="F27" s="100" t="s">
        <v>118</v>
      </c>
      <c r="G27" s="100"/>
      <c r="H27" s="100"/>
      <c r="I27" s="100"/>
      <c r="J27" s="100"/>
      <c r="K27" s="100"/>
      <c r="L27" s="100" t="s">
        <v>129</v>
      </c>
      <c r="M27" s="100"/>
      <c r="N27" s="101" t="s">
        <v>119</v>
      </c>
    </row>
    <row r="28" spans="1:14">
      <c r="A28" s="113"/>
      <c r="B28" s="100"/>
      <c r="C28" s="100"/>
      <c r="D28" s="100"/>
      <c r="E28" s="100"/>
      <c r="F28" s="12" t="s">
        <v>85</v>
      </c>
      <c r="G28" s="12" t="s">
        <v>86</v>
      </c>
      <c r="H28" s="12" t="s">
        <v>91</v>
      </c>
      <c r="I28" s="12" t="s">
        <v>120</v>
      </c>
      <c r="J28" s="12" t="s">
        <v>87</v>
      </c>
      <c r="K28" s="12" t="s">
        <v>117</v>
      </c>
      <c r="L28" s="12" t="s">
        <v>86</v>
      </c>
      <c r="M28" s="12" t="s">
        <v>91</v>
      </c>
      <c r="N28" s="101"/>
    </row>
    <row r="29" spans="1:14">
      <c r="A29" s="6" t="s">
        <v>9</v>
      </c>
      <c r="B29" s="24" t="s">
        <v>9</v>
      </c>
      <c r="C29" s="28" t="s">
        <v>9</v>
      </c>
      <c r="D29" s="28" t="s">
        <v>9</v>
      </c>
      <c r="E29" s="3" t="s">
        <v>130</v>
      </c>
      <c r="F29" s="3"/>
      <c r="G29" s="3"/>
      <c r="H29" s="3"/>
      <c r="I29" s="3"/>
      <c r="J29" s="3"/>
      <c r="K29" s="3"/>
      <c r="L29" s="3"/>
      <c r="M29" s="3"/>
      <c r="N29" s="7"/>
    </row>
    <row r="30" spans="1:14">
      <c r="A30" s="102" t="s">
        <v>131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4"/>
    </row>
    <row r="31" spans="1:14">
      <c r="A31" s="105" t="s">
        <v>4</v>
      </c>
      <c r="B31" s="98" t="s">
        <v>85</v>
      </c>
      <c r="C31" s="98" t="s">
        <v>132</v>
      </c>
      <c r="D31" s="98" t="s">
        <v>128</v>
      </c>
      <c r="E31" s="98" t="s">
        <v>117</v>
      </c>
      <c r="F31" s="98" t="s">
        <v>118</v>
      </c>
      <c r="G31" s="98"/>
      <c r="H31" s="98"/>
      <c r="I31" s="98"/>
      <c r="J31" s="98"/>
      <c r="K31" s="98"/>
      <c r="L31" s="98" t="s">
        <v>129</v>
      </c>
      <c r="M31" s="98"/>
      <c r="N31" s="99" t="s">
        <v>119</v>
      </c>
    </row>
    <row r="32" spans="1:14">
      <c r="A32" s="105"/>
      <c r="B32" s="98"/>
      <c r="C32" s="98"/>
      <c r="D32" s="98"/>
      <c r="E32" s="98"/>
      <c r="F32" s="13" t="s">
        <v>85</v>
      </c>
      <c r="G32" s="13" t="s">
        <v>86</v>
      </c>
      <c r="H32" s="13" t="s">
        <v>91</v>
      </c>
      <c r="I32" s="13" t="s">
        <v>120</v>
      </c>
      <c r="J32" s="13" t="s">
        <v>87</v>
      </c>
      <c r="K32" s="13" t="s">
        <v>117</v>
      </c>
      <c r="L32" s="13" t="s">
        <v>86</v>
      </c>
      <c r="M32" s="13" t="s">
        <v>91</v>
      </c>
      <c r="N32" s="99"/>
    </row>
    <row r="33" spans="1:14">
      <c r="A33" s="6" t="s">
        <v>8</v>
      </c>
      <c r="B33" s="26" t="s">
        <v>123</v>
      </c>
      <c r="C33" s="3" t="s">
        <v>94</v>
      </c>
      <c r="D33" s="3" t="s">
        <v>9</v>
      </c>
      <c r="E33" s="24" t="s">
        <v>125</v>
      </c>
      <c r="F33" s="3"/>
      <c r="G33" s="3"/>
      <c r="H33" s="3"/>
      <c r="I33" s="3" t="s">
        <v>9</v>
      </c>
      <c r="J33" s="3" t="s">
        <v>9</v>
      </c>
      <c r="K33" s="3"/>
      <c r="L33" s="3" t="s">
        <v>158</v>
      </c>
      <c r="M33" s="3"/>
      <c r="N33" s="7"/>
    </row>
  </sheetData>
  <mergeCells count="62">
    <mergeCell ref="A7:E7"/>
    <mergeCell ref="B8:D8"/>
    <mergeCell ref="B9:D9"/>
    <mergeCell ref="B10:D10"/>
    <mergeCell ref="A1:E1"/>
    <mergeCell ref="B2:E2"/>
    <mergeCell ref="B3:E3"/>
    <mergeCell ref="B4:E4"/>
    <mergeCell ref="B5:E5"/>
    <mergeCell ref="B6:E6"/>
    <mergeCell ref="A11:N11"/>
    <mergeCell ref="A12:A13"/>
    <mergeCell ref="B12:B13"/>
    <mergeCell ref="C12:D12"/>
    <mergeCell ref="E12:E13"/>
    <mergeCell ref="F12:F13"/>
    <mergeCell ref="G12:I13"/>
    <mergeCell ref="J12:N13"/>
    <mergeCell ref="G14:I14"/>
    <mergeCell ref="J14:N14"/>
    <mergeCell ref="G15:I15"/>
    <mergeCell ref="J15:N15"/>
    <mergeCell ref="G16:I16"/>
    <mergeCell ref="J16:N16"/>
    <mergeCell ref="G20:I20"/>
    <mergeCell ref="J20:N20"/>
    <mergeCell ref="G17:I17"/>
    <mergeCell ref="J17:N17"/>
    <mergeCell ref="G18:I18"/>
    <mergeCell ref="J18:N18"/>
    <mergeCell ref="G19:I19"/>
    <mergeCell ref="J19:N19"/>
    <mergeCell ref="A21:N21"/>
    <mergeCell ref="A22:A23"/>
    <mergeCell ref="B22:B23"/>
    <mergeCell ref="C22:C23"/>
    <mergeCell ref="D22:D23"/>
    <mergeCell ref="E22:L22"/>
    <mergeCell ref="M22:N23"/>
    <mergeCell ref="J23:L23"/>
    <mergeCell ref="E27:E28"/>
    <mergeCell ref="J24:L24"/>
    <mergeCell ref="M24:N24"/>
    <mergeCell ref="J25:L25"/>
    <mergeCell ref="M25:N25"/>
    <mergeCell ref="A26:N26"/>
    <mergeCell ref="F27:K27"/>
    <mergeCell ref="L27:M27"/>
    <mergeCell ref="N27:N28"/>
    <mergeCell ref="A27:A28"/>
    <mergeCell ref="B27:B28"/>
    <mergeCell ref="C27:C28"/>
    <mergeCell ref="D27:D28"/>
    <mergeCell ref="A30:N30"/>
    <mergeCell ref="A31:A32"/>
    <mergeCell ref="B31:B32"/>
    <mergeCell ref="C31:C32"/>
    <mergeCell ref="D31:D32"/>
    <mergeCell ref="E31:E32"/>
    <mergeCell ref="F31:K31"/>
    <mergeCell ref="L31:M31"/>
    <mergeCell ref="N31:N32"/>
  </mergeCells>
  <hyperlinks>
    <hyperlink ref="A1:E1" location="'Structs'!A1" display="&lt;-Volver al inicio" xr:uid="{E66E34DC-5431-4608-9C7B-09BD47D4AD4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812B660-56EC-40DC-B474-B8B156757E79}">
          <x14:formula1>
            <xm:f>Valores!$C$2:$C$7</xm:f>
          </x14:formula1>
          <xm:sqref>B9:D10</xm:sqref>
        </x14:dataValidation>
        <x14:dataValidation type="list" allowBlank="1" showInputMessage="1" showErrorMessage="1" xr:uid="{AC738276-17EA-446C-8F79-6E29943AFAAE}">
          <x14:formula1>
            <xm:f>Valores!$L$2:$L$13</xm:f>
          </x14:formula1>
          <xm:sqref>L33</xm:sqref>
        </x14:dataValidation>
        <x14:dataValidation type="list" allowBlank="1" showInputMessage="1" showErrorMessage="1" xr:uid="{C3E1EF2E-AD94-4752-B1F3-B6BB44A057FC}">
          <x14:formula1>
            <xm:f>Valores!$J$2:$J$3</xm:f>
          </x14:formula1>
          <xm:sqref>H24 I29</xm:sqref>
        </x14:dataValidation>
        <x14:dataValidation type="list" allowBlank="1" showInputMessage="1" showErrorMessage="1" xr:uid="{49A9F25D-EC19-4669-B986-5B7E60BE0897}">
          <x14:formula1>
            <xm:f>Valores!$H$2:$H$3</xm:f>
          </x14:formula1>
          <xm:sqref>F14:F20 C33</xm:sqref>
        </x14:dataValidation>
        <x14:dataValidation type="list" allowBlank="1" showInputMessage="1" showErrorMessage="1" xr:uid="{9F155DEE-EF36-4E32-9D18-33529D59E992}">
          <x14:formula1>
            <xm:f>Valores!$G$2:$G$12</xm:f>
          </x14:formula1>
          <xm:sqref>G33 F24:F25 G29 L29 C14:C20</xm:sqref>
        </x14:dataValidation>
        <x14:dataValidation type="list" allowBlank="1" showInputMessage="1" showErrorMessage="1" xr:uid="{40A1BAA6-ABD5-492B-A433-3CAB2524F61A}">
          <x14:formula1>
            <xm:f>Structs!$D$2</xm:f>
          </x14:formula1>
          <xm:sqref>A14:A20 B5:E5</xm:sqref>
        </x14:dataValidation>
        <x14:dataValidation type="list" allowBlank="1" showInputMessage="1" showErrorMessage="1" xr:uid="{6921F352-D7BC-4835-AADC-55AF5F62DE3E}">
          <x14:formula1>
            <xm:f>Structs!$E$2</xm:f>
          </x14:formula1>
          <xm:sqref>B6:E6 H25 E14:E20 I24:I25 J29 D33 I33:J33</xm:sqref>
        </x14:dataValidation>
        <x14:dataValidation type="list" allowBlank="1" showInputMessage="1" showErrorMessage="1" xr:uid="{CAF5043A-5DC5-46D8-97D2-F41D78220054}">
          <x14:formula1>
            <xm:f>Structs!$D$2:$E$2</xm:f>
          </x14:formula1>
          <xm:sqref>A24:A25 A29 A33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9E18-A260-428A-A936-6A0DADAA2774}">
  <dimension ref="A1:N39"/>
  <sheetViews>
    <sheetView zoomScale="55" zoomScaleNormal="55" workbookViewId="0">
      <pane ySplit="1" topLeftCell="A10" activePane="bottomLeft" state="frozen"/>
      <selection pane="bottomLeft" activeCell="E44" sqref="E44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Structs!I23</f>
        <v>ScheduleDetail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Structs!B23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Structs!C23</f>
        <v>Estructura que representa el detalle de un horario: día de la semana o excepción, hora de apertura/cierre y estado.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41" t="s">
        <v>82</v>
      </c>
      <c r="C9" s="141"/>
      <c r="D9" s="142"/>
      <c r="E9" s="53" t="str">
        <f>HYPERLINK("#'"&amp;F9&amp;"'!A1", F9)</f>
        <v>BranchSchedule</v>
      </c>
      <c r="F9" s="55" t="s">
        <v>50</v>
      </c>
    </row>
    <row r="10" spans="1:14">
      <c r="A10" s="25" t="s">
        <v>81</v>
      </c>
      <c r="B10" s="141" t="s">
        <v>82</v>
      </c>
      <c r="C10" s="141"/>
      <c r="D10" s="142"/>
      <c r="E10" s="53" t="str">
        <f>HYPERLINK("#'"&amp;F10&amp;"'!A1", F10)</f>
        <v>EntryType</v>
      </c>
      <c r="F10" s="56" t="s">
        <v>69</v>
      </c>
    </row>
    <row r="11" spans="1:14">
      <c r="A11" s="25" t="s">
        <v>81</v>
      </c>
      <c r="B11" s="141" t="s">
        <v>82</v>
      </c>
      <c r="C11" s="141"/>
      <c r="D11" s="142"/>
      <c r="E11" s="53" t="str">
        <f>HYPERLINK("#'"&amp;F11&amp;"'!A1", F11)</f>
        <v>DayOfWeek</v>
      </c>
      <c r="F11" s="56" t="s">
        <v>73</v>
      </c>
    </row>
    <row r="12" spans="1:14">
      <c r="A12" s="124" t="s">
        <v>84</v>
      </c>
      <c r="B12" s="125"/>
      <c r="C12" s="125"/>
      <c r="D12" s="125"/>
      <c r="E12" s="126"/>
      <c r="F12" s="126"/>
      <c r="G12" s="125"/>
      <c r="H12" s="125"/>
      <c r="I12" s="125"/>
      <c r="J12" s="125"/>
      <c r="K12" s="125"/>
      <c r="L12" s="125"/>
      <c r="M12" s="125"/>
      <c r="N12" s="127"/>
    </row>
    <row r="13" spans="1:14">
      <c r="A13" s="128" t="s">
        <v>4</v>
      </c>
      <c r="B13" s="129" t="s">
        <v>85</v>
      </c>
      <c r="C13" s="129" t="s">
        <v>86</v>
      </c>
      <c r="D13" s="129"/>
      <c r="E13" s="129" t="s">
        <v>87</v>
      </c>
      <c r="F13" s="129" t="s">
        <v>88</v>
      </c>
      <c r="G13" s="130" t="s">
        <v>89</v>
      </c>
      <c r="H13" s="131"/>
      <c r="I13" s="132"/>
      <c r="J13" s="129" t="s">
        <v>90</v>
      </c>
      <c r="K13" s="129"/>
      <c r="L13" s="129"/>
      <c r="M13" s="129"/>
      <c r="N13" s="136"/>
    </row>
    <row r="14" spans="1:14">
      <c r="A14" s="128"/>
      <c r="B14" s="129"/>
      <c r="C14" s="10" t="s">
        <v>86</v>
      </c>
      <c r="D14" s="10" t="s">
        <v>91</v>
      </c>
      <c r="E14" s="129"/>
      <c r="F14" s="129"/>
      <c r="G14" s="133"/>
      <c r="H14" s="134"/>
      <c r="I14" s="135"/>
      <c r="J14" s="129"/>
      <c r="K14" s="129"/>
      <c r="L14" s="129"/>
      <c r="M14" s="129"/>
      <c r="N14" s="136"/>
    </row>
    <row r="15" spans="1:14">
      <c r="A15" s="6" t="s">
        <v>8</v>
      </c>
      <c r="B15" s="26" t="s">
        <v>92</v>
      </c>
      <c r="C15" s="24" t="s">
        <v>134</v>
      </c>
      <c r="D15" s="24" t="s">
        <v>135</v>
      </c>
      <c r="E15" s="3" t="s">
        <v>9</v>
      </c>
      <c r="F15" s="3" t="s">
        <v>94</v>
      </c>
      <c r="G15" s="114" t="s">
        <v>95</v>
      </c>
      <c r="H15" s="115"/>
      <c r="I15" s="116"/>
      <c r="J15" s="114" t="s">
        <v>165</v>
      </c>
      <c r="K15" s="115"/>
      <c r="L15" s="115"/>
      <c r="M15" s="115"/>
      <c r="N15" s="117"/>
    </row>
    <row r="16" spans="1:14">
      <c r="A16" s="6" t="s">
        <v>8</v>
      </c>
      <c r="B16" s="27" t="s">
        <v>333</v>
      </c>
      <c r="C16" s="25" t="s">
        <v>134</v>
      </c>
      <c r="D16" s="25" t="s">
        <v>135</v>
      </c>
      <c r="E16" s="3" t="s">
        <v>9</v>
      </c>
      <c r="F16" s="3" t="s">
        <v>94</v>
      </c>
      <c r="G16" s="114" t="s">
        <v>95</v>
      </c>
      <c r="H16" s="115"/>
      <c r="I16" s="116"/>
      <c r="J16" s="114" t="s">
        <v>334</v>
      </c>
      <c r="K16" s="115"/>
      <c r="L16" s="115"/>
      <c r="M16" s="115"/>
      <c r="N16" s="117"/>
    </row>
    <row r="17" spans="1:14">
      <c r="A17" s="6" t="s">
        <v>8</v>
      </c>
      <c r="B17" s="27" t="s">
        <v>69</v>
      </c>
      <c r="C17" s="25" t="s">
        <v>111</v>
      </c>
      <c r="D17" s="25" t="s">
        <v>69</v>
      </c>
      <c r="E17" s="3" t="s">
        <v>9</v>
      </c>
      <c r="F17" s="3" t="s">
        <v>94</v>
      </c>
      <c r="G17" s="114" t="s">
        <v>95</v>
      </c>
      <c r="H17" s="115"/>
      <c r="I17" s="116"/>
      <c r="J17" s="114" t="s">
        <v>335</v>
      </c>
      <c r="K17" s="115"/>
      <c r="L17" s="115"/>
      <c r="M17" s="115"/>
      <c r="N17" s="117"/>
    </row>
    <row r="18" spans="1:14">
      <c r="A18" s="6" t="s">
        <v>8</v>
      </c>
      <c r="B18" s="27" t="s">
        <v>73</v>
      </c>
      <c r="C18" s="25" t="s">
        <v>196</v>
      </c>
      <c r="D18" s="25" t="s">
        <v>135</v>
      </c>
      <c r="E18" s="3" t="s">
        <v>9</v>
      </c>
      <c r="F18" s="3" t="s">
        <v>94</v>
      </c>
      <c r="G18" s="114" t="s">
        <v>140</v>
      </c>
      <c r="H18" s="115"/>
      <c r="I18" s="116"/>
      <c r="J18" s="114" t="s">
        <v>336</v>
      </c>
      <c r="K18" s="115"/>
      <c r="L18" s="115"/>
      <c r="M18" s="115"/>
      <c r="N18" s="117"/>
    </row>
    <row r="19" spans="1:14" ht="25.5">
      <c r="A19" s="6" t="s">
        <v>8</v>
      </c>
      <c r="B19" s="27" t="s">
        <v>337</v>
      </c>
      <c r="C19" s="25" t="s">
        <v>111</v>
      </c>
      <c r="D19" s="25" t="s">
        <v>135</v>
      </c>
      <c r="E19" s="3" t="s">
        <v>9</v>
      </c>
      <c r="F19" s="3" t="s">
        <v>94</v>
      </c>
      <c r="G19" s="114" t="s">
        <v>140</v>
      </c>
      <c r="H19" s="115"/>
      <c r="I19" s="116"/>
      <c r="J19" s="114" t="s">
        <v>338</v>
      </c>
      <c r="K19" s="115"/>
      <c r="L19" s="115"/>
      <c r="M19" s="115"/>
      <c r="N19" s="117"/>
    </row>
    <row r="20" spans="1:14" ht="25.5">
      <c r="A20" s="6" t="s">
        <v>8</v>
      </c>
      <c r="B20" s="27" t="s">
        <v>339</v>
      </c>
      <c r="C20" s="25" t="s">
        <v>111</v>
      </c>
      <c r="D20" s="25" t="s">
        <v>224</v>
      </c>
      <c r="E20" s="3" t="s">
        <v>9</v>
      </c>
      <c r="F20" s="3" t="s">
        <v>94</v>
      </c>
      <c r="G20" s="114" t="s">
        <v>140</v>
      </c>
      <c r="H20" s="115"/>
      <c r="I20" s="116"/>
      <c r="J20" s="114" t="s">
        <v>340</v>
      </c>
      <c r="K20" s="115"/>
      <c r="L20" s="115"/>
      <c r="M20" s="115"/>
      <c r="N20" s="117"/>
    </row>
    <row r="21" spans="1:14">
      <c r="A21" s="6" t="s">
        <v>8</v>
      </c>
      <c r="B21" s="27" t="s">
        <v>341</v>
      </c>
      <c r="C21" s="25" t="s">
        <v>93</v>
      </c>
      <c r="D21" s="25" t="s">
        <v>224</v>
      </c>
      <c r="E21" s="3" t="s">
        <v>9</v>
      </c>
      <c r="F21" s="3" t="s">
        <v>94</v>
      </c>
      <c r="G21" s="114" t="s">
        <v>140</v>
      </c>
      <c r="H21" s="115"/>
      <c r="I21" s="116"/>
      <c r="J21" s="114" t="s">
        <v>342</v>
      </c>
      <c r="K21" s="115"/>
      <c r="L21" s="115"/>
      <c r="M21" s="115"/>
      <c r="N21" s="117"/>
    </row>
    <row r="22" spans="1:14">
      <c r="A22" s="6" t="s">
        <v>8</v>
      </c>
      <c r="B22" s="27" t="s">
        <v>343</v>
      </c>
      <c r="C22" s="25" t="s">
        <v>93</v>
      </c>
      <c r="D22" s="25"/>
      <c r="E22" s="3" t="s">
        <v>9</v>
      </c>
      <c r="F22" s="3" t="s">
        <v>94</v>
      </c>
      <c r="G22" s="114" t="s">
        <v>140</v>
      </c>
      <c r="H22" s="115"/>
      <c r="I22" s="116"/>
      <c r="J22" s="114" t="s">
        <v>344</v>
      </c>
      <c r="K22" s="115"/>
      <c r="L22" s="115"/>
      <c r="M22" s="115"/>
      <c r="N22" s="117"/>
    </row>
    <row r="23" spans="1:14" ht="15.75" customHeight="1">
      <c r="A23" s="6" t="s">
        <v>8</v>
      </c>
      <c r="B23" s="27" t="s">
        <v>345</v>
      </c>
      <c r="C23" s="25" t="s">
        <v>162</v>
      </c>
      <c r="D23" s="25"/>
      <c r="E23" s="3" t="s">
        <v>9</v>
      </c>
      <c r="F23" s="3" t="s">
        <v>94</v>
      </c>
      <c r="G23" s="114" t="s">
        <v>241</v>
      </c>
      <c r="H23" s="115"/>
      <c r="I23" s="116"/>
      <c r="J23" s="114" t="s">
        <v>346</v>
      </c>
      <c r="K23" s="115"/>
      <c r="L23" s="115"/>
      <c r="M23" s="115"/>
      <c r="N23" s="117"/>
    </row>
    <row r="24" spans="1:14">
      <c r="A24" s="6" t="s">
        <v>8</v>
      </c>
      <c r="B24" s="27" t="s">
        <v>240</v>
      </c>
      <c r="C24" s="79" t="s">
        <v>162</v>
      </c>
      <c r="D24" s="81"/>
      <c r="E24" s="3" t="s">
        <v>9</v>
      </c>
      <c r="F24" s="3" t="s">
        <v>94</v>
      </c>
      <c r="G24" s="114" t="s">
        <v>241</v>
      </c>
      <c r="H24" s="115"/>
      <c r="I24" s="116"/>
      <c r="J24" s="114" t="s">
        <v>242</v>
      </c>
      <c r="K24" s="115"/>
      <c r="L24" s="115"/>
      <c r="M24" s="115"/>
      <c r="N24" s="117"/>
    </row>
    <row r="25" spans="1:14">
      <c r="A25" s="29" t="s">
        <v>8</v>
      </c>
      <c r="B25" s="27" t="s">
        <v>223</v>
      </c>
      <c r="C25" s="64" t="s">
        <v>111</v>
      </c>
      <c r="D25" s="80" t="s">
        <v>224</v>
      </c>
      <c r="E25" s="84" t="s">
        <v>9</v>
      </c>
      <c r="F25" s="30" t="s">
        <v>94</v>
      </c>
      <c r="G25" s="114" t="s">
        <v>95</v>
      </c>
      <c r="H25" s="115"/>
      <c r="I25" s="116"/>
      <c r="J25" s="170" t="s">
        <v>244</v>
      </c>
      <c r="K25" s="171"/>
      <c r="L25" s="171"/>
      <c r="M25" s="171"/>
      <c r="N25" s="172"/>
    </row>
    <row r="26" spans="1:14">
      <c r="A26" s="29" t="s">
        <v>8</v>
      </c>
      <c r="B26" s="27" t="s">
        <v>245</v>
      </c>
      <c r="C26" s="1" t="s">
        <v>111</v>
      </c>
      <c r="D26" s="83" t="s">
        <v>224</v>
      </c>
      <c r="E26" s="82" t="s">
        <v>9</v>
      </c>
      <c r="F26" s="30" t="s">
        <v>94</v>
      </c>
      <c r="G26" s="33" t="s">
        <v>95</v>
      </c>
      <c r="H26" s="33"/>
      <c r="I26" s="33"/>
      <c r="J26" s="85" t="s">
        <v>246</v>
      </c>
      <c r="K26" s="86"/>
      <c r="L26" s="86"/>
      <c r="M26" s="86"/>
      <c r="N26" s="87"/>
    </row>
    <row r="27" spans="1:14">
      <c r="A27" s="118" t="s">
        <v>115</v>
      </c>
      <c r="B27" s="119"/>
      <c r="C27" s="119"/>
      <c r="D27" s="152"/>
      <c r="E27" s="152"/>
      <c r="F27" s="119"/>
      <c r="G27" s="119"/>
      <c r="H27" s="119"/>
      <c r="I27" s="119"/>
      <c r="J27" s="152"/>
      <c r="K27" s="152"/>
      <c r="L27" s="152"/>
      <c r="M27" s="152"/>
      <c r="N27" s="173"/>
    </row>
    <row r="28" spans="1:14">
      <c r="A28" s="121" t="s">
        <v>4</v>
      </c>
      <c r="B28" s="122" t="s">
        <v>85</v>
      </c>
      <c r="C28" s="122" t="s">
        <v>116</v>
      </c>
      <c r="D28" s="122" t="s">
        <v>117</v>
      </c>
      <c r="E28" s="122" t="s">
        <v>118</v>
      </c>
      <c r="F28" s="122"/>
      <c r="G28" s="122"/>
      <c r="H28" s="122"/>
      <c r="I28" s="122"/>
      <c r="J28" s="122"/>
      <c r="K28" s="122"/>
      <c r="L28" s="122"/>
      <c r="M28" s="122" t="s">
        <v>119</v>
      </c>
      <c r="N28" s="123"/>
    </row>
    <row r="29" spans="1:14">
      <c r="A29" s="121"/>
      <c r="B29" s="122"/>
      <c r="C29" s="122"/>
      <c r="D29" s="122"/>
      <c r="E29" s="11" t="s">
        <v>85</v>
      </c>
      <c r="F29" s="11" t="s">
        <v>86</v>
      </c>
      <c r="G29" s="11" t="s">
        <v>91</v>
      </c>
      <c r="H29" s="11" t="s">
        <v>120</v>
      </c>
      <c r="I29" s="11" t="s">
        <v>87</v>
      </c>
      <c r="J29" s="122" t="s">
        <v>117</v>
      </c>
      <c r="K29" s="122"/>
      <c r="L29" s="122"/>
      <c r="M29" s="122"/>
      <c r="N29" s="123"/>
    </row>
    <row r="30" spans="1:14" ht="27">
      <c r="A30" s="6" t="s">
        <v>9</v>
      </c>
      <c r="B30" s="26" t="str">
        <f>B2</f>
        <v>ScheduleDetail</v>
      </c>
      <c r="C30" s="28" t="s">
        <v>121</v>
      </c>
      <c r="D30" s="28" t="s">
        <v>122</v>
      </c>
      <c r="E30" s="3"/>
      <c r="F30" s="3"/>
      <c r="G30" s="3"/>
      <c r="H30" s="3"/>
      <c r="I30" s="3"/>
      <c r="J30" s="106"/>
      <c r="K30" s="107"/>
      <c r="L30" s="108"/>
      <c r="M30" s="106"/>
      <c r="N30" s="109"/>
    </row>
    <row r="31" spans="1:14">
      <c r="A31" s="6" t="s">
        <v>8</v>
      </c>
      <c r="B31" s="26" t="s">
        <v>123</v>
      </c>
      <c r="C31" s="28" t="s">
        <v>124</v>
      </c>
      <c r="D31" s="28" t="s">
        <v>125</v>
      </c>
      <c r="E31" s="3"/>
      <c r="F31" s="3"/>
      <c r="G31" s="3"/>
      <c r="H31" s="3" t="s">
        <v>9</v>
      </c>
      <c r="I31" s="3" t="s">
        <v>9</v>
      </c>
      <c r="J31" s="106" t="s">
        <v>136</v>
      </c>
      <c r="K31" s="107"/>
      <c r="L31" s="108"/>
      <c r="M31" s="106"/>
      <c r="N31" s="109"/>
    </row>
    <row r="32" spans="1:14">
      <c r="A32" s="110" t="s">
        <v>126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2"/>
    </row>
    <row r="33" spans="1:14">
      <c r="A33" s="113" t="s">
        <v>4</v>
      </c>
      <c r="B33" s="100" t="s">
        <v>85</v>
      </c>
      <c r="C33" s="100" t="s">
        <v>127</v>
      </c>
      <c r="D33" s="100" t="s">
        <v>128</v>
      </c>
      <c r="E33" s="100" t="s">
        <v>117</v>
      </c>
      <c r="F33" s="100" t="s">
        <v>118</v>
      </c>
      <c r="G33" s="100"/>
      <c r="H33" s="100"/>
      <c r="I33" s="100"/>
      <c r="J33" s="100"/>
      <c r="K33" s="100"/>
      <c r="L33" s="100" t="s">
        <v>129</v>
      </c>
      <c r="M33" s="100"/>
      <c r="N33" s="101" t="s">
        <v>119</v>
      </c>
    </row>
    <row r="34" spans="1:14">
      <c r="A34" s="113"/>
      <c r="B34" s="100"/>
      <c r="C34" s="100"/>
      <c r="D34" s="100"/>
      <c r="E34" s="100"/>
      <c r="F34" s="12" t="s">
        <v>85</v>
      </c>
      <c r="G34" s="12" t="s">
        <v>86</v>
      </c>
      <c r="H34" s="12" t="s">
        <v>91</v>
      </c>
      <c r="I34" s="12" t="s">
        <v>120</v>
      </c>
      <c r="J34" s="12" t="s">
        <v>87</v>
      </c>
      <c r="K34" s="12" t="s">
        <v>117</v>
      </c>
      <c r="L34" s="12" t="s">
        <v>86</v>
      </c>
      <c r="M34" s="12" t="s">
        <v>91</v>
      </c>
      <c r="N34" s="101"/>
    </row>
    <row r="35" spans="1:14">
      <c r="A35" s="6" t="s">
        <v>9</v>
      </c>
      <c r="B35" s="24" t="s">
        <v>9</v>
      </c>
      <c r="C35" s="28" t="s">
        <v>9</v>
      </c>
      <c r="D35" s="28" t="s">
        <v>9</v>
      </c>
      <c r="E35" s="3" t="s">
        <v>130</v>
      </c>
      <c r="F35" s="3"/>
      <c r="G35" s="3"/>
      <c r="H35" s="3"/>
      <c r="I35" s="3"/>
      <c r="J35" s="3"/>
      <c r="K35" s="3"/>
      <c r="L35" s="3"/>
      <c r="M35" s="3"/>
      <c r="N35" s="7"/>
    </row>
    <row r="36" spans="1:14">
      <c r="A36" s="102" t="s">
        <v>131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4"/>
    </row>
    <row r="37" spans="1:14">
      <c r="A37" s="105" t="s">
        <v>4</v>
      </c>
      <c r="B37" s="98" t="s">
        <v>85</v>
      </c>
      <c r="C37" s="98" t="s">
        <v>132</v>
      </c>
      <c r="D37" s="98" t="s">
        <v>128</v>
      </c>
      <c r="E37" s="98" t="s">
        <v>117</v>
      </c>
      <c r="F37" s="98" t="s">
        <v>118</v>
      </c>
      <c r="G37" s="98"/>
      <c r="H37" s="98"/>
      <c r="I37" s="98"/>
      <c r="J37" s="98"/>
      <c r="K37" s="98"/>
      <c r="L37" s="98" t="s">
        <v>129</v>
      </c>
      <c r="M37" s="98"/>
      <c r="N37" s="99" t="s">
        <v>119</v>
      </c>
    </row>
    <row r="38" spans="1:14">
      <c r="A38" s="105"/>
      <c r="B38" s="98"/>
      <c r="C38" s="98"/>
      <c r="D38" s="98"/>
      <c r="E38" s="98"/>
      <c r="F38" s="13" t="s">
        <v>85</v>
      </c>
      <c r="G38" s="13" t="s">
        <v>86</v>
      </c>
      <c r="H38" s="13" t="s">
        <v>91</v>
      </c>
      <c r="I38" s="13" t="s">
        <v>120</v>
      </c>
      <c r="J38" s="13" t="s">
        <v>87</v>
      </c>
      <c r="K38" s="13" t="s">
        <v>117</v>
      </c>
      <c r="L38" s="13" t="s">
        <v>86</v>
      </c>
      <c r="M38" s="13" t="s">
        <v>91</v>
      </c>
      <c r="N38" s="99"/>
    </row>
    <row r="39" spans="1:14">
      <c r="A39" s="6" t="s">
        <v>8</v>
      </c>
      <c r="B39" s="26" t="s">
        <v>123</v>
      </c>
      <c r="C39" s="3" t="s">
        <v>94</v>
      </c>
      <c r="D39" s="3" t="s">
        <v>9</v>
      </c>
      <c r="E39" s="24" t="s">
        <v>125</v>
      </c>
      <c r="F39" s="3"/>
      <c r="G39" s="3"/>
      <c r="H39" s="3"/>
      <c r="I39" s="3" t="s">
        <v>9</v>
      </c>
      <c r="J39" s="3" t="s">
        <v>9</v>
      </c>
      <c r="K39" s="3"/>
      <c r="L39" s="3" t="s">
        <v>158</v>
      </c>
      <c r="M39" s="3"/>
      <c r="N39" s="7"/>
    </row>
  </sheetData>
  <mergeCells count="71"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B10:D10"/>
    <mergeCell ref="B11:D11"/>
    <mergeCell ref="A12:N12"/>
    <mergeCell ref="A13:A14"/>
    <mergeCell ref="B13:B14"/>
    <mergeCell ref="C13:D13"/>
    <mergeCell ref="E13:E14"/>
    <mergeCell ref="F13:F14"/>
    <mergeCell ref="G13:I14"/>
    <mergeCell ref="J13:N14"/>
    <mergeCell ref="G15:I15"/>
    <mergeCell ref="J15:N15"/>
    <mergeCell ref="G16:I16"/>
    <mergeCell ref="J16:N16"/>
    <mergeCell ref="G17:I17"/>
    <mergeCell ref="J17:N17"/>
    <mergeCell ref="G18:I18"/>
    <mergeCell ref="J18:N18"/>
    <mergeCell ref="G19:I19"/>
    <mergeCell ref="J19:N19"/>
    <mergeCell ref="G20:I20"/>
    <mergeCell ref="J20:N20"/>
    <mergeCell ref="G21:I21"/>
    <mergeCell ref="J21:N21"/>
    <mergeCell ref="G22:I22"/>
    <mergeCell ref="J22:N22"/>
    <mergeCell ref="G23:I23"/>
    <mergeCell ref="J23:N23"/>
    <mergeCell ref="A28:A29"/>
    <mergeCell ref="B28:B29"/>
    <mergeCell ref="C28:C29"/>
    <mergeCell ref="D28:D29"/>
    <mergeCell ref="E28:L28"/>
    <mergeCell ref="G24:I24"/>
    <mergeCell ref="J24:N24"/>
    <mergeCell ref="G25:I25"/>
    <mergeCell ref="J25:N25"/>
    <mergeCell ref="A27:N27"/>
    <mergeCell ref="M28:N29"/>
    <mergeCell ref="J29:L29"/>
    <mergeCell ref="J30:L30"/>
    <mergeCell ref="M30:N30"/>
    <mergeCell ref="J31:L31"/>
    <mergeCell ref="M31:N31"/>
    <mergeCell ref="A32:N32"/>
    <mergeCell ref="A33:A34"/>
    <mergeCell ref="B33:B34"/>
    <mergeCell ref="C33:C34"/>
    <mergeCell ref="D33:D34"/>
    <mergeCell ref="E33:E34"/>
    <mergeCell ref="F33:K33"/>
    <mergeCell ref="L33:M33"/>
    <mergeCell ref="N33:N34"/>
    <mergeCell ref="A36:N36"/>
    <mergeCell ref="A37:A38"/>
    <mergeCell ref="B37:B38"/>
    <mergeCell ref="C37:C38"/>
    <mergeCell ref="D37:D38"/>
    <mergeCell ref="E37:E38"/>
    <mergeCell ref="F37:K37"/>
    <mergeCell ref="L37:M37"/>
    <mergeCell ref="N37:N38"/>
  </mergeCells>
  <hyperlinks>
    <hyperlink ref="A1:E1" location="'Structs'!A1" display="&lt;-Volver al inicio" xr:uid="{5F367348-75AA-4506-9715-331125DE5A9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10D715B-1BC1-4E53-B68E-3661AA339C0B}">
          <x14:formula1>
            <xm:f>Valores!$C$2:$C$7</xm:f>
          </x14:formula1>
          <xm:sqref>B9:D11</xm:sqref>
        </x14:dataValidation>
        <x14:dataValidation type="list" allowBlank="1" showInputMessage="1" showErrorMessage="1" xr:uid="{A588FAC2-312A-469D-98A4-57A29F4D5E64}">
          <x14:formula1>
            <xm:f>Valores!$L$2:$L$13</xm:f>
          </x14:formula1>
          <xm:sqref>L39</xm:sqref>
        </x14:dataValidation>
        <x14:dataValidation type="list" allowBlank="1" showInputMessage="1" showErrorMessage="1" xr:uid="{62F7C5D3-F715-4417-8AE3-622DD229E5D7}">
          <x14:formula1>
            <xm:f>Valores!$J$2:$J$3</xm:f>
          </x14:formula1>
          <xm:sqref>H30 I35</xm:sqref>
        </x14:dataValidation>
        <x14:dataValidation type="list" allowBlank="1" showInputMessage="1" showErrorMessage="1" xr:uid="{4CDD8DA8-3CF0-4FC8-AC85-9BBA7442300D}">
          <x14:formula1>
            <xm:f>Valores!$H$2:$H$3</xm:f>
          </x14:formula1>
          <xm:sqref>C39 F15:F26</xm:sqref>
        </x14:dataValidation>
        <x14:dataValidation type="list" allowBlank="1" showInputMessage="1" showErrorMessage="1" xr:uid="{86EA67B1-FF79-47DF-A93B-06A88FD7E44E}">
          <x14:formula1>
            <xm:f>Valores!$G$2:$G$12</xm:f>
          </x14:formula1>
          <xm:sqref>G39 F30:F31 G35 L35 C15:C25</xm:sqref>
        </x14:dataValidation>
        <x14:dataValidation type="list" allowBlank="1" showInputMessage="1" showErrorMessage="1" xr:uid="{C384BFC4-298E-4319-9DC0-4819838E65C9}">
          <x14:formula1>
            <xm:f>Structs!$D$2</xm:f>
          </x14:formula1>
          <xm:sqref>A15:A26 B5:E5</xm:sqref>
        </x14:dataValidation>
        <x14:dataValidation type="list" allowBlank="1" showInputMessage="1" showErrorMessage="1" xr:uid="{1B82FDD5-15F9-473D-B90F-D2E0470FA285}">
          <x14:formula1>
            <xm:f>Structs!$E$2</xm:f>
          </x14:formula1>
          <xm:sqref>B6:E6 H31 E15:E26 I30:I31 J35 D39 I39:J39</xm:sqref>
        </x14:dataValidation>
        <x14:dataValidation type="list" allowBlank="1" showInputMessage="1" showErrorMessage="1" xr:uid="{5C1E2458-DF74-4CB2-8218-009E6797830D}">
          <x14:formula1>
            <xm:f>Structs!$D$2:$E$2</xm:f>
          </x14:formula1>
          <xm:sqref>A30:A31 A35 A39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4F8E-C6D9-4225-A1E2-27191312E80D}">
  <dimension ref="A1:N28"/>
  <sheetViews>
    <sheetView zoomScale="55" zoomScaleNormal="55" workbookViewId="0">
      <pane ySplit="1" topLeftCell="A2" activePane="bottomLeft" state="frozen"/>
      <selection pane="bottomLeft" activeCell="L32" sqref="L32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Structs!I24</f>
        <v>EstablishmentType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Structs!B24</f>
        <v>enum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Structs!C24</f>
        <v>Enumeración que define el tipo de establecimiento de una sede: WORKSHOP (taller), STORE (tienda) o WORKSHOP_STORE (taller-tienda).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81</v>
      </c>
      <c r="B9" s="141" t="s">
        <v>82</v>
      </c>
      <c r="C9" s="141"/>
      <c r="D9" s="142"/>
      <c r="E9" s="53" t="str">
        <f>HYPERLINK("#'"&amp;F9&amp;"'!A1", F9)</f>
        <v>Branch</v>
      </c>
      <c r="F9" s="55" t="s">
        <v>12</v>
      </c>
    </row>
    <row r="10" spans="1:14">
      <c r="A10" s="124" t="s">
        <v>84</v>
      </c>
      <c r="B10" s="125"/>
      <c r="C10" s="125"/>
      <c r="D10" s="125"/>
      <c r="E10" s="126"/>
      <c r="F10" s="126"/>
      <c r="G10" s="125"/>
      <c r="H10" s="125"/>
      <c r="I10" s="125"/>
      <c r="J10" s="125"/>
      <c r="K10" s="125"/>
      <c r="L10" s="125"/>
      <c r="M10" s="125"/>
      <c r="N10" s="127"/>
    </row>
    <row r="11" spans="1:14">
      <c r="A11" s="128" t="s">
        <v>4</v>
      </c>
      <c r="B11" s="129" t="s">
        <v>85</v>
      </c>
      <c r="C11" s="129" t="s">
        <v>86</v>
      </c>
      <c r="D11" s="129"/>
      <c r="E11" s="129" t="s">
        <v>87</v>
      </c>
      <c r="F11" s="129" t="s">
        <v>88</v>
      </c>
      <c r="G11" s="130" t="s">
        <v>89</v>
      </c>
      <c r="H11" s="131"/>
      <c r="I11" s="132"/>
      <c r="J11" s="129" t="s">
        <v>90</v>
      </c>
      <c r="K11" s="129"/>
      <c r="L11" s="129"/>
      <c r="M11" s="129"/>
      <c r="N11" s="136"/>
    </row>
    <row r="12" spans="1:14">
      <c r="A12" s="128"/>
      <c r="B12" s="129"/>
      <c r="C12" s="10" t="s">
        <v>86</v>
      </c>
      <c r="D12" s="10" t="s">
        <v>91</v>
      </c>
      <c r="E12" s="129"/>
      <c r="F12" s="129"/>
      <c r="G12" s="133"/>
      <c r="H12" s="134"/>
      <c r="I12" s="135"/>
      <c r="J12" s="129"/>
      <c r="K12" s="129"/>
      <c r="L12" s="129"/>
      <c r="M12" s="129"/>
      <c r="N12" s="136"/>
    </row>
    <row r="13" spans="1:14">
      <c r="A13" s="6" t="s">
        <v>226</v>
      </c>
      <c r="B13" s="26" t="s">
        <v>347</v>
      </c>
      <c r="C13" s="24" t="s">
        <v>111</v>
      </c>
      <c r="D13" s="24" t="s">
        <v>55</v>
      </c>
      <c r="E13" s="24" t="s">
        <v>348</v>
      </c>
      <c r="F13" s="3" t="s">
        <v>349</v>
      </c>
      <c r="G13" s="114" t="s">
        <v>347</v>
      </c>
      <c r="H13" s="115"/>
      <c r="I13" s="116"/>
      <c r="J13" s="114" t="s">
        <v>350</v>
      </c>
      <c r="K13" s="115"/>
      <c r="L13" s="115"/>
      <c r="M13" s="115"/>
      <c r="N13" s="117"/>
    </row>
    <row r="14" spans="1:14">
      <c r="A14" s="6" t="s">
        <v>226</v>
      </c>
      <c r="B14" s="27" t="s">
        <v>351</v>
      </c>
      <c r="C14" s="25" t="s">
        <v>111</v>
      </c>
      <c r="D14" s="25" t="s">
        <v>55</v>
      </c>
      <c r="E14" s="25" t="s">
        <v>348</v>
      </c>
      <c r="F14" s="3" t="s">
        <v>349</v>
      </c>
      <c r="G14" s="114" t="s">
        <v>351</v>
      </c>
      <c r="H14" s="115"/>
      <c r="I14" s="116"/>
      <c r="J14" s="114" t="s">
        <v>352</v>
      </c>
      <c r="K14" s="115"/>
      <c r="L14" s="115"/>
      <c r="M14" s="115"/>
      <c r="N14" s="117"/>
    </row>
    <row r="15" spans="1:14">
      <c r="A15" s="6" t="s">
        <v>226</v>
      </c>
      <c r="B15" s="27" t="s">
        <v>353</v>
      </c>
      <c r="C15" s="25" t="s">
        <v>111</v>
      </c>
      <c r="D15" s="25" t="s">
        <v>55</v>
      </c>
      <c r="E15" s="25" t="s">
        <v>348</v>
      </c>
      <c r="F15" s="3" t="s">
        <v>349</v>
      </c>
      <c r="G15" s="114" t="s">
        <v>353</v>
      </c>
      <c r="H15" s="115"/>
      <c r="I15" s="116"/>
      <c r="J15" s="114" t="s">
        <v>354</v>
      </c>
      <c r="K15" s="115"/>
      <c r="L15" s="115"/>
      <c r="M15" s="115"/>
      <c r="N15" s="117"/>
    </row>
    <row r="16" spans="1:14">
      <c r="A16" s="118" t="s">
        <v>115</v>
      </c>
      <c r="B16" s="119"/>
      <c r="C16" s="119"/>
      <c r="D16" s="152"/>
      <c r="E16" s="152"/>
      <c r="F16" s="119"/>
      <c r="G16" s="119"/>
      <c r="H16" s="119"/>
      <c r="I16" s="119"/>
      <c r="J16" s="152"/>
      <c r="K16" s="152"/>
      <c r="L16" s="152"/>
      <c r="M16" s="152"/>
      <c r="N16" s="173"/>
    </row>
    <row r="17" spans="1:14">
      <c r="A17" s="121" t="s">
        <v>4</v>
      </c>
      <c r="B17" s="122" t="s">
        <v>85</v>
      </c>
      <c r="C17" s="122" t="s">
        <v>116</v>
      </c>
      <c r="D17" s="122" t="s">
        <v>117</v>
      </c>
      <c r="E17" s="122" t="s">
        <v>118</v>
      </c>
      <c r="F17" s="122"/>
      <c r="G17" s="122"/>
      <c r="H17" s="122"/>
      <c r="I17" s="122"/>
      <c r="J17" s="122"/>
      <c r="K17" s="122"/>
      <c r="L17" s="122"/>
      <c r="M17" s="122" t="s">
        <v>119</v>
      </c>
      <c r="N17" s="123"/>
    </row>
    <row r="18" spans="1:14">
      <c r="A18" s="121"/>
      <c r="B18" s="122"/>
      <c r="C18" s="122"/>
      <c r="D18" s="122"/>
      <c r="E18" s="11" t="s">
        <v>85</v>
      </c>
      <c r="F18" s="11" t="s">
        <v>86</v>
      </c>
      <c r="G18" s="11" t="s">
        <v>91</v>
      </c>
      <c r="H18" s="11" t="s">
        <v>120</v>
      </c>
      <c r="I18" s="11" t="s">
        <v>87</v>
      </c>
      <c r="J18" s="122" t="s">
        <v>117</v>
      </c>
      <c r="K18" s="122"/>
      <c r="L18" s="122"/>
      <c r="M18" s="122"/>
      <c r="N18" s="123"/>
    </row>
    <row r="19" spans="1:14">
      <c r="A19" s="6" t="s">
        <v>9</v>
      </c>
      <c r="B19" s="26" t="s">
        <v>9</v>
      </c>
      <c r="C19" s="28" t="s">
        <v>9</v>
      </c>
      <c r="D19" s="28" t="s">
        <v>355</v>
      </c>
      <c r="E19" s="3"/>
      <c r="F19" s="3"/>
      <c r="G19" s="3"/>
      <c r="H19" s="3"/>
      <c r="I19" s="3"/>
      <c r="J19" s="106"/>
      <c r="K19" s="107"/>
      <c r="L19" s="108"/>
      <c r="M19" s="106"/>
      <c r="N19" s="109"/>
    </row>
    <row r="20" spans="1:14">
      <c r="A20" s="110" t="s">
        <v>126</v>
      </c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2"/>
    </row>
    <row r="21" spans="1:14">
      <c r="A21" s="113" t="s">
        <v>4</v>
      </c>
      <c r="B21" s="100" t="s">
        <v>85</v>
      </c>
      <c r="C21" s="100" t="s">
        <v>127</v>
      </c>
      <c r="D21" s="100" t="s">
        <v>128</v>
      </c>
      <c r="E21" s="100" t="s">
        <v>117</v>
      </c>
      <c r="F21" s="100" t="s">
        <v>118</v>
      </c>
      <c r="G21" s="100"/>
      <c r="H21" s="100"/>
      <c r="I21" s="100"/>
      <c r="J21" s="100"/>
      <c r="K21" s="100"/>
      <c r="L21" s="100" t="s">
        <v>129</v>
      </c>
      <c r="M21" s="100"/>
      <c r="N21" s="101" t="s">
        <v>119</v>
      </c>
    </row>
    <row r="22" spans="1:14">
      <c r="A22" s="113"/>
      <c r="B22" s="100"/>
      <c r="C22" s="100"/>
      <c r="D22" s="100"/>
      <c r="E22" s="100"/>
      <c r="F22" s="12" t="s">
        <v>85</v>
      </c>
      <c r="G22" s="12" t="s">
        <v>86</v>
      </c>
      <c r="H22" s="12" t="s">
        <v>91</v>
      </c>
      <c r="I22" s="12" t="s">
        <v>120</v>
      </c>
      <c r="J22" s="12" t="s">
        <v>87</v>
      </c>
      <c r="K22" s="12" t="s">
        <v>117</v>
      </c>
      <c r="L22" s="12" t="s">
        <v>86</v>
      </c>
      <c r="M22" s="12" t="s">
        <v>91</v>
      </c>
      <c r="N22" s="101"/>
    </row>
    <row r="23" spans="1:14">
      <c r="A23" s="6" t="s">
        <v>9</v>
      </c>
      <c r="B23" s="24" t="s">
        <v>9</v>
      </c>
      <c r="C23" s="28" t="s">
        <v>9</v>
      </c>
      <c r="D23" s="28" t="s">
        <v>9</v>
      </c>
      <c r="E23" s="3" t="s">
        <v>9</v>
      </c>
      <c r="F23" s="3"/>
      <c r="G23" s="3"/>
      <c r="H23" s="3"/>
      <c r="I23" s="3"/>
      <c r="J23" s="3"/>
      <c r="K23" s="3"/>
      <c r="L23" s="3"/>
      <c r="M23" s="3"/>
      <c r="N23" s="7"/>
    </row>
    <row r="24" spans="1:14">
      <c r="A24" s="102" t="s">
        <v>131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4"/>
    </row>
    <row r="25" spans="1:14">
      <c r="A25" s="105" t="s">
        <v>4</v>
      </c>
      <c r="B25" s="98" t="s">
        <v>85</v>
      </c>
      <c r="C25" s="98" t="s">
        <v>132</v>
      </c>
      <c r="D25" s="98" t="s">
        <v>128</v>
      </c>
      <c r="E25" s="98" t="s">
        <v>117</v>
      </c>
      <c r="F25" s="98" t="s">
        <v>118</v>
      </c>
      <c r="G25" s="98"/>
      <c r="H25" s="98"/>
      <c r="I25" s="98"/>
      <c r="J25" s="98"/>
      <c r="K25" s="98"/>
      <c r="L25" s="98" t="s">
        <v>129</v>
      </c>
      <c r="M25" s="98"/>
      <c r="N25" s="99" t="s">
        <v>119</v>
      </c>
    </row>
    <row r="26" spans="1:14">
      <c r="A26" s="176"/>
      <c r="B26" s="177"/>
      <c r="C26" s="177"/>
      <c r="D26" s="177"/>
      <c r="E26" s="177"/>
      <c r="F26" s="88" t="s">
        <v>85</v>
      </c>
      <c r="G26" s="88" t="s">
        <v>86</v>
      </c>
      <c r="H26" s="88" t="s">
        <v>91</v>
      </c>
      <c r="I26" s="88" t="s">
        <v>120</v>
      </c>
      <c r="J26" s="88" t="s">
        <v>87</v>
      </c>
      <c r="K26" s="88" t="s">
        <v>117</v>
      </c>
      <c r="L26" s="88" t="s">
        <v>86</v>
      </c>
      <c r="M26" s="88" t="s">
        <v>91</v>
      </c>
      <c r="N26" s="178"/>
    </row>
    <row r="27" spans="1:14" ht="25.5">
      <c r="A27" s="82" t="s">
        <v>226</v>
      </c>
      <c r="B27" s="89" t="s">
        <v>356</v>
      </c>
      <c r="C27" s="82" t="s">
        <v>94</v>
      </c>
      <c r="D27" s="82" t="s">
        <v>9</v>
      </c>
      <c r="E27" s="90" t="s">
        <v>357</v>
      </c>
      <c r="F27" s="82"/>
      <c r="G27" s="82"/>
      <c r="H27" s="82"/>
      <c r="I27" s="82" t="s">
        <v>9</v>
      </c>
      <c r="J27" s="82" t="s">
        <v>9</v>
      </c>
      <c r="K27" s="82"/>
      <c r="L27" s="82" t="s">
        <v>111</v>
      </c>
      <c r="M27" s="82" t="s">
        <v>358</v>
      </c>
      <c r="N27" s="82"/>
    </row>
    <row r="28" spans="1:14">
      <c r="A28" s="82" t="s">
        <v>226</v>
      </c>
      <c r="B28" s="82" t="s">
        <v>359</v>
      </c>
      <c r="C28" s="82" t="s">
        <v>94</v>
      </c>
      <c r="D28" s="82" t="s">
        <v>9</v>
      </c>
      <c r="E28" s="82" t="s">
        <v>360</v>
      </c>
      <c r="F28" s="82" t="s">
        <v>361</v>
      </c>
      <c r="G28" s="82" t="s">
        <v>111</v>
      </c>
      <c r="H28" s="82" t="s">
        <v>55</v>
      </c>
      <c r="I28" s="82" t="s">
        <v>362</v>
      </c>
      <c r="J28" s="82" t="s">
        <v>9</v>
      </c>
      <c r="K28" s="82"/>
      <c r="L28" s="82" t="s">
        <v>134</v>
      </c>
      <c r="M28" s="174"/>
      <c r="N28" s="175"/>
    </row>
  </sheetData>
  <mergeCells count="52">
    <mergeCell ref="A7:E7"/>
    <mergeCell ref="B8:D8"/>
    <mergeCell ref="B9:D9"/>
    <mergeCell ref="A10:N10"/>
    <mergeCell ref="A1:E1"/>
    <mergeCell ref="B2:E2"/>
    <mergeCell ref="B3:E3"/>
    <mergeCell ref="B4:E4"/>
    <mergeCell ref="B5:E5"/>
    <mergeCell ref="B6:E6"/>
    <mergeCell ref="G15:I15"/>
    <mergeCell ref="J15:N15"/>
    <mergeCell ref="A11:A12"/>
    <mergeCell ref="B11:B12"/>
    <mergeCell ref="C11:D11"/>
    <mergeCell ref="E11:E12"/>
    <mergeCell ref="F11:F12"/>
    <mergeCell ref="G11:I12"/>
    <mergeCell ref="J11:N12"/>
    <mergeCell ref="G13:I13"/>
    <mergeCell ref="J13:N13"/>
    <mergeCell ref="G14:I14"/>
    <mergeCell ref="J14:N14"/>
    <mergeCell ref="M17:N18"/>
    <mergeCell ref="J18:L18"/>
    <mergeCell ref="J19:L19"/>
    <mergeCell ref="M19:N19"/>
    <mergeCell ref="A16:N16"/>
    <mergeCell ref="A17:A18"/>
    <mergeCell ref="B17:B18"/>
    <mergeCell ref="C17:C18"/>
    <mergeCell ref="D17:D18"/>
    <mergeCell ref="E17:L17"/>
    <mergeCell ref="A20:N20"/>
    <mergeCell ref="A21:A22"/>
    <mergeCell ref="B21:B22"/>
    <mergeCell ref="C21:C22"/>
    <mergeCell ref="D21:D22"/>
    <mergeCell ref="E21:E22"/>
    <mergeCell ref="F21:K21"/>
    <mergeCell ref="L21:M21"/>
    <mergeCell ref="N21:N22"/>
    <mergeCell ref="M28:N28"/>
    <mergeCell ref="A24:N24"/>
    <mergeCell ref="A25:A26"/>
    <mergeCell ref="B25:B26"/>
    <mergeCell ref="C25:C26"/>
    <mergeCell ref="D25:D26"/>
    <mergeCell ref="E25:E26"/>
    <mergeCell ref="F25:K25"/>
    <mergeCell ref="L25:M25"/>
    <mergeCell ref="N25:N26"/>
  </mergeCells>
  <hyperlinks>
    <hyperlink ref="A1:E1" location="'Structs'!A1" display="&lt;-Volver al inicio" xr:uid="{566397CA-641B-413F-AB48-C04C5977AFF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7CAE036-A18A-4EE4-A734-1599AED783E2}">
          <x14:formula1>
            <xm:f>Structs!$D$2:$E$2</xm:f>
          </x14:formula1>
          <xm:sqref>A19 A23 A27</xm:sqref>
        </x14:dataValidation>
        <x14:dataValidation type="list" allowBlank="1" showInputMessage="1" showErrorMessage="1" xr:uid="{742D8B6D-B294-4550-A16E-2A2B290AD017}">
          <x14:formula1>
            <xm:f>Structs!$E$2</xm:f>
          </x14:formula1>
          <xm:sqref>B6:E6 I27:J27 I19 J23 D27</xm:sqref>
        </x14:dataValidation>
        <x14:dataValidation type="list" allowBlank="1" showInputMessage="1" showErrorMessage="1" xr:uid="{DA6F2CB7-B966-4D21-98AA-2E260A33C3AA}">
          <x14:formula1>
            <xm:f>Structs!$D$2</xm:f>
          </x14:formula1>
          <xm:sqref>A13:A15 B5:E5</xm:sqref>
        </x14:dataValidation>
        <x14:dataValidation type="list" allowBlank="1" showInputMessage="1" showErrorMessage="1" xr:uid="{80922ABD-91DF-4646-B948-0A79CC7ED34C}">
          <x14:formula1>
            <xm:f>Valores!$G$2:$G$12</xm:f>
          </x14:formula1>
          <xm:sqref>G27 F19 G23 L23 C13:C15</xm:sqref>
        </x14:dataValidation>
        <x14:dataValidation type="list" allowBlank="1" showInputMessage="1" showErrorMessage="1" xr:uid="{30C07ABB-F705-4E22-A674-93F18E670A24}">
          <x14:formula1>
            <xm:f>Valores!$H$2:$H$3</xm:f>
          </x14:formula1>
          <xm:sqref>C27 F13:F15</xm:sqref>
        </x14:dataValidation>
        <x14:dataValidation type="list" allowBlank="1" showInputMessage="1" showErrorMessage="1" xr:uid="{90B70526-F0A4-4510-B6A7-D1B334934B4D}">
          <x14:formula1>
            <xm:f>Valores!$J$2:$J$3</xm:f>
          </x14:formula1>
          <xm:sqref>H19 I23</xm:sqref>
        </x14:dataValidation>
        <x14:dataValidation type="list" allowBlank="1" showInputMessage="1" showErrorMessage="1" xr:uid="{ECE519D7-F474-454A-9A59-BA40D3F7C65E}">
          <x14:formula1>
            <xm:f>Valores!$L$2:$L$13</xm:f>
          </x14:formula1>
          <xm:sqref>L27</xm:sqref>
        </x14:dataValidation>
        <x14:dataValidation type="list" allowBlank="1" showInputMessage="1" showErrorMessage="1" xr:uid="{2543FF6A-68F5-4344-9123-790740D52BC1}">
          <x14:formula1>
            <xm:f>Valores!$C$2:$C$7</xm:f>
          </x14:formula1>
          <xm:sqref>B9:D9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6A24-36BC-4C0F-99A8-2022A3FA8C49}">
  <dimension ref="A1:N26"/>
  <sheetViews>
    <sheetView zoomScale="55" zoomScaleNormal="55" workbookViewId="0">
      <pane ySplit="1" topLeftCell="A2" activePane="bottomLeft" state="frozen"/>
      <selection pane="bottomLeft" activeCell="B13" sqref="B13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Structs!I25</f>
        <v>BranchStatus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Structs!B25</f>
        <v>enum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Structs!C25</f>
        <v>Enumeración que define el estado de una sede: ACTIVE (activa) o INACTIVE (inactiva).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141" t="s">
        <v>82</v>
      </c>
      <c r="C9" s="141"/>
      <c r="D9" s="142"/>
      <c r="E9" s="53" t="str">
        <f>HYPERLINK("#'"&amp;F9&amp;"'!A1", F9)</f>
        <v>Branch</v>
      </c>
      <c r="F9" s="55" t="s">
        <v>12</v>
      </c>
    </row>
    <row r="10" spans="1:14">
      <c r="A10" s="124" t="s">
        <v>84</v>
      </c>
      <c r="B10" s="125"/>
      <c r="C10" s="125"/>
      <c r="D10" s="125"/>
      <c r="E10" s="126"/>
      <c r="F10" s="126"/>
      <c r="G10" s="125"/>
      <c r="H10" s="125"/>
      <c r="I10" s="125"/>
      <c r="J10" s="125"/>
      <c r="K10" s="125"/>
      <c r="L10" s="125"/>
      <c r="M10" s="125"/>
      <c r="N10" s="127"/>
    </row>
    <row r="11" spans="1:14">
      <c r="A11" s="128" t="s">
        <v>4</v>
      </c>
      <c r="B11" s="129" t="s">
        <v>85</v>
      </c>
      <c r="C11" s="129" t="s">
        <v>86</v>
      </c>
      <c r="D11" s="129"/>
      <c r="E11" s="129" t="s">
        <v>87</v>
      </c>
      <c r="F11" s="129" t="s">
        <v>88</v>
      </c>
      <c r="G11" s="130" t="s">
        <v>89</v>
      </c>
      <c r="H11" s="131"/>
      <c r="I11" s="132"/>
      <c r="J11" s="129" t="s">
        <v>90</v>
      </c>
      <c r="K11" s="129"/>
      <c r="L11" s="129"/>
      <c r="M11" s="129"/>
      <c r="N11" s="136"/>
    </row>
    <row r="12" spans="1:14">
      <c r="A12" s="128"/>
      <c r="B12" s="129"/>
      <c r="C12" s="10" t="s">
        <v>86</v>
      </c>
      <c r="D12" s="10" t="s">
        <v>91</v>
      </c>
      <c r="E12" s="129"/>
      <c r="F12" s="129"/>
      <c r="G12" s="133"/>
      <c r="H12" s="134"/>
      <c r="I12" s="135"/>
      <c r="J12" s="129"/>
      <c r="K12" s="129"/>
      <c r="L12" s="129"/>
      <c r="M12" s="129"/>
      <c r="N12" s="136"/>
    </row>
    <row r="13" spans="1:14">
      <c r="A13" s="6" t="s">
        <v>226</v>
      </c>
      <c r="B13" s="26" t="s">
        <v>363</v>
      </c>
      <c r="C13" s="24" t="s">
        <v>111</v>
      </c>
      <c r="D13" s="24" t="s">
        <v>57</v>
      </c>
      <c r="E13" s="24" t="s">
        <v>348</v>
      </c>
      <c r="F13" s="3" t="s">
        <v>349</v>
      </c>
      <c r="G13" s="114" t="s">
        <v>363</v>
      </c>
      <c r="H13" s="115"/>
      <c r="I13" s="116"/>
      <c r="J13" s="114" t="s">
        <v>364</v>
      </c>
      <c r="K13" s="115"/>
      <c r="L13" s="115"/>
      <c r="M13" s="115"/>
      <c r="N13" s="117"/>
    </row>
    <row r="14" spans="1:14">
      <c r="A14" s="6" t="s">
        <v>226</v>
      </c>
      <c r="B14" s="27" t="s">
        <v>365</v>
      </c>
      <c r="C14" s="25" t="s">
        <v>111</v>
      </c>
      <c r="D14" s="25" t="s">
        <v>57</v>
      </c>
      <c r="E14" s="25" t="s">
        <v>348</v>
      </c>
      <c r="F14" s="3" t="s">
        <v>349</v>
      </c>
      <c r="G14" s="114" t="s">
        <v>365</v>
      </c>
      <c r="H14" s="115"/>
      <c r="I14" s="116"/>
      <c r="J14" s="114" t="s">
        <v>366</v>
      </c>
      <c r="K14" s="115"/>
      <c r="L14" s="115"/>
      <c r="M14" s="115"/>
      <c r="N14" s="117"/>
    </row>
    <row r="15" spans="1:14">
      <c r="A15" s="118" t="s">
        <v>115</v>
      </c>
      <c r="B15" s="119"/>
      <c r="C15" s="119"/>
      <c r="D15" s="152"/>
      <c r="E15" s="152"/>
      <c r="F15" s="119"/>
      <c r="G15" s="119"/>
      <c r="H15" s="119"/>
      <c r="I15" s="119"/>
      <c r="J15" s="152"/>
      <c r="K15" s="152"/>
      <c r="L15" s="152"/>
      <c r="M15" s="152"/>
      <c r="N15" s="173"/>
    </row>
    <row r="16" spans="1:14">
      <c r="A16" s="121" t="s">
        <v>4</v>
      </c>
      <c r="B16" s="122" t="s">
        <v>85</v>
      </c>
      <c r="C16" s="122" t="s">
        <v>116</v>
      </c>
      <c r="D16" s="122" t="s">
        <v>117</v>
      </c>
      <c r="E16" s="122" t="s">
        <v>118</v>
      </c>
      <c r="F16" s="122"/>
      <c r="G16" s="122"/>
      <c r="H16" s="122"/>
      <c r="I16" s="122"/>
      <c r="J16" s="122"/>
      <c r="K16" s="122"/>
      <c r="L16" s="122"/>
      <c r="M16" s="122" t="s">
        <v>119</v>
      </c>
      <c r="N16" s="123"/>
    </row>
    <row r="17" spans="1:14">
      <c r="A17" s="121"/>
      <c r="B17" s="122"/>
      <c r="C17" s="122"/>
      <c r="D17" s="122"/>
      <c r="E17" s="11" t="s">
        <v>85</v>
      </c>
      <c r="F17" s="11" t="s">
        <v>86</v>
      </c>
      <c r="G17" s="11" t="s">
        <v>91</v>
      </c>
      <c r="H17" s="11" t="s">
        <v>120</v>
      </c>
      <c r="I17" s="11" t="s">
        <v>87</v>
      </c>
      <c r="J17" s="122" t="s">
        <v>117</v>
      </c>
      <c r="K17" s="122"/>
      <c r="L17" s="122"/>
      <c r="M17" s="122"/>
      <c r="N17" s="123"/>
    </row>
    <row r="18" spans="1:14">
      <c r="A18" s="6" t="s">
        <v>9</v>
      </c>
      <c r="B18" s="26" t="s">
        <v>9</v>
      </c>
      <c r="C18" s="28" t="s">
        <v>9</v>
      </c>
      <c r="D18" s="28" t="s">
        <v>355</v>
      </c>
      <c r="E18" s="3"/>
      <c r="F18" s="3"/>
      <c r="G18" s="3"/>
      <c r="H18" s="3"/>
      <c r="I18" s="3"/>
      <c r="J18" s="106"/>
      <c r="K18" s="107"/>
      <c r="L18" s="108"/>
      <c r="M18" s="106"/>
      <c r="N18" s="109"/>
    </row>
    <row r="19" spans="1:14">
      <c r="A19" s="110" t="s">
        <v>126</v>
      </c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2"/>
    </row>
    <row r="20" spans="1:14">
      <c r="A20" s="113" t="s">
        <v>4</v>
      </c>
      <c r="B20" s="100" t="s">
        <v>85</v>
      </c>
      <c r="C20" s="100" t="s">
        <v>127</v>
      </c>
      <c r="D20" s="100" t="s">
        <v>128</v>
      </c>
      <c r="E20" s="100" t="s">
        <v>117</v>
      </c>
      <c r="F20" s="100" t="s">
        <v>118</v>
      </c>
      <c r="G20" s="100"/>
      <c r="H20" s="100"/>
      <c r="I20" s="100"/>
      <c r="J20" s="100"/>
      <c r="K20" s="100"/>
      <c r="L20" s="100" t="s">
        <v>129</v>
      </c>
      <c r="M20" s="100"/>
      <c r="N20" s="101" t="s">
        <v>119</v>
      </c>
    </row>
    <row r="21" spans="1:14">
      <c r="A21" s="113"/>
      <c r="B21" s="100"/>
      <c r="C21" s="100"/>
      <c r="D21" s="100"/>
      <c r="E21" s="100"/>
      <c r="F21" s="12" t="s">
        <v>85</v>
      </c>
      <c r="G21" s="12" t="s">
        <v>86</v>
      </c>
      <c r="H21" s="12" t="s">
        <v>91</v>
      </c>
      <c r="I21" s="12" t="s">
        <v>120</v>
      </c>
      <c r="J21" s="12" t="s">
        <v>87</v>
      </c>
      <c r="K21" s="12" t="s">
        <v>117</v>
      </c>
      <c r="L21" s="12" t="s">
        <v>86</v>
      </c>
      <c r="M21" s="12" t="s">
        <v>91</v>
      </c>
      <c r="N21" s="101"/>
    </row>
    <row r="22" spans="1:14">
      <c r="A22" s="6" t="s">
        <v>9</v>
      </c>
      <c r="B22" s="24" t="s">
        <v>9</v>
      </c>
      <c r="C22" s="28" t="s">
        <v>9</v>
      </c>
      <c r="D22" s="28" t="s">
        <v>9</v>
      </c>
      <c r="E22" s="3"/>
      <c r="F22" s="3"/>
      <c r="G22" s="3"/>
      <c r="H22" s="3"/>
      <c r="I22" s="3"/>
      <c r="J22" s="3"/>
      <c r="K22" s="3"/>
      <c r="L22" s="3"/>
      <c r="M22" s="3"/>
      <c r="N22" s="7"/>
    </row>
    <row r="23" spans="1:14">
      <c r="A23" s="102" t="s">
        <v>131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4"/>
    </row>
    <row r="24" spans="1:14">
      <c r="A24" s="105" t="s">
        <v>4</v>
      </c>
      <c r="B24" s="98" t="s">
        <v>85</v>
      </c>
      <c r="C24" s="98" t="s">
        <v>132</v>
      </c>
      <c r="D24" s="98" t="s">
        <v>128</v>
      </c>
      <c r="E24" s="98" t="s">
        <v>117</v>
      </c>
      <c r="F24" s="98" t="s">
        <v>118</v>
      </c>
      <c r="G24" s="98"/>
      <c r="H24" s="98"/>
      <c r="I24" s="98"/>
      <c r="J24" s="98"/>
      <c r="K24" s="98"/>
      <c r="L24" s="98" t="s">
        <v>129</v>
      </c>
      <c r="M24" s="98"/>
      <c r="N24" s="99" t="s">
        <v>119</v>
      </c>
    </row>
    <row r="25" spans="1:14">
      <c r="A25" s="176"/>
      <c r="B25" s="177"/>
      <c r="C25" s="177"/>
      <c r="D25" s="177"/>
      <c r="E25" s="177"/>
      <c r="F25" s="88" t="s">
        <v>85</v>
      </c>
      <c r="G25" s="88" t="s">
        <v>86</v>
      </c>
      <c r="H25" s="88" t="s">
        <v>91</v>
      </c>
      <c r="I25" s="88" t="s">
        <v>120</v>
      </c>
      <c r="J25" s="88" t="s">
        <v>87</v>
      </c>
      <c r="K25" s="88" t="s">
        <v>117</v>
      </c>
      <c r="L25" s="88" t="s">
        <v>86</v>
      </c>
      <c r="M25" s="88" t="s">
        <v>91</v>
      </c>
      <c r="N25" s="178"/>
    </row>
    <row r="26" spans="1:14">
      <c r="A26" s="82" t="s">
        <v>9</v>
      </c>
      <c r="B26" s="89" t="s">
        <v>9</v>
      </c>
      <c r="C26" s="82" t="s">
        <v>9</v>
      </c>
      <c r="D26" s="82" t="s">
        <v>9</v>
      </c>
      <c r="E26" s="90" t="s">
        <v>9</v>
      </c>
      <c r="F26" s="82" t="s">
        <v>9</v>
      </c>
      <c r="G26" s="82" t="s">
        <v>9</v>
      </c>
      <c r="H26" s="82" t="s">
        <v>9</v>
      </c>
      <c r="I26" s="82" t="s">
        <v>9</v>
      </c>
      <c r="J26" s="82" t="s">
        <v>9</v>
      </c>
      <c r="K26" s="82" t="s">
        <v>9</v>
      </c>
      <c r="L26" s="82" t="s">
        <v>9</v>
      </c>
      <c r="M26" s="82" t="s">
        <v>9</v>
      </c>
      <c r="N26" s="82" t="s">
        <v>9</v>
      </c>
    </row>
  </sheetData>
  <mergeCells count="49"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G13:I13"/>
    <mergeCell ref="J13:N13"/>
    <mergeCell ref="G14:I14"/>
    <mergeCell ref="J14:N14"/>
    <mergeCell ref="A15:N15"/>
    <mergeCell ref="E20:E21"/>
    <mergeCell ref="M16:N17"/>
    <mergeCell ref="J17:L17"/>
    <mergeCell ref="J18:L18"/>
    <mergeCell ref="M18:N18"/>
    <mergeCell ref="A19:N19"/>
    <mergeCell ref="A16:A17"/>
    <mergeCell ref="B16:B17"/>
    <mergeCell ref="C16:C17"/>
    <mergeCell ref="D16:D17"/>
    <mergeCell ref="E16:L16"/>
    <mergeCell ref="L24:M24"/>
    <mergeCell ref="N24:N25"/>
    <mergeCell ref="F20:K20"/>
    <mergeCell ref="L20:M20"/>
    <mergeCell ref="N20:N21"/>
    <mergeCell ref="A23:N23"/>
    <mergeCell ref="A24:A25"/>
    <mergeCell ref="B24:B25"/>
    <mergeCell ref="C24:C25"/>
    <mergeCell ref="D24:D25"/>
    <mergeCell ref="E24:E25"/>
    <mergeCell ref="F24:K24"/>
    <mergeCell ref="A20:A21"/>
    <mergeCell ref="B20:B21"/>
    <mergeCell ref="C20:C21"/>
    <mergeCell ref="D20:D21"/>
  </mergeCells>
  <hyperlinks>
    <hyperlink ref="A1:E1" location="'Structs'!A1" display="&lt;-Volver al inicio" xr:uid="{4ED15D57-8A89-4814-8504-197D0D55CA7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A64C3CD-455C-4D0A-AC90-056F47AEFB2E}">
          <x14:formula1>
            <xm:f>Valores!$C$2:$C$7</xm:f>
          </x14:formula1>
          <xm:sqref>B9:D9</xm:sqref>
        </x14:dataValidation>
        <x14:dataValidation type="list" allowBlank="1" showInputMessage="1" showErrorMessage="1" xr:uid="{EA8F9FF2-2E01-4BCD-9D33-23D8C90A8380}">
          <x14:formula1>
            <xm:f>Valores!$L$2:$L$13</xm:f>
          </x14:formula1>
          <xm:sqref>L26</xm:sqref>
        </x14:dataValidation>
        <x14:dataValidation type="list" allowBlank="1" showInputMessage="1" showErrorMessage="1" xr:uid="{05C2C502-268C-4FD9-A619-2FEB8233CB05}">
          <x14:formula1>
            <xm:f>Valores!$J$2:$J$3</xm:f>
          </x14:formula1>
          <xm:sqref>H18 I22</xm:sqref>
        </x14:dataValidation>
        <x14:dataValidation type="list" allowBlank="1" showInputMessage="1" showErrorMessage="1" xr:uid="{E8B44D8B-AF78-49C9-B5D3-D4389A97C1B2}">
          <x14:formula1>
            <xm:f>Valores!$H$2:$H$3</xm:f>
          </x14:formula1>
          <xm:sqref>C26 F13:F14</xm:sqref>
        </x14:dataValidation>
        <x14:dataValidation type="list" allowBlank="1" showInputMessage="1" showErrorMessage="1" xr:uid="{68950ACF-DEE0-4DA4-96BE-DB9C5C7E6351}">
          <x14:formula1>
            <xm:f>Valores!$G$2:$G$12</xm:f>
          </x14:formula1>
          <xm:sqref>G26 F18 G22 L22 C13:C14</xm:sqref>
        </x14:dataValidation>
        <x14:dataValidation type="list" allowBlank="1" showInputMessage="1" showErrorMessage="1" xr:uid="{73998AFB-92AC-492E-AB76-CFEBA16EED9E}">
          <x14:formula1>
            <xm:f>Structs!$D$2</xm:f>
          </x14:formula1>
          <xm:sqref>A13:A14 B5:E5</xm:sqref>
        </x14:dataValidation>
        <x14:dataValidation type="list" allowBlank="1" showInputMessage="1" showErrorMessage="1" xr:uid="{CA99A9C2-66B5-463B-BF16-CFEA66819974}">
          <x14:formula1>
            <xm:f>Structs!$E$2</xm:f>
          </x14:formula1>
          <xm:sqref>B6:E6 I26:J26 I18 J22 D26</xm:sqref>
        </x14:dataValidation>
        <x14:dataValidation type="list" allowBlank="1" showInputMessage="1" showErrorMessage="1" xr:uid="{B5D89D6C-6C2E-43B4-97B3-471E9A7B3FCD}">
          <x14:formula1>
            <xm:f>Structs!$D$2:$E$2</xm:f>
          </x14:formula1>
          <xm:sqref>A18 A22 A26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58E3-7D21-4D99-87BF-53A718ECA961}">
  <dimension ref="A1:N28"/>
  <sheetViews>
    <sheetView zoomScale="55" zoomScaleNormal="55" workbookViewId="0">
      <pane ySplit="1" topLeftCell="A2" activePane="bottomLeft" state="frozen"/>
      <selection pane="bottomLeft" activeCell="I30" sqref="I30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Structs!I26</f>
        <v>DisplacementRange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Structs!B26</f>
        <v>enum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Structs!C26</f>
        <v>Enumeración que define los rangos de cilindraje del motor: RANGE_0_125, RANGE_126_250, RANGE_251_500, RANGE_501_PLUS.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141" t="s">
        <v>82</v>
      </c>
      <c r="C9" s="141"/>
      <c r="D9" s="142"/>
      <c r="E9" s="53" t="str">
        <f>HYPERLINK("#'"&amp;F9&amp;"'!A1", F9)</f>
        <v>Branch</v>
      </c>
      <c r="F9" s="55" t="s">
        <v>12</v>
      </c>
    </row>
    <row r="10" spans="1:14">
      <c r="A10" s="124" t="s">
        <v>84</v>
      </c>
      <c r="B10" s="125"/>
      <c r="C10" s="125"/>
      <c r="D10" s="125"/>
      <c r="E10" s="126"/>
      <c r="F10" s="126"/>
      <c r="G10" s="125"/>
      <c r="H10" s="125"/>
      <c r="I10" s="125"/>
      <c r="J10" s="125"/>
      <c r="K10" s="125"/>
      <c r="L10" s="125"/>
      <c r="M10" s="125"/>
      <c r="N10" s="127"/>
    </row>
    <row r="11" spans="1:14">
      <c r="A11" s="128" t="s">
        <v>4</v>
      </c>
      <c r="B11" s="129" t="s">
        <v>85</v>
      </c>
      <c r="C11" s="129" t="s">
        <v>86</v>
      </c>
      <c r="D11" s="129"/>
      <c r="E11" s="129" t="s">
        <v>87</v>
      </c>
      <c r="F11" s="129" t="s">
        <v>88</v>
      </c>
      <c r="G11" s="130" t="s">
        <v>89</v>
      </c>
      <c r="H11" s="131"/>
      <c r="I11" s="132"/>
      <c r="J11" s="129" t="s">
        <v>90</v>
      </c>
      <c r="K11" s="129"/>
      <c r="L11" s="129"/>
      <c r="M11" s="129"/>
      <c r="N11" s="136"/>
    </row>
    <row r="12" spans="1:14">
      <c r="A12" s="128"/>
      <c r="B12" s="129"/>
      <c r="C12" s="10" t="s">
        <v>86</v>
      </c>
      <c r="D12" s="10" t="s">
        <v>91</v>
      </c>
      <c r="E12" s="129"/>
      <c r="F12" s="129"/>
      <c r="G12" s="133"/>
      <c r="H12" s="134"/>
      <c r="I12" s="135"/>
      <c r="J12" s="129"/>
      <c r="K12" s="129"/>
      <c r="L12" s="129"/>
      <c r="M12" s="129"/>
      <c r="N12" s="136"/>
    </row>
    <row r="13" spans="1:14">
      <c r="A13" s="6" t="s">
        <v>226</v>
      </c>
      <c r="B13" s="26" t="s">
        <v>367</v>
      </c>
      <c r="C13" s="24" t="s">
        <v>111</v>
      </c>
      <c r="D13" s="24" t="s">
        <v>59</v>
      </c>
      <c r="E13" s="24" t="s">
        <v>348</v>
      </c>
      <c r="F13" s="3" t="s">
        <v>349</v>
      </c>
      <c r="G13" s="114" t="s">
        <v>367</v>
      </c>
      <c r="H13" s="115"/>
      <c r="I13" s="116"/>
      <c r="J13" s="114" t="s">
        <v>368</v>
      </c>
      <c r="K13" s="115"/>
      <c r="L13" s="115"/>
      <c r="M13" s="115"/>
      <c r="N13" s="117"/>
    </row>
    <row r="14" spans="1:14">
      <c r="A14" s="6" t="s">
        <v>226</v>
      </c>
      <c r="B14" s="27" t="s">
        <v>369</v>
      </c>
      <c r="C14" s="25" t="s">
        <v>111</v>
      </c>
      <c r="D14" s="25" t="s">
        <v>59</v>
      </c>
      <c r="E14" s="25" t="s">
        <v>348</v>
      </c>
      <c r="F14" s="3" t="s">
        <v>349</v>
      </c>
      <c r="G14" s="114" t="s">
        <v>369</v>
      </c>
      <c r="H14" s="115"/>
      <c r="I14" s="116"/>
      <c r="J14" s="114" t="s">
        <v>370</v>
      </c>
      <c r="K14" s="115"/>
      <c r="L14" s="115"/>
      <c r="M14" s="115"/>
      <c r="N14" s="117"/>
    </row>
    <row r="15" spans="1:14">
      <c r="A15" s="6" t="s">
        <v>226</v>
      </c>
      <c r="B15" s="27" t="s">
        <v>371</v>
      </c>
      <c r="C15" s="25" t="s">
        <v>111</v>
      </c>
      <c r="D15" s="25" t="s">
        <v>59</v>
      </c>
      <c r="E15" s="25" t="s">
        <v>348</v>
      </c>
      <c r="F15" s="3" t="s">
        <v>349</v>
      </c>
      <c r="G15" s="114" t="s">
        <v>371</v>
      </c>
      <c r="H15" s="115"/>
      <c r="I15" s="116"/>
      <c r="J15" s="114" t="s">
        <v>372</v>
      </c>
      <c r="K15" s="115"/>
      <c r="L15" s="115"/>
      <c r="M15" s="115"/>
      <c r="N15" s="117"/>
    </row>
    <row r="16" spans="1:14">
      <c r="A16" s="118" t="s">
        <v>115</v>
      </c>
      <c r="B16" s="119"/>
      <c r="C16" s="119"/>
      <c r="D16" s="152"/>
      <c r="E16" s="152"/>
      <c r="F16" s="119"/>
      <c r="G16" s="119"/>
      <c r="H16" s="119"/>
      <c r="I16" s="119"/>
      <c r="J16" s="152"/>
      <c r="K16" s="152"/>
      <c r="L16" s="152"/>
      <c r="M16" s="152"/>
      <c r="N16" s="173"/>
    </row>
    <row r="17" spans="1:14">
      <c r="A17" s="121" t="s">
        <v>4</v>
      </c>
      <c r="B17" s="122" t="s">
        <v>85</v>
      </c>
      <c r="C17" s="122" t="s">
        <v>116</v>
      </c>
      <c r="D17" s="122" t="s">
        <v>117</v>
      </c>
      <c r="E17" s="122" t="s">
        <v>118</v>
      </c>
      <c r="F17" s="122"/>
      <c r="G17" s="122"/>
      <c r="H17" s="122"/>
      <c r="I17" s="122"/>
      <c r="J17" s="122"/>
      <c r="K17" s="122"/>
      <c r="L17" s="122"/>
      <c r="M17" s="122" t="s">
        <v>119</v>
      </c>
      <c r="N17" s="123"/>
    </row>
    <row r="18" spans="1:14">
      <c r="A18" s="121"/>
      <c r="B18" s="122"/>
      <c r="C18" s="122"/>
      <c r="D18" s="122"/>
      <c r="E18" s="11" t="s">
        <v>85</v>
      </c>
      <c r="F18" s="11" t="s">
        <v>86</v>
      </c>
      <c r="G18" s="11" t="s">
        <v>91</v>
      </c>
      <c r="H18" s="11" t="s">
        <v>120</v>
      </c>
      <c r="I18" s="11" t="s">
        <v>87</v>
      </c>
      <c r="J18" s="122" t="s">
        <v>117</v>
      </c>
      <c r="K18" s="122"/>
      <c r="L18" s="122"/>
      <c r="M18" s="122"/>
      <c r="N18" s="123"/>
    </row>
    <row r="19" spans="1:14">
      <c r="A19" s="6" t="s">
        <v>9</v>
      </c>
      <c r="B19" s="26" t="s">
        <v>9</v>
      </c>
      <c r="C19" s="28" t="s">
        <v>9</v>
      </c>
      <c r="D19" s="28" t="s">
        <v>355</v>
      </c>
      <c r="E19" s="3"/>
      <c r="F19" s="3"/>
      <c r="G19" s="3"/>
      <c r="H19" s="3"/>
      <c r="I19" s="3"/>
      <c r="J19" s="106"/>
      <c r="K19" s="107"/>
      <c r="L19" s="108"/>
      <c r="M19" s="106"/>
      <c r="N19" s="109"/>
    </row>
    <row r="20" spans="1:14">
      <c r="A20" s="110" t="s">
        <v>126</v>
      </c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2"/>
    </row>
    <row r="21" spans="1:14">
      <c r="A21" s="113" t="s">
        <v>4</v>
      </c>
      <c r="B21" s="100" t="s">
        <v>85</v>
      </c>
      <c r="C21" s="100" t="s">
        <v>127</v>
      </c>
      <c r="D21" s="100" t="s">
        <v>128</v>
      </c>
      <c r="E21" s="100" t="s">
        <v>117</v>
      </c>
      <c r="F21" s="100" t="s">
        <v>118</v>
      </c>
      <c r="G21" s="100"/>
      <c r="H21" s="100"/>
      <c r="I21" s="100"/>
      <c r="J21" s="100"/>
      <c r="K21" s="100"/>
      <c r="L21" s="100" t="s">
        <v>129</v>
      </c>
      <c r="M21" s="100"/>
      <c r="N21" s="101" t="s">
        <v>119</v>
      </c>
    </row>
    <row r="22" spans="1:14">
      <c r="A22" s="113"/>
      <c r="B22" s="100"/>
      <c r="C22" s="100"/>
      <c r="D22" s="100"/>
      <c r="E22" s="100"/>
      <c r="F22" s="12" t="s">
        <v>85</v>
      </c>
      <c r="G22" s="12" t="s">
        <v>86</v>
      </c>
      <c r="H22" s="12" t="s">
        <v>91</v>
      </c>
      <c r="I22" s="12" t="s">
        <v>120</v>
      </c>
      <c r="J22" s="12" t="s">
        <v>87</v>
      </c>
      <c r="K22" s="12" t="s">
        <v>117</v>
      </c>
      <c r="L22" s="12" t="s">
        <v>86</v>
      </c>
      <c r="M22" s="12" t="s">
        <v>91</v>
      </c>
      <c r="N22" s="101"/>
    </row>
    <row r="23" spans="1:14">
      <c r="A23" s="6" t="s">
        <v>9</v>
      </c>
      <c r="B23" s="24" t="s">
        <v>9</v>
      </c>
      <c r="C23" s="28" t="s">
        <v>9</v>
      </c>
      <c r="D23" s="28" t="s">
        <v>9</v>
      </c>
      <c r="E23" s="3" t="s">
        <v>9</v>
      </c>
      <c r="F23" s="3"/>
      <c r="G23" s="3"/>
      <c r="H23" s="3"/>
      <c r="I23" s="3"/>
      <c r="J23" s="3"/>
      <c r="K23" s="3"/>
      <c r="L23" s="3"/>
      <c r="M23" s="3"/>
      <c r="N23" s="7"/>
    </row>
    <row r="24" spans="1:14">
      <c r="A24" s="102" t="s">
        <v>131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4"/>
    </row>
    <row r="25" spans="1:14">
      <c r="A25" s="105" t="s">
        <v>4</v>
      </c>
      <c r="B25" s="98" t="s">
        <v>85</v>
      </c>
      <c r="C25" s="98" t="s">
        <v>132</v>
      </c>
      <c r="D25" s="98" t="s">
        <v>128</v>
      </c>
      <c r="E25" s="98" t="s">
        <v>117</v>
      </c>
      <c r="F25" s="98" t="s">
        <v>118</v>
      </c>
      <c r="G25" s="98"/>
      <c r="H25" s="98"/>
      <c r="I25" s="98"/>
      <c r="J25" s="98"/>
      <c r="K25" s="98"/>
      <c r="L25" s="98" t="s">
        <v>129</v>
      </c>
      <c r="M25" s="98"/>
      <c r="N25" s="99" t="s">
        <v>119</v>
      </c>
    </row>
    <row r="26" spans="1:14">
      <c r="A26" s="176"/>
      <c r="B26" s="177"/>
      <c r="C26" s="177"/>
      <c r="D26" s="177"/>
      <c r="E26" s="177"/>
      <c r="F26" s="88" t="s">
        <v>85</v>
      </c>
      <c r="G26" s="88" t="s">
        <v>86</v>
      </c>
      <c r="H26" s="88" t="s">
        <v>91</v>
      </c>
      <c r="I26" s="88" t="s">
        <v>120</v>
      </c>
      <c r="J26" s="88" t="s">
        <v>87</v>
      </c>
      <c r="K26" s="88" t="s">
        <v>117</v>
      </c>
      <c r="L26" s="88" t="s">
        <v>86</v>
      </c>
      <c r="M26" s="88" t="s">
        <v>91</v>
      </c>
      <c r="N26" s="178"/>
    </row>
    <row r="27" spans="1:14" ht="25.5">
      <c r="A27" s="82" t="s">
        <v>226</v>
      </c>
      <c r="B27" s="89" t="s">
        <v>373</v>
      </c>
      <c r="C27" s="82" t="s">
        <v>94</v>
      </c>
      <c r="D27" s="82" t="s">
        <v>9</v>
      </c>
      <c r="E27" s="90" t="s">
        <v>374</v>
      </c>
      <c r="F27" s="82" t="s">
        <v>375</v>
      </c>
      <c r="G27" s="82" t="s">
        <v>111</v>
      </c>
      <c r="H27" s="82" t="s">
        <v>59</v>
      </c>
      <c r="I27" s="82" t="s">
        <v>362</v>
      </c>
      <c r="J27" s="82" t="s">
        <v>9</v>
      </c>
      <c r="K27" s="82"/>
      <c r="L27" s="82" t="s">
        <v>376</v>
      </c>
      <c r="M27" s="82"/>
      <c r="N27" s="82"/>
    </row>
    <row r="28" spans="1:14">
      <c r="A28" s="82" t="s">
        <v>226</v>
      </c>
      <c r="B28" s="82" t="s">
        <v>377</v>
      </c>
      <c r="C28" s="82" t="s">
        <v>94</v>
      </c>
      <c r="D28" s="82" t="s">
        <v>9</v>
      </c>
      <c r="E28" s="82" t="s">
        <v>378</v>
      </c>
      <c r="F28" s="82" t="s">
        <v>379</v>
      </c>
      <c r="G28" s="82" t="s">
        <v>111</v>
      </c>
      <c r="H28" s="82" t="s">
        <v>156</v>
      </c>
      <c r="I28" s="82" t="s">
        <v>380</v>
      </c>
      <c r="J28" s="82" t="s">
        <v>9</v>
      </c>
      <c r="K28" s="82"/>
      <c r="L28" s="82" t="s">
        <v>111</v>
      </c>
      <c r="M28" s="92"/>
      <c r="N28" s="93" t="s">
        <v>381</v>
      </c>
    </row>
  </sheetData>
  <mergeCells count="51">
    <mergeCell ref="A7:E7"/>
    <mergeCell ref="B8:D8"/>
    <mergeCell ref="B9:D9"/>
    <mergeCell ref="A10:N10"/>
    <mergeCell ref="A11:A12"/>
    <mergeCell ref="B11:B12"/>
    <mergeCell ref="C11:D11"/>
    <mergeCell ref="B6:E6"/>
    <mergeCell ref="A1:E1"/>
    <mergeCell ref="B2:E2"/>
    <mergeCell ref="B3:E3"/>
    <mergeCell ref="B4:E4"/>
    <mergeCell ref="B5:E5"/>
    <mergeCell ref="E11:E12"/>
    <mergeCell ref="F11:F12"/>
    <mergeCell ref="G11:I12"/>
    <mergeCell ref="J11:N12"/>
    <mergeCell ref="J14:N14"/>
    <mergeCell ref="G13:I13"/>
    <mergeCell ref="J13:N13"/>
    <mergeCell ref="G14:I14"/>
    <mergeCell ref="E21:E22"/>
    <mergeCell ref="G15:I15"/>
    <mergeCell ref="J15:N15"/>
    <mergeCell ref="J19:L19"/>
    <mergeCell ref="M19:N19"/>
    <mergeCell ref="A20:N20"/>
    <mergeCell ref="A16:N16"/>
    <mergeCell ref="A17:A18"/>
    <mergeCell ref="B17:B18"/>
    <mergeCell ref="C17:C18"/>
    <mergeCell ref="D17:D18"/>
    <mergeCell ref="E17:L17"/>
    <mergeCell ref="M17:N18"/>
    <mergeCell ref="J18:L18"/>
    <mergeCell ref="F21:K21"/>
    <mergeCell ref="L21:M21"/>
    <mergeCell ref="N21:N22"/>
    <mergeCell ref="A24:N24"/>
    <mergeCell ref="A25:A26"/>
    <mergeCell ref="B25:B26"/>
    <mergeCell ref="C25:C26"/>
    <mergeCell ref="D25:D26"/>
    <mergeCell ref="E25:E26"/>
    <mergeCell ref="F25:K25"/>
    <mergeCell ref="L25:M25"/>
    <mergeCell ref="N25:N26"/>
    <mergeCell ref="A21:A22"/>
    <mergeCell ref="B21:B22"/>
    <mergeCell ref="C21:C22"/>
    <mergeCell ref="D21:D22"/>
  </mergeCells>
  <hyperlinks>
    <hyperlink ref="A1:E1" location="'Structs'!A1" display="&lt;-Volver al inicio" xr:uid="{F4D61602-DF0A-49C7-8500-97EA091EC48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2C3C3C4-0F8B-404D-9840-920583CE7A9D}">
          <x14:formula1>
            <xm:f>Valores!$C$2:$C$7</xm:f>
          </x14:formula1>
          <xm:sqref>B9:D9</xm:sqref>
        </x14:dataValidation>
        <x14:dataValidation type="list" allowBlank="1" showInputMessage="1" showErrorMessage="1" xr:uid="{C20500E4-6C7E-46C2-8CA4-95BE4A246A7F}">
          <x14:formula1>
            <xm:f>Valores!$L$2:$L$13</xm:f>
          </x14:formula1>
          <xm:sqref>L27</xm:sqref>
        </x14:dataValidation>
        <x14:dataValidation type="list" allowBlank="1" showInputMessage="1" showErrorMessage="1" xr:uid="{54C05B5E-BA75-4BCB-B6AE-540E1CBE1E7B}">
          <x14:formula1>
            <xm:f>Valores!$J$2:$J$3</xm:f>
          </x14:formula1>
          <xm:sqref>H19 I23</xm:sqref>
        </x14:dataValidation>
        <x14:dataValidation type="list" allowBlank="1" showInputMessage="1" showErrorMessage="1" xr:uid="{097EF721-2C08-4C82-AD71-E5CF83A08D94}">
          <x14:formula1>
            <xm:f>Valores!$H$2:$H$3</xm:f>
          </x14:formula1>
          <xm:sqref>C27 F13:F15</xm:sqref>
        </x14:dataValidation>
        <x14:dataValidation type="list" allowBlank="1" showInputMessage="1" showErrorMessage="1" xr:uid="{4C3B5215-4436-4CE7-B7D4-E93E10B01BAB}">
          <x14:formula1>
            <xm:f>Valores!$G$2:$G$12</xm:f>
          </x14:formula1>
          <xm:sqref>G27 F19 G23 L23 C13:C15</xm:sqref>
        </x14:dataValidation>
        <x14:dataValidation type="list" allowBlank="1" showInputMessage="1" showErrorMessage="1" xr:uid="{A74EF5AD-2881-43D9-A901-21B744856025}">
          <x14:formula1>
            <xm:f>Structs!$D$2</xm:f>
          </x14:formula1>
          <xm:sqref>A13:A15 B5:E5</xm:sqref>
        </x14:dataValidation>
        <x14:dataValidation type="list" allowBlank="1" showInputMessage="1" showErrorMessage="1" xr:uid="{B54D3EAD-84C9-48CA-AE00-E55B2179AB0A}">
          <x14:formula1>
            <xm:f>Structs!$E$2</xm:f>
          </x14:formula1>
          <xm:sqref>B6:E6 I27:J27 I19 J23 D27</xm:sqref>
        </x14:dataValidation>
        <x14:dataValidation type="list" allowBlank="1" showInputMessage="1" showErrorMessage="1" xr:uid="{EC0CABD9-E938-4717-8A51-4CC1CEEAAAEA}">
          <x14:formula1>
            <xm:f>Structs!$D$2:$E$2</xm:f>
          </x14:formula1>
          <xm:sqref>A19 A23 A27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DD2A-1A14-40D4-840C-7BC0AD2B332B}">
  <dimension ref="A1:N27"/>
  <sheetViews>
    <sheetView zoomScale="55" zoomScaleNormal="55" workbookViewId="0">
      <pane ySplit="1" topLeftCell="A2" activePane="bottomLeft" state="frozen"/>
      <selection pane="bottomLeft" activeCell="N29" sqref="N29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Structs!I27</f>
        <v>Role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Structs!B27</f>
        <v>enum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Structs!C27</f>
        <v>Enumeración que define los roles de usuario en el sistema: USER (usuario final), REPRESENTATIVE (representante de sede) y ADMIN (administrador).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141" t="s">
        <v>82</v>
      </c>
      <c r="C9" s="141"/>
      <c r="D9" s="142"/>
      <c r="E9" s="53" t="str">
        <f>HYPERLINK("#'"&amp;F9&amp;"'!A1", F9)</f>
        <v>Person</v>
      </c>
      <c r="F9" s="55" t="s">
        <v>10</v>
      </c>
    </row>
    <row r="10" spans="1:14">
      <c r="A10" s="124" t="s">
        <v>84</v>
      </c>
      <c r="B10" s="125"/>
      <c r="C10" s="125"/>
      <c r="D10" s="125"/>
      <c r="E10" s="126"/>
      <c r="F10" s="126"/>
      <c r="G10" s="125"/>
      <c r="H10" s="125"/>
      <c r="I10" s="125"/>
      <c r="J10" s="125"/>
      <c r="K10" s="125"/>
      <c r="L10" s="125"/>
      <c r="M10" s="125"/>
      <c r="N10" s="127"/>
    </row>
    <row r="11" spans="1:14">
      <c r="A11" s="128" t="s">
        <v>4</v>
      </c>
      <c r="B11" s="129" t="s">
        <v>85</v>
      </c>
      <c r="C11" s="129" t="s">
        <v>86</v>
      </c>
      <c r="D11" s="129"/>
      <c r="E11" s="129" t="s">
        <v>87</v>
      </c>
      <c r="F11" s="129" t="s">
        <v>88</v>
      </c>
      <c r="G11" s="130" t="s">
        <v>89</v>
      </c>
      <c r="H11" s="131"/>
      <c r="I11" s="132"/>
      <c r="J11" s="129" t="s">
        <v>90</v>
      </c>
      <c r="K11" s="129"/>
      <c r="L11" s="129"/>
      <c r="M11" s="129"/>
      <c r="N11" s="136"/>
    </row>
    <row r="12" spans="1:14">
      <c r="A12" s="128"/>
      <c r="B12" s="129"/>
      <c r="C12" s="10" t="s">
        <v>86</v>
      </c>
      <c r="D12" s="10" t="s">
        <v>91</v>
      </c>
      <c r="E12" s="129"/>
      <c r="F12" s="129"/>
      <c r="G12" s="133"/>
      <c r="H12" s="134"/>
      <c r="I12" s="135"/>
      <c r="J12" s="129"/>
      <c r="K12" s="129"/>
      <c r="L12" s="129"/>
      <c r="M12" s="129"/>
      <c r="N12" s="136"/>
    </row>
    <row r="13" spans="1:14">
      <c r="A13" s="6" t="s">
        <v>226</v>
      </c>
      <c r="B13" s="26" t="s">
        <v>382</v>
      </c>
      <c r="C13" s="24" t="s">
        <v>111</v>
      </c>
      <c r="D13" s="24" t="s">
        <v>61</v>
      </c>
      <c r="E13" s="24" t="s">
        <v>348</v>
      </c>
      <c r="F13" s="3" t="s">
        <v>349</v>
      </c>
      <c r="G13" s="114" t="s">
        <v>382</v>
      </c>
      <c r="H13" s="115"/>
      <c r="I13" s="116"/>
      <c r="J13" s="114" t="s">
        <v>383</v>
      </c>
      <c r="K13" s="115"/>
      <c r="L13" s="115"/>
      <c r="M13" s="115"/>
      <c r="N13" s="117"/>
    </row>
    <row r="14" spans="1:14">
      <c r="A14" s="6" t="s">
        <v>226</v>
      </c>
      <c r="B14" s="27" t="s">
        <v>384</v>
      </c>
      <c r="C14" s="25" t="s">
        <v>111</v>
      </c>
      <c r="D14" s="25" t="s">
        <v>61</v>
      </c>
      <c r="E14" s="25" t="s">
        <v>348</v>
      </c>
      <c r="F14" s="3" t="s">
        <v>349</v>
      </c>
      <c r="G14" s="114" t="s">
        <v>384</v>
      </c>
      <c r="H14" s="115"/>
      <c r="I14" s="116"/>
      <c r="J14" s="114" t="s">
        <v>385</v>
      </c>
      <c r="K14" s="115"/>
      <c r="L14" s="115"/>
      <c r="M14" s="115"/>
      <c r="N14" s="117"/>
    </row>
    <row r="15" spans="1:14">
      <c r="A15" s="6" t="s">
        <v>226</v>
      </c>
      <c r="B15" s="27" t="s">
        <v>386</v>
      </c>
      <c r="C15" s="25" t="s">
        <v>111</v>
      </c>
      <c r="D15" s="25" t="s">
        <v>61</v>
      </c>
      <c r="E15" s="25" t="s">
        <v>348</v>
      </c>
      <c r="F15" s="3" t="s">
        <v>349</v>
      </c>
      <c r="G15" s="114" t="s">
        <v>386</v>
      </c>
      <c r="H15" s="115"/>
      <c r="I15" s="116"/>
      <c r="J15" s="114" t="s">
        <v>387</v>
      </c>
      <c r="K15" s="115"/>
      <c r="L15" s="115"/>
      <c r="M15" s="115"/>
      <c r="N15" s="117"/>
    </row>
    <row r="16" spans="1:14">
      <c r="A16" s="118" t="s">
        <v>115</v>
      </c>
      <c r="B16" s="119"/>
      <c r="C16" s="119"/>
      <c r="D16" s="152"/>
      <c r="E16" s="152"/>
      <c r="F16" s="119"/>
      <c r="G16" s="119"/>
      <c r="H16" s="119"/>
      <c r="I16" s="119"/>
      <c r="J16" s="152"/>
      <c r="K16" s="152"/>
      <c r="L16" s="152"/>
      <c r="M16" s="152"/>
      <c r="N16" s="173"/>
    </row>
    <row r="17" spans="1:14">
      <c r="A17" s="121" t="s">
        <v>4</v>
      </c>
      <c r="B17" s="122" t="s">
        <v>85</v>
      </c>
      <c r="C17" s="122" t="s">
        <v>116</v>
      </c>
      <c r="D17" s="122" t="s">
        <v>117</v>
      </c>
      <c r="E17" s="122" t="s">
        <v>118</v>
      </c>
      <c r="F17" s="122"/>
      <c r="G17" s="122"/>
      <c r="H17" s="122"/>
      <c r="I17" s="122"/>
      <c r="J17" s="122"/>
      <c r="K17" s="122"/>
      <c r="L17" s="122"/>
      <c r="M17" s="122" t="s">
        <v>119</v>
      </c>
      <c r="N17" s="123"/>
    </row>
    <row r="18" spans="1:14">
      <c r="A18" s="121"/>
      <c r="B18" s="122"/>
      <c r="C18" s="122"/>
      <c r="D18" s="122"/>
      <c r="E18" s="11" t="s">
        <v>85</v>
      </c>
      <c r="F18" s="11" t="s">
        <v>86</v>
      </c>
      <c r="G18" s="11" t="s">
        <v>91</v>
      </c>
      <c r="H18" s="11" t="s">
        <v>120</v>
      </c>
      <c r="I18" s="11" t="s">
        <v>87</v>
      </c>
      <c r="J18" s="122" t="s">
        <v>117</v>
      </c>
      <c r="K18" s="122"/>
      <c r="L18" s="122"/>
      <c r="M18" s="122"/>
      <c r="N18" s="123"/>
    </row>
    <row r="19" spans="1:14">
      <c r="A19" s="6" t="s">
        <v>9</v>
      </c>
      <c r="B19" s="26" t="s">
        <v>9</v>
      </c>
      <c r="C19" s="28" t="s">
        <v>9</v>
      </c>
      <c r="D19" s="28" t="s">
        <v>355</v>
      </c>
      <c r="E19" s="3"/>
      <c r="F19" s="3"/>
      <c r="G19" s="3"/>
      <c r="H19" s="3"/>
      <c r="I19" s="3"/>
      <c r="J19" s="106"/>
      <c r="K19" s="107"/>
      <c r="L19" s="108"/>
      <c r="M19" s="106"/>
      <c r="N19" s="109"/>
    </row>
    <row r="20" spans="1:14">
      <c r="A20" s="110" t="s">
        <v>126</v>
      </c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2"/>
    </row>
    <row r="21" spans="1:14">
      <c r="A21" s="113" t="s">
        <v>4</v>
      </c>
      <c r="B21" s="100" t="s">
        <v>85</v>
      </c>
      <c r="C21" s="100" t="s">
        <v>127</v>
      </c>
      <c r="D21" s="100" t="s">
        <v>128</v>
      </c>
      <c r="E21" s="100" t="s">
        <v>117</v>
      </c>
      <c r="F21" s="100" t="s">
        <v>118</v>
      </c>
      <c r="G21" s="100"/>
      <c r="H21" s="100"/>
      <c r="I21" s="100"/>
      <c r="J21" s="100"/>
      <c r="K21" s="100"/>
      <c r="L21" s="100" t="s">
        <v>129</v>
      </c>
      <c r="M21" s="100"/>
      <c r="N21" s="101" t="s">
        <v>119</v>
      </c>
    </row>
    <row r="22" spans="1:14">
      <c r="A22" s="113"/>
      <c r="B22" s="100"/>
      <c r="C22" s="100"/>
      <c r="D22" s="100"/>
      <c r="E22" s="100"/>
      <c r="F22" s="12" t="s">
        <v>85</v>
      </c>
      <c r="G22" s="12" t="s">
        <v>86</v>
      </c>
      <c r="H22" s="12" t="s">
        <v>91</v>
      </c>
      <c r="I22" s="12" t="s">
        <v>120</v>
      </c>
      <c r="J22" s="12" t="s">
        <v>87</v>
      </c>
      <c r="K22" s="12" t="s">
        <v>117</v>
      </c>
      <c r="L22" s="12" t="s">
        <v>86</v>
      </c>
      <c r="M22" s="12" t="s">
        <v>91</v>
      </c>
      <c r="N22" s="101"/>
    </row>
    <row r="23" spans="1:14">
      <c r="A23" s="6" t="s">
        <v>9</v>
      </c>
      <c r="B23" s="24" t="s">
        <v>9</v>
      </c>
      <c r="C23" s="28" t="s">
        <v>9</v>
      </c>
      <c r="D23" s="28" t="s">
        <v>9</v>
      </c>
      <c r="E23" s="3" t="s">
        <v>9</v>
      </c>
      <c r="F23" s="3"/>
      <c r="G23" s="3"/>
      <c r="H23" s="3"/>
      <c r="I23" s="3"/>
      <c r="J23" s="3"/>
      <c r="K23" s="3"/>
      <c r="L23" s="3"/>
      <c r="M23" s="3"/>
      <c r="N23" s="7"/>
    </row>
    <row r="24" spans="1:14">
      <c r="A24" s="102" t="s">
        <v>131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4"/>
    </row>
    <row r="25" spans="1:14">
      <c r="A25" s="105" t="s">
        <v>4</v>
      </c>
      <c r="B25" s="98" t="s">
        <v>85</v>
      </c>
      <c r="C25" s="98" t="s">
        <v>132</v>
      </c>
      <c r="D25" s="98" t="s">
        <v>128</v>
      </c>
      <c r="E25" s="98" t="s">
        <v>117</v>
      </c>
      <c r="F25" s="98" t="s">
        <v>118</v>
      </c>
      <c r="G25" s="98"/>
      <c r="H25" s="98"/>
      <c r="I25" s="98"/>
      <c r="J25" s="98"/>
      <c r="K25" s="98"/>
      <c r="L25" s="98" t="s">
        <v>129</v>
      </c>
      <c r="M25" s="98"/>
      <c r="N25" s="99" t="s">
        <v>119</v>
      </c>
    </row>
    <row r="26" spans="1:14">
      <c r="A26" s="176"/>
      <c r="B26" s="177"/>
      <c r="C26" s="177"/>
      <c r="D26" s="177"/>
      <c r="E26" s="177"/>
      <c r="F26" s="88" t="s">
        <v>85</v>
      </c>
      <c r="G26" s="88" t="s">
        <v>86</v>
      </c>
      <c r="H26" s="88" t="s">
        <v>91</v>
      </c>
      <c r="I26" s="88" t="s">
        <v>120</v>
      </c>
      <c r="J26" s="88" t="s">
        <v>87</v>
      </c>
      <c r="K26" s="88" t="s">
        <v>117</v>
      </c>
      <c r="L26" s="88" t="s">
        <v>86</v>
      </c>
      <c r="M26" s="88" t="s">
        <v>91</v>
      </c>
      <c r="N26" s="178"/>
    </row>
    <row r="27" spans="1:14">
      <c r="A27" s="82" t="s">
        <v>9</v>
      </c>
      <c r="B27" s="89" t="s">
        <v>9</v>
      </c>
      <c r="C27" s="82" t="s">
        <v>9</v>
      </c>
      <c r="D27" s="82" t="s">
        <v>9</v>
      </c>
      <c r="E27" s="90" t="s">
        <v>9</v>
      </c>
      <c r="F27" s="82" t="s">
        <v>9</v>
      </c>
      <c r="G27" s="82" t="s">
        <v>9</v>
      </c>
      <c r="H27" s="82" t="s">
        <v>9</v>
      </c>
      <c r="I27" s="82" t="s">
        <v>9</v>
      </c>
      <c r="J27" s="82" t="s">
        <v>9</v>
      </c>
      <c r="K27" s="82" t="s">
        <v>9</v>
      </c>
      <c r="L27" s="82" t="s">
        <v>9</v>
      </c>
      <c r="M27" s="82" t="s">
        <v>9</v>
      </c>
      <c r="N27" s="82" t="s">
        <v>9</v>
      </c>
    </row>
  </sheetData>
  <mergeCells count="51">
    <mergeCell ref="F21:K21"/>
    <mergeCell ref="L21:M21"/>
    <mergeCell ref="N21:N22"/>
    <mergeCell ref="A24:N24"/>
    <mergeCell ref="A25:A26"/>
    <mergeCell ref="B25:B26"/>
    <mergeCell ref="C25:C26"/>
    <mergeCell ref="D25:D26"/>
    <mergeCell ref="E25:E26"/>
    <mergeCell ref="F25:K25"/>
    <mergeCell ref="L25:M25"/>
    <mergeCell ref="N25:N26"/>
    <mergeCell ref="A21:A22"/>
    <mergeCell ref="B21:B22"/>
    <mergeCell ref="C21:C22"/>
    <mergeCell ref="D21:D22"/>
    <mergeCell ref="E21:E22"/>
    <mergeCell ref="G15:I15"/>
    <mergeCell ref="J15:N15"/>
    <mergeCell ref="J19:L19"/>
    <mergeCell ref="M19:N19"/>
    <mergeCell ref="A20:N20"/>
    <mergeCell ref="A16:N16"/>
    <mergeCell ref="A17:A18"/>
    <mergeCell ref="B17:B18"/>
    <mergeCell ref="C17:C18"/>
    <mergeCell ref="D17:D18"/>
    <mergeCell ref="E17:L17"/>
    <mergeCell ref="M17:N18"/>
    <mergeCell ref="J18:L18"/>
    <mergeCell ref="E11:E12"/>
    <mergeCell ref="F11:F12"/>
    <mergeCell ref="G11:I12"/>
    <mergeCell ref="J11:N12"/>
    <mergeCell ref="J14:N14"/>
    <mergeCell ref="G13:I13"/>
    <mergeCell ref="J13:N13"/>
    <mergeCell ref="G14:I14"/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</mergeCells>
  <hyperlinks>
    <hyperlink ref="A1:E1" location="'Structs'!A1" display="&lt;-Volver al inicio" xr:uid="{2ED51D0A-903F-472F-AEDA-1F1887B874D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D52F053-D103-4DCC-A84A-275FA07D9CE9}">
          <x14:formula1>
            <xm:f>Structs!$D$2:$E$2</xm:f>
          </x14:formula1>
          <xm:sqref>A19 A23 A27</xm:sqref>
        </x14:dataValidation>
        <x14:dataValidation type="list" allowBlank="1" showInputMessage="1" showErrorMessage="1" xr:uid="{0737341B-E120-4C64-A395-266240481C90}">
          <x14:formula1>
            <xm:f>Structs!$E$2</xm:f>
          </x14:formula1>
          <xm:sqref>B6:E6 I27:J27 I19 J23 D27</xm:sqref>
        </x14:dataValidation>
        <x14:dataValidation type="list" allowBlank="1" showInputMessage="1" showErrorMessage="1" xr:uid="{04EC9632-F855-4D9F-B5D4-3EC932EFA2EF}">
          <x14:formula1>
            <xm:f>Structs!$D$2</xm:f>
          </x14:formula1>
          <xm:sqref>A13:A15 B5:E5</xm:sqref>
        </x14:dataValidation>
        <x14:dataValidation type="list" allowBlank="1" showInputMessage="1" showErrorMessage="1" xr:uid="{3F95912B-FC91-481B-88EF-87755D5A0493}">
          <x14:formula1>
            <xm:f>Valores!$G$2:$G$12</xm:f>
          </x14:formula1>
          <xm:sqref>G27 F19 G23 L23 C13:C15</xm:sqref>
        </x14:dataValidation>
        <x14:dataValidation type="list" allowBlank="1" showInputMessage="1" showErrorMessage="1" xr:uid="{B022A8C0-1EDE-47A4-AB11-9232925294DC}">
          <x14:formula1>
            <xm:f>Valores!$H$2:$H$3</xm:f>
          </x14:formula1>
          <xm:sqref>C27 F13:F15</xm:sqref>
        </x14:dataValidation>
        <x14:dataValidation type="list" allowBlank="1" showInputMessage="1" showErrorMessage="1" xr:uid="{77A7226D-2097-4D90-9666-DDB047148344}">
          <x14:formula1>
            <xm:f>Valores!$J$2:$J$3</xm:f>
          </x14:formula1>
          <xm:sqref>H19 I23</xm:sqref>
        </x14:dataValidation>
        <x14:dataValidation type="list" allowBlank="1" showInputMessage="1" showErrorMessage="1" xr:uid="{54BCB01F-B6F5-4BC7-99B0-67167D1506A4}">
          <x14:formula1>
            <xm:f>Valores!$L$2:$L$13</xm:f>
          </x14:formula1>
          <xm:sqref>L27</xm:sqref>
        </x14:dataValidation>
        <x14:dataValidation type="list" allowBlank="1" showInputMessage="1" showErrorMessage="1" xr:uid="{C50E2993-BF52-42F7-ACDB-7AC11B891594}">
          <x14:formula1>
            <xm:f>Valores!$C$2:$C$7</xm:f>
          </x14:formula1>
          <xm:sqref>B9:D9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6618-9AD5-4E9A-86F2-0347008E2F17}">
  <dimension ref="A1:N31"/>
  <sheetViews>
    <sheetView zoomScale="55" zoomScaleNormal="55" workbookViewId="0">
      <pane ySplit="1" topLeftCell="A12" activePane="bottomLeft" state="frozen"/>
      <selection pane="bottomLeft" activeCell="M35" sqref="M35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Structs!I28</f>
        <v>ServiceStatus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Structs!B28</f>
        <v>enum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Structs!C28</f>
        <v>Enumeración que define los estados del ciclo de vida de un servicio: SOLICITADO, EN_PROCESO, FINALIZADO, CANCELADO.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141" t="s">
        <v>82</v>
      </c>
      <c r="C9" s="141"/>
      <c r="D9" s="142"/>
      <c r="E9" s="53" t="str">
        <f>HYPERLINK("#'"&amp;F9&amp;"'!A1", F9)</f>
        <v>CompletedService</v>
      </c>
      <c r="F9" s="24" t="s">
        <v>36</v>
      </c>
    </row>
    <row r="10" spans="1:14">
      <c r="A10" s="25" t="s">
        <v>83</v>
      </c>
      <c r="B10" s="141" t="s">
        <v>82</v>
      </c>
      <c r="C10" s="141"/>
      <c r="D10" s="142"/>
      <c r="E10" s="53" t="str">
        <f>HYPERLINK("#'"&amp;F10&amp;"'!A1", F10)</f>
        <v>ServiceStatusHistory</v>
      </c>
      <c r="F10" s="25" t="s">
        <v>40</v>
      </c>
    </row>
    <row r="11" spans="1:14">
      <c r="A11" s="124" t="s">
        <v>84</v>
      </c>
      <c r="B11" s="125"/>
      <c r="C11" s="125"/>
      <c r="D11" s="125"/>
      <c r="E11" s="126"/>
      <c r="F11" s="126"/>
      <c r="G11" s="125"/>
      <c r="H11" s="125"/>
      <c r="I11" s="125"/>
      <c r="J11" s="125"/>
      <c r="K11" s="125"/>
      <c r="L11" s="125"/>
      <c r="M11" s="125"/>
      <c r="N11" s="127"/>
    </row>
    <row r="12" spans="1:14">
      <c r="A12" s="128" t="s">
        <v>4</v>
      </c>
      <c r="B12" s="129" t="s">
        <v>85</v>
      </c>
      <c r="C12" s="129" t="s">
        <v>86</v>
      </c>
      <c r="D12" s="129"/>
      <c r="E12" s="129" t="s">
        <v>87</v>
      </c>
      <c r="F12" s="129" t="s">
        <v>88</v>
      </c>
      <c r="G12" s="130" t="s">
        <v>89</v>
      </c>
      <c r="H12" s="131"/>
      <c r="I12" s="132"/>
      <c r="J12" s="129" t="s">
        <v>90</v>
      </c>
      <c r="K12" s="129"/>
      <c r="L12" s="129"/>
      <c r="M12" s="129"/>
      <c r="N12" s="136"/>
    </row>
    <row r="13" spans="1:14">
      <c r="A13" s="128"/>
      <c r="B13" s="129"/>
      <c r="C13" s="10" t="s">
        <v>86</v>
      </c>
      <c r="D13" s="10" t="s">
        <v>91</v>
      </c>
      <c r="E13" s="129"/>
      <c r="F13" s="129"/>
      <c r="G13" s="133"/>
      <c r="H13" s="134"/>
      <c r="I13" s="135"/>
      <c r="J13" s="129"/>
      <c r="K13" s="129"/>
      <c r="L13" s="129"/>
      <c r="M13" s="129"/>
      <c r="N13" s="136"/>
    </row>
    <row r="14" spans="1:14">
      <c r="A14" s="6" t="s">
        <v>226</v>
      </c>
      <c r="B14" s="26" t="s">
        <v>388</v>
      </c>
      <c r="C14" s="24" t="s">
        <v>111</v>
      </c>
      <c r="D14" s="24" t="s">
        <v>63</v>
      </c>
      <c r="E14" s="24" t="s">
        <v>348</v>
      </c>
      <c r="F14" s="3" t="s">
        <v>349</v>
      </c>
      <c r="G14" s="114" t="s">
        <v>388</v>
      </c>
      <c r="H14" s="115"/>
      <c r="I14" s="116"/>
      <c r="J14" s="114" t="s">
        <v>389</v>
      </c>
      <c r="K14" s="115"/>
      <c r="L14" s="115"/>
      <c r="M14" s="115"/>
      <c r="N14" s="117"/>
    </row>
    <row r="15" spans="1:14">
      <c r="A15" s="6" t="s">
        <v>226</v>
      </c>
      <c r="B15" s="27" t="s">
        <v>390</v>
      </c>
      <c r="C15" s="25" t="s">
        <v>111</v>
      </c>
      <c r="D15" s="25" t="s">
        <v>63</v>
      </c>
      <c r="E15" s="25" t="s">
        <v>348</v>
      </c>
      <c r="F15" s="3" t="s">
        <v>349</v>
      </c>
      <c r="G15" s="114" t="s">
        <v>390</v>
      </c>
      <c r="H15" s="115"/>
      <c r="I15" s="116"/>
      <c r="J15" s="114" t="s">
        <v>391</v>
      </c>
      <c r="K15" s="115"/>
      <c r="L15" s="115"/>
      <c r="M15" s="115"/>
      <c r="N15" s="117"/>
    </row>
    <row r="16" spans="1:14">
      <c r="A16" s="6" t="s">
        <v>226</v>
      </c>
      <c r="B16" s="27" t="s">
        <v>392</v>
      </c>
      <c r="C16" s="25" t="s">
        <v>111</v>
      </c>
      <c r="D16" s="25" t="s">
        <v>63</v>
      </c>
      <c r="E16" s="25" t="s">
        <v>348</v>
      </c>
      <c r="F16" s="3" t="s">
        <v>349</v>
      </c>
      <c r="G16" s="114" t="s">
        <v>392</v>
      </c>
      <c r="H16" s="115"/>
      <c r="I16" s="116"/>
      <c r="J16" s="114" t="s">
        <v>393</v>
      </c>
      <c r="K16" s="115"/>
      <c r="L16" s="115"/>
      <c r="M16" s="115"/>
      <c r="N16" s="117"/>
    </row>
    <row r="17" spans="1:14">
      <c r="A17" s="29" t="s">
        <v>8</v>
      </c>
      <c r="B17" s="27" t="s">
        <v>394</v>
      </c>
      <c r="C17" s="64" t="s">
        <v>111</v>
      </c>
      <c r="D17" s="25" t="s">
        <v>63</v>
      </c>
      <c r="E17" s="64" t="s">
        <v>348</v>
      </c>
      <c r="F17" s="95" t="s">
        <v>349</v>
      </c>
      <c r="G17" s="33" t="s">
        <v>394</v>
      </c>
      <c r="H17" s="33"/>
      <c r="I17" s="33"/>
      <c r="J17" s="91" t="s">
        <v>395</v>
      </c>
      <c r="K17" s="91"/>
      <c r="L17" s="91"/>
      <c r="M17" s="91"/>
      <c r="N17" s="94"/>
    </row>
    <row r="18" spans="1:14">
      <c r="A18" s="118" t="s">
        <v>115</v>
      </c>
      <c r="B18" s="119"/>
      <c r="C18" s="119"/>
      <c r="D18" s="152"/>
      <c r="E18" s="152"/>
      <c r="F18" s="119"/>
      <c r="G18" s="119"/>
      <c r="H18" s="119"/>
      <c r="I18" s="119"/>
      <c r="J18" s="152"/>
      <c r="K18" s="152"/>
      <c r="L18" s="152"/>
      <c r="M18" s="152"/>
      <c r="N18" s="173"/>
    </row>
    <row r="19" spans="1:14">
      <c r="A19" s="121" t="s">
        <v>4</v>
      </c>
      <c r="B19" s="122" t="s">
        <v>85</v>
      </c>
      <c r="C19" s="122" t="s">
        <v>116</v>
      </c>
      <c r="D19" s="122" t="s">
        <v>117</v>
      </c>
      <c r="E19" s="122" t="s">
        <v>118</v>
      </c>
      <c r="F19" s="122"/>
      <c r="G19" s="122"/>
      <c r="H19" s="122"/>
      <c r="I19" s="122"/>
      <c r="J19" s="122"/>
      <c r="K19" s="122"/>
      <c r="L19" s="122"/>
      <c r="M19" s="122" t="s">
        <v>119</v>
      </c>
      <c r="N19" s="123"/>
    </row>
    <row r="20" spans="1:14">
      <c r="A20" s="121"/>
      <c r="B20" s="122"/>
      <c r="C20" s="122"/>
      <c r="D20" s="122"/>
      <c r="E20" s="11" t="s">
        <v>85</v>
      </c>
      <c r="F20" s="11" t="s">
        <v>86</v>
      </c>
      <c r="G20" s="11" t="s">
        <v>91</v>
      </c>
      <c r="H20" s="11" t="s">
        <v>120</v>
      </c>
      <c r="I20" s="11" t="s">
        <v>87</v>
      </c>
      <c r="J20" s="122" t="s">
        <v>117</v>
      </c>
      <c r="K20" s="122"/>
      <c r="L20" s="122"/>
      <c r="M20" s="122"/>
      <c r="N20" s="123"/>
    </row>
    <row r="21" spans="1:14">
      <c r="A21" s="6" t="s">
        <v>9</v>
      </c>
      <c r="B21" s="26" t="s">
        <v>9</v>
      </c>
      <c r="C21" s="28" t="s">
        <v>9</v>
      </c>
      <c r="D21" s="28" t="s">
        <v>355</v>
      </c>
      <c r="E21" s="3"/>
      <c r="F21" s="3"/>
      <c r="G21" s="3"/>
      <c r="H21" s="3"/>
      <c r="I21" s="3"/>
      <c r="J21" s="106"/>
      <c r="K21" s="107"/>
      <c r="L21" s="108"/>
      <c r="M21" s="106"/>
      <c r="N21" s="109"/>
    </row>
    <row r="22" spans="1:14">
      <c r="A22" s="110" t="s">
        <v>126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2"/>
    </row>
    <row r="23" spans="1:14">
      <c r="A23" s="113" t="s">
        <v>4</v>
      </c>
      <c r="B23" s="100" t="s">
        <v>85</v>
      </c>
      <c r="C23" s="100" t="s">
        <v>127</v>
      </c>
      <c r="D23" s="100" t="s">
        <v>128</v>
      </c>
      <c r="E23" s="100" t="s">
        <v>117</v>
      </c>
      <c r="F23" s="100" t="s">
        <v>118</v>
      </c>
      <c r="G23" s="100"/>
      <c r="H23" s="100"/>
      <c r="I23" s="100"/>
      <c r="J23" s="100"/>
      <c r="K23" s="100"/>
      <c r="L23" s="100" t="s">
        <v>129</v>
      </c>
      <c r="M23" s="100"/>
      <c r="N23" s="101" t="s">
        <v>119</v>
      </c>
    </row>
    <row r="24" spans="1:14">
      <c r="A24" s="113"/>
      <c r="B24" s="100"/>
      <c r="C24" s="100"/>
      <c r="D24" s="100"/>
      <c r="E24" s="100"/>
      <c r="F24" s="12" t="s">
        <v>85</v>
      </c>
      <c r="G24" s="12" t="s">
        <v>86</v>
      </c>
      <c r="H24" s="12" t="s">
        <v>91</v>
      </c>
      <c r="I24" s="12" t="s">
        <v>120</v>
      </c>
      <c r="J24" s="12" t="s">
        <v>87</v>
      </c>
      <c r="K24" s="12" t="s">
        <v>117</v>
      </c>
      <c r="L24" s="12" t="s">
        <v>86</v>
      </c>
      <c r="M24" s="12" t="s">
        <v>91</v>
      </c>
      <c r="N24" s="101"/>
    </row>
    <row r="25" spans="1:14">
      <c r="A25" s="6" t="s">
        <v>9</v>
      </c>
      <c r="B25" s="24" t="s">
        <v>9</v>
      </c>
      <c r="C25" s="28" t="s">
        <v>9</v>
      </c>
      <c r="D25" s="28" t="s">
        <v>9</v>
      </c>
      <c r="E25" s="3" t="s">
        <v>9</v>
      </c>
      <c r="F25" s="3"/>
      <c r="G25" s="3"/>
      <c r="H25" s="3"/>
      <c r="I25" s="3"/>
      <c r="J25" s="3"/>
      <c r="K25" s="3"/>
      <c r="L25" s="3"/>
      <c r="M25" s="3"/>
      <c r="N25" s="7"/>
    </row>
    <row r="26" spans="1:14">
      <c r="A26" s="102" t="s">
        <v>131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4"/>
    </row>
    <row r="27" spans="1:14">
      <c r="A27" s="105" t="s">
        <v>4</v>
      </c>
      <c r="B27" s="98" t="s">
        <v>85</v>
      </c>
      <c r="C27" s="98" t="s">
        <v>132</v>
      </c>
      <c r="D27" s="98" t="s">
        <v>128</v>
      </c>
      <c r="E27" s="98" t="s">
        <v>117</v>
      </c>
      <c r="F27" s="98" t="s">
        <v>118</v>
      </c>
      <c r="G27" s="98"/>
      <c r="H27" s="98"/>
      <c r="I27" s="98"/>
      <c r="J27" s="98"/>
      <c r="K27" s="98"/>
      <c r="L27" s="98" t="s">
        <v>129</v>
      </c>
      <c r="M27" s="98"/>
      <c r="N27" s="99" t="s">
        <v>119</v>
      </c>
    </row>
    <row r="28" spans="1:14">
      <c r="A28" s="176"/>
      <c r="B28" s="177"/>
      <c r="C28" s="177"/>
      <c r="D28" s="177"/>
      <c r="E28" s="177"/>
      <c r="F28" s="88" t="s">
        <v>85</v>
      </c>
      <c r="G28" s="88" t="s">
        <v>86</v>
      </c>
      <c r="H28" s="88" t="s">
        <v>91</v>
      </c>
      <c r="I28" s="88" t="s">
        <v>120</v>
      </c>
      <c r="J28" s="88" t="s">
        <v>87</v>
      </c>
      <c r="K28" s="88" t="s">
        <v>117</v>
      </c>
      <c r="L28" s="88" t="s">
        <v>86</v>
      </c>
      <c r="M28" s="88" t="s">
        <v>91</v>
      </c>
      <c r="N28" s="178"/>
    </row>
    <row r="29" spans="1:14">
      <c r="A29" s="82" t="s">
        <v>226</v>
      </c>
      <c r="B29" s="89" t="s">
        <v>396</v>
      </c>
      <c r="C29" s="82" t="s">
        <v>94</v>
      </c>
      <c r="D29" s="82" t="s">
        <v>9</v>
      </c>
      <c r="E29" s="90" t="s">
        <v>397</v>
      </c>
      <c r="F29" s="82"/>
      <c r="G29" s="82"/>
      <c r="H29" s="82"/>
      <c r="I29" s="82" t="s">
        <v>9</v>
      </c>
      <c r="J29" s="82" t="s">
        <v>9</v>
      </c>
      <c r="K29" s="82"/>
      <c r="L29" s="82" t="s">
        <v>111</v>
      </c>
      <c r="M29" s="82" t="s">
        <v>398</v>
      </c>
      <c r="N29" s="82"/>
    </row>
    <row r="30" spans="1:14">
      <c r="A30" s="82" t="s">
        <v>226</v>
      </c>
      <c r="B30" s="82" t="s">
        <v>399</v>
      </c>
      <c r="C30" s="82" t="s">
        <v>94</v>
      </c>
      <c r="D30" s="82" t="s">
        <v>9</v>
      </c>
      <c r="E30" s="82" t="s">
        <v>400</v>
      </c>
      <c r="F30" s="82" t="s">
        <v>401</v>
      </c>
      <c r="G30" s="82" t="s">
        <v>134</v>
      </c>
      <c r="H30" s="82"/>
      <c r="I30" s="82" t="s">
        <v>362</v>
      </c>
      <c r="J30" s="82" t="s">
        <v>9</v>
      </c>
      <c r="K30" s="82"/>
      <c r="L30" s="82" t="s">
        <v>376</v>
      </c>
      <c r="M30" s="179"/>
      <c r="N30" s="179"/>
    </row>
    <row r="31" spans="1:14">
      <c r="A31" s="82" t="s">
        <v>226</v>
      </c>
      <c r="B31" s="82" t="s">
        <v>402</v>
      </c>
      <c r="C31" s="82" t="s">
        <v>94</v>
      </c>
      <c r="D31" s="82" t="s">
        <v>9</v>
      </c>
      <c r="E31" s="82" t="s">
        <v>403</v>
      </c>
      <c r="F31" s="82" t="s">
        <v>404</v>
      </c>
      <c r="G31" s="82" t="s">
        <v>111</v>
      </c>
      <c r="H31" s="82" t="s">
        <v>63</v>
      </c>
      <c r="I31" s="82" t="s">
        <v>362</v>
      </c>
      <c r="J31" s="82" t="s">
        <v>9</v>
      </c>
      <c r="K31" s="82"/>
      <c r="L31" s="82" t="s">
        <v>376</v>
      </c>
      <c r="M31" s="82"/>
      <c r="N31" s="82"/>
    </row>
  </sheetData>
  <mergeCells count="53">
    <mergeCell ref="B6:E6"/>
    <mergeCell ref="A1:E1"/>
    <mergeCell ref="B2:E2"/>
    <mergeCell ref="B3:E3"/>
    <mergeCell ref="B4:E4"/>
    <mergeCell ref="B5:E5"/>
    <mergeCell ref="J16:N16"/>
    <mergeCell ref="A7:E7"/>
    <mergeCell ref="B8:D8"/>
    <mergeCell ref="B9:D9"/>
    <mergeCell ref="A11:N11"/>
    <mergeCell ref="A12:A13"/>
    <mergeCell ref="B12:B13"/>
    <mergeCell ref="C12:D12"/>
    <mergeCell ref="E12:E13"/>
    <mergeCell ref="F12:F13"/>
    <mergeCell ref="G12:I13"/>
    <mergeCell ref="J12:N13"/>
    <mergeCell ref="G14:I14"/>
    <mergeCell ref="J14:N14"/>
    <mergeCell ref="G15:I15"/>
    <mergeCell ref="J15:N15"/>
    <mergeCell ref="L23:M23"/>
    <mergeCell ref="A18:N18"/>
    <mergeCell ref="A19:A20"/>
    <mergeCell ref="B19:B20"/>
    <mergeCell ref="C19:C20"/>
    <mergeCell ref="D19:D20"/>
    <mergeCell ref="E19:L19"/>
    <mergeCell ref="M19:N20"/>
    <mergeCell ref="J20:L20"/>
    <mergeCell ref="B23:B24"/>
    <mergeCell ref="C23:C24"/>
    <mergeCell ref="D23:D24"/>
    <mergeCell ref="E23:E24"/>
    <mergeCell ref="F23:K23"/>
    <mergeCell ref="G16:I16"/>
    <mergeCell ref="M30:N30"/>
    <mergeCell ref="B10:D10"/>
    <mergeCell ref="N23:N24"/>
    <mergeCell ref="A26:N26"/>
    <mergeCell ref="A27:A28"/>
    <mergeCell ref="B27:B28"/>
    <mergeCell ref="C27:C28"/>
    <mergeCell ref="D27:D28"/>
    <mergeCell ref="E27:E28"/>
    <mergeCell ref="F27:K27"/>
    <mergeCell ref="L27:M27"/>
    <mergeCell ref="N27:N28"/>
    <mergeCell ref="J21:L21"/>
    <mergeCell ref="M21:N21"/>
    <mergeCell ref="A22:N22"/>
    <mergeCell ref="A23:A24"/>
  </mergeCells>
  <hyperlinks>
    <hyperlink ref="A1:E1" location="'Structs'!A1" display="&lt;-Volver al inicio" xr:uid="{6BAFCD3D-CCDE-4D47-82A3-D9C0F749914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32C4DC5-0301-495C-8F5D-F435FB496BFB}">
          <x14:formula1>
            <xm:f>Valores!$C$2:$C$7</xm:f>
          </x14:formula1>
          <xm:sqref>B9:D10</xm:sqref>
        </x14:dataValidation>
        <x14:dataValidation type="list" allowBlank="1" showInputMessage="1" showErrorMessage="1" xr:uid="{65399237-E9C5-4996-83DB-0CD4FF57C394}">
          <x14:formula1>
            <xm:f>Valores!$L$2:$L$13</xm:f>
          </x14:formula1>
          <xm:sqref>L29</xm:sqref>
        </x14:dataValidation>
        <x14:dataValidation type="list" allowBlank="1" showInputMessage="1" showErrorMessage="1" xr:uid="{715D1B04-B201-477C-B25A-19E2D6BA62B3}">
          <x14:formula1>
            <xm:f>Valores!$J$2:$J$3</xm:f>
          </x14:formula1>
          <xm:sqref>H21 I25</xm:sqref>
        </x14:dataValidation>
        <x14:dataValidation type="list" allowBlank="1" showInputMessage="1" showErrorMessage="1" xr:uid="{22A31A1E-8884-4915-B54D-8CED90AB1A76}">
          <x14:formula1>
            <xm:f>Valores!$H$2:$H$3</xm:f>
          </x14:formula1>
          <xm:sqref>C29 F14:F17</xm:sqref>
        </x14:dataValidation>
        <x14:dataValidation type="list" allowBlank="1" showInputMessage="1" showErrorMessage="1" xr:uid="{3870B5F0-145F-4878-AD99-E3534ACBB1B6}">
          <x14:formula1>
            <xm:f>Valores!$G$2:$G$12</xm:f>
          </x14:formula1>
          <xm:sqref>G29 F21 G25 L25 C14:C17</xm:sqref>
        </x14:dataValidation>
        <x14:dataValidation type="list" allowBlank="1" showInputMessage="1" showErrorMessage="1" xr:uid="{FE30ABA8-3C06-4AD5-B70C-4AE878025702}">
          <x14:formula1>
            <xm:f>Structs!$D$2</xm:f>
          </x14:formula1>
          <xm:sqref>A14:A17 B5:E5</xm:sqref>
        </x14:dataValidation>
        <x14:dataValidation type="list" allowBlank="1" showInputMessage="1" showErrorMessage="1" xr:uid="{2D2EDB18-73ED-4577-9C1B-5D831BB392B1}">
          <x14:formula1>
            <xm:f>Structs!$E$2</xm:f>
          </x14:formula1>
          <xm:sqref>B6:E6 I29:J29 I21 J25 D29</xm:sqref>
        </x14:dataValidation>
        <x14:dataValidation type="list" allowBlank="1" showInputMessage="1" showErrorMessage="1" xr:uid="{A7B705C3-7F5E-447C-9EE8-D8E374B37B86}">
          <x14:formula1>
            <xm:f>Structs!$D$2:$E$2</xm:f>
          </x14:formula1>
          <xm:sqref>A21 A25 A29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E538-AE17-4094-BCEF-C0767A0A0418}">
  <dimension ref="A1:N33"/>
  <sheetViews>
    <sheetView zoomScale="55" zoomScaleNormal="55" workbookViewId="0">
      <pane ySplit="1" topLeftCell="D7" activePane="bottomLeft" state="frozen"/>
      <selection pane="bottomLeft" activeCell="F9" sqref="F9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Structs!I29</f>
        <v>ServiceType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Structs!B29</f>
        <v>enum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Structs!C29</f>
        <v>Enumeración que define los tipos de servicio del catálogo: MAINTENANCE, REPAIR, DETAILING, DIAGNOSTIC, OTHER.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141" t="s">
        <v>82</v>
      </c>
      <c r="C9" s="141"/>
      <c r="D9" s="142"/>
      <c r="E9" s="53" t="str">
        <f>HYPERLINK("#'"&amp;F9&amp;"'!A1", F9)</f>
        <v>Service</v>
      </c>
      <c r="F9" s="55" t="s">
        <v>42</v>
      </c>
    </row>
    <row r="10" spans="1:14">
      <c r="A10" s="124" t="s">
        <v>84</v>
      </c>
      <c r="B10" s="125"/>
      <c r="C10" s="125"/>
      <c r="D10" s="125"/>
      <c r="E10" s="126"/>
      <c r="F10" s="126"/>
      <c r="G10" s="125"/>
      <c r="H10" s="125"/>
      <c r="I10" s="125"/>
      <c r="J10" s="125"/>
      <c r="K10" s="125"/>
      <c r="L10" s="125"/>
      <c r="M10" s="125"/>
      <c r="N10" s="127"/>
    </row>
    <row r="11" spans="1:14">
      <c r="A11" s="128" t="s">
        <v>4</v>
      </c>
      <c r="B11" s="129" t="s">
        <v>85</v>
      </c>
      <c r="C11" s="129" t="s">
        <v>86</v>
      </c>
      <c r="D11" s="129"/>
      <c r="E11" s="129" t="s">
        <v>87</v>
      </c>
      <c r="F11" s="129" t="s">
        <v>88</v>
      </c>
      <c r="G11" s="130" t="s">
        <v>89</v>
      </c>
      <c r="H11" s="131"/>
      <c r="I11" s="132"/>
      <c r="J11" s="129" t="s">
        <v>90</v>
      </c>
      <c r="K11" s="129"/>
      <c r="L11" s="129"/>
      <c r="M11" s="129"/>
      <c r="N11" s="136"/>
    </row>
    <row r="12" spans="1:14">
      <c r="A12" s="128"/>
      <c r="B12" s="129"/>
      <c r="C12" s="10" t="s">
        <v>86</v>
      </c>
      <c r="D12" s="10" t="s">
        <v>91</v>
      </c>
      <c r="E12" s="156"/>
      <c r="F12" s="129"/>
      <c r="G12" s="133"/>
      <c r="H12" s="134"/>
      <c r="I12" s="135"/>
      <c r="J12" s="129"/>
      <c r="K12" s="129"/>
      <c r="L12" s="129"/>
      <c r="M12" s="129"/>
      <c r="N12" s="136"/>
    </row>
    <row r="13" spans="1:14">
      <c r="A13" s="6" t="s">
        <v>226</v>
      </c>
      <c r="B13" s="26" t="s">
        <v>405</v>
      </c>
      <c r="C13" s="24" t="s">
        <v>111</v>
      </c>
      <c r="D13" s="96" t="s">
        <v>65</v>
      </c>
      <c r="E13" s="90" t="s">
        <v>348</v>
      </c>
      <c r="F13" s="97" t="s">
        <v>349</v>
      </c>
      <c r="G13" s="114" t="s">
        <v>405</v>
      </c>
      <c r="H13" s="115"/>
      <c r="I13" s="116"/>
      <c r="J13" s="114" t="s">
        <v>406</v>
      </c>
      <c r="K13" s="115"/>
      <c r="L13" s="115"/>
      <c r="M13" s="115"/>
      <c r="N13" s="117"/>
    </row>
    <row r="14" spans="1:14">
      <c r="A14" s="6" t="s">
        <v>226</v>
      </c>
      <c r="B14" s="27" t="s">
        <v>407</v>
      </c>
      <c r="C14" s="25" t="s">
        <v>111</v>
      </c>
      <c r="D14" s="79" t="s">
        <v>65</v>
      </c>
      <c r="E14" s="90" t="s">
        <v>348</v>
      </c>
      <c r="F14" s="97" t="s">
        <v>349</v>
      </c>
      <c r="G14" s="114" t="s">
        <v>407</v>
      </c>
      <c r="H14" s="115"/>
      <c r="I14" s="116"/>
      <c r="J14" s="114" t="s">
        <v>408</v>
      </c>
      <c r="K14" s="115"/>
      <c r="L14" s="115"/>
      <c r="M14" s="115"/>
      <c r="N14" s="117"/>
    </row>
    <row r="15" spans="1:14">
      <c r="A15" s="6" t="s">
        <v>226</v>
      </c>
      <c r="B15" s="27" t="s">
        <v>409</v>
      </c>
      <c r="C15" s="25" t="s">
        <v>111</v>
      </c>
      <c r="D15" s="79" t="s">
        <v>65</v>
      </c>
      <c r="E15" s="90" t="s">
        <v>348</v>
      </c>
      <c r="F15" s="97" t="s">
        <v>349</v>
      </c>
      <c r="G15" s="114" t="s">
        <v>409</v>
      </c>
      <c r="H15" s="115"/>
      <c r="I15" s="116"/>
      <c r="J15" s="114" t="s">
        <v>410</v>
      </c>
      <c r="K15" s="115"/>
      <c r="L15" s="115"/>
      <c r="M15" s="115"/>
      <c r="N15" s="117"/>
    </row>
    <row r="16" spans="1:14">
      <c r="A16" s="29" t="s">
        <v>8</v>
      </c>
      <c r="B16" s="27" t="s">
        <v>411</v>
      </c>
      <c r="C16" s="64" t="s">
        <v>111</v>
      </c>
      <c r="D16" s="79" t="s">
        <v>65</v>
      </c>
      <c r="E16" s="90" t="s">
        <v>348</v>
      </c>
      <c r="F16" s="95" t="s">
        <v>349</v>
      </c>
      <c r="G16" s="114" t="s">
        <v>411</v>
      </c>
      <c r="H16" s="115"/>
      <c r="I16" s="116"/>
      <c r="J16" s="91" t="s">
        <v>412</v>
      </c>
      <c r="K16" s="91"/>
      <c r="L16" s="91"/>
      <c r="M16" s="91"/>
      <c r="N16" s="94"/>
    </row>
    <row r="17" spans="1:14">
      <c r="A17" s="29" t="s">
        <v>8</v>
      </c>
      <c r="B17" s="27" t="s">
        <v>413</v>
      </c>
      <c r="C17" s="64" t="s">
        <v>111</v>
      </c>
      <c r="D17" s="79" t="s">
        <v>65</v>
      </c>
      <c r="E17" s="90" t="s">
        <v>348</v>
      </c>
      <c r="F17" s="97" t="s">
        <v>349</v>
      </c>
      <c r="G17" s="114" t="s">
        <v>413</v>
      </c>
      <c r="H17" s="115"/>
      <c r="I17" s="116"/>
      <c r="J17" s="91" t="s">
        <v>414</v>
      </c>
      <c r="K17" s="91"/>
      <c r="L17" s="91"/>
      <c r="M17" s="91"/>
      <c r="N17" s="94"/>
    </row>
    <row r="18" spans="1:14">
      <c r="A18" s="29" t="s">
        <v>8</v>
      </c>
      <c r="B18" s="27" t="s">
        <v>415</v>
      </c>
      <c r="C18" s="64" t="s">
        <v>111</v>
      </c>
      <c r="D18" s="79" t="s">
        <v>65</v>
      </c>
      <c r="E18" s="90" t="s">
        <v>348</v>
      </c>
      <c r="F18" s="95" t="s">
        <v>349</v>
      </c>
      <c r="G18" s="114" t="s">
        <v>415</v>
      </c>
      <c r="H18" s="115"/>
      <c r="I18" s="116"/>
      <c r="J18" s="91" t="s">
        <v>416</v>
      </c>
      <c r="K18" s="91"/>
      <c r="L18" s="91"/>
      <c r="M18" s="91"/>
      <c r="N18" s="94"/>
    </row>
    <row r="19" spans="1:14">
      <c r="A19" s="29" t="s">
        <v>8</v>
      </c>
      <c r="B19" s="27" t="s">
        <v>417</v>
      </c>
      <c r="C19" s="64" t="s">
        <v>111</v>
      </c>
      <c r="D19" s="79" t="s">
        <v>65</v>
      </c>
      <c r="E19" s="90" t="s">
        <v>348</v>
      </c>
      <c r="F19" s="97" t="s">
        <v>349</v>
      </c>
      <c r="G19" s="114" t="s">
        <v>417</v>
      </c>
      <c r="H19" s="115"/>
      <c r="I19" s="116"/>
      <c r="J19" s="91" t="s">
        <v>418</v>
      </c>
      <c r="K19" s="91"/>
      <c r="L19" s="91"/>
      <c r="M19" s="91"/>
      <c r="N19" s="94"/>
    </row>
    <row r="20" spans="1:14">
      <c r="A20" s="29" t="s">
        <v>8</v>
      </c>
      <c r="B20" s="27" t="s">
        <v>419</v>
      </c>
      <c r="C20" s="64" t="s">
        <v>111</v>
      </c>
      <c r="D20" s="64" t="s">
        <v>65</v>
      </c>
      <c r="E20" s="90" t="s">
        <v>348</v>
      </c>
      <c r="F20" s="95" t="s">
        <v>349</v>
      </c>
      <c r="G20" s="114" t="s">
        <v>419</v>
      </c>
      <c r="H20" s="115"/>
      <c r="I20" s="116"/>
      <c r="J20" s="91" t="s">
        <v>420</v>
      </c>
      <c r="K20" s="91"/>
      <c r="L20" s="91"/>
      <c r="M20" s="91"/>
      <c r="N20" s="94"/>
    </row>
    <row r="21" spans="1:14">
      <c r="A21" s="118" t="s">
        <v>115</v>
      </c>
      <c r="B21" s="119"/>
      <c r="C21" s="119"/>
      <c r="D21" s="152"/>
      <c r="E21" s="152"/>
      <c r="F21" s="119"/>
      <c r="G21" s="119"/>
      <c r="H21" s="119"/>
      <c r="I21" s="119"/>
      <c r="J21" s="152"/>
      <c r="K21" s="152"/>
      <c r="L21" s="152"/>
      <c r="M21" s="152"/>
      <c r="N21" s="173"/>
    </row>
    <row r="22" spans="1:14">
      <c r="A22" s="121" t="s">
        <v>4</v>
      </c>
      <c r="B22" s="122" t="s">
        <v>85</v>
      </c>
      <c r="C22" s="122" t="s">
        <v>116</v>
      </c>
      <c r="D22" s="122" t="s">
        <v>117</v>
      </c>
      <c r="E22" s="122" t="s">
        <v>118</v>
      </c>
      <c r="F22" s="122"/>
      <c r="G22" s="122"/>
      <c r="H22" s="122"/>
      <c r="I22" s="122"/>
      <c r="J22" s="122"/>
      <c r="K22" s="122"/>
      <c r="L22" s="122"/>
      <c r="M22" s="122" t="s">
        <v>119</v>
      </c>
      <c r="N22" s="123"/>
    </row>
    <row r="23" spans="1:14">
      <c r="A23" s="121"/>
      <c r="B23" s="122"/>
      <c r="C23" s="122"/>
      <c r="D23" s="122"/>
      <c r="E23" s="11" t="s">
        <v>85</v>
      </c>
      <c r="F23" s="11" t="s">
        <v>86</v>
      </c>
      <c r="G23" s="11" t="s">
        <v>91</v>
      </c>
      <c r="H23" s="11" t="s">
        <v>120</v>
      </c>
      <c r="I23" s="11" t="s">
        <v>87</v>
      </c>
      <c r="J23" s="122" t="s">
        <v>117</v>
      </c>
      <c r="K23" s="122"/>
      <c r="L23" s="122"/>
      <c r="M23" s="122"/>
      <c r="N23" s="123"/>
    </row>
    <row r="24" spans="1:14">
      <c r="A24" s="6" t="s">
        <v>9</v>
      </c>
      <c r="B24" s="26" t="s">
        <v>9</v>
      </c>
      <c r="C24" s="28" t="s">
        <v>9</v>
      </c>
      <c r="D24" s="28" t="s">
        <v>355</v>
      </c>
      <c r="E24" s="3"/>
      <c r="F24" s="3"/>
      <c r="G24" s="3"/>
      <c r="H24" s="3"/>
      <c r="I24" s="3"/>
      <c r="J24" s="106"/>
      <c r="K24" s="107"/>
      <c r="L24" s="108"/>
      <c r="M24" s="106"/>
      <c r="N24" s="109"/>
    </row>
    <row r="25" spans="1:14">
      <c r="A25" s="110" t="s">
        <v>126</v>
      </c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2"/>
    </row>
    <row r="26" spans="1:14">
      <c r="A26" s="113" t="s">
        <v>4</v>
      </c>
      <c r="B26" s="100" t="s">
        <v>85</v>
      </c>
      <c r="C26" s="100" t="s">
        <v>127</v>
      </c>
      <c r="D26" s="100" t="s">
        <v>128</v>
      </c>
      <c r="E26" s="100" t="s">
        <v>117</v>
      </c>
      <c r="F26" s="100" t="s">
        <v>118</v>
      </c>
      <c r="G26" s="100"/>
      <c r="H26" s="100"/>
      <c r="I26" s="100"/>
      <c r="J26" s="100"/>
      <c r="K26" s="100"/>
      <c r="L26" s="100" t="s">
        <v>129</v>
      </c>
      <c r="M26" s="100"/>
      <c r="N26" s="101" t="s">
        <v>119</v>
      </c>
    </row>
    <row r="27" spans="1:14">
      <c r="A27" s="113"/>
      <c r="B27" s="100"/>
      <c r="C27" s="100"/>
      <c r="D27" s="100"/>
      <c r="E27" s="100"/>
      <c r="F27" s="12" t="s">
        <v>85</v>
      </c>
      <c r="G27" s="12" t="s">
        <v>86</v>
      </c>
      <c r="H27" s="12" t="s">
        <v>91</v>
      </c>
      <c r="I27" s="12" t="s">
        <v>120</v>
      </c>
      <c r="J27" s="12" t="s">
        <v>87</v>
      </c>
      <c r="K27" s="12" t="s">
        <v>117</v>
      </c>
      <c r="L27" s="12" t="s">
        <v>86</v>
      </c>
      <c r="M27" s="12" t="s">
        <v>91</v>
      </c>
      <c r="N27" s="101"/>
    </row>
    <row r="28" spans="1:14">
      <c r="A28" s="6" t="s">
        <v>9</v>
      </c>
      <c r="B28" s="24" t="s">
        <v>9</v>
      </c>
      <c r="C28" s="28" t="s">
        <v>9</v>
      </c>
      <c r="D28" s="28" t="s">
        <v>9</v>
      </c>
      <c r="E28" s="3" t="s">
        <v>9</v>
      </c>
      <c r="F28" s="3"/>
      <c r="G28" s="3"/>
      <c r="H28" s="3"/>
      <c r="I28" s="3"/>
      <c r="J28" s="3"/>
      <c r="K28" s="3"/>
      <c r="L28" s="3"/>
      <c r="M28" s="3"/>
      <c r="N28" s="7"/>
    </row>
    <row r="29" spans="1:14">
      <c r="A29" s="102" t="s">
        <v>131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4"/>
    </row>
    <row r="30" spans="1:14">
      <c r="A30" s="105" t="s">
        <v>4</v>
      </c>
      <c r="B30" s="98" t="s">
        <v>85</v>
      </c>
      <c r="C30" s="98" t="s">
        <v>132</v>
      </c>
      <c r="D30" s="98" t="s">
        <v>128</v>
      </c>
      <c r="E30" s="98" t="s">
        <v>117</v>
      </c>
      <c r="F30" s="98" t="s">
        <v>118</v>
      </c>
      <c r="G30" s="98"/>
      <c r="H30" s="98"/>
      <c r="I30" s="98"/>
      <c r="J30" s="98"/>
      <c r="K30" s="98"/>
      <c r="L30" s="98" t="s">
        <v>129</v>
      </c>
      <c r="M30" s="98"/>
      <c r="N30" s="99" t="s">
        <v>119</v>
      </c>
    </row>
    <row r="31" spans="1:14">
      <c r="A31" s="176"/>
      <c r="B31" s="177"/>
      <c r="C31" s="177"/>
      <c r="D31" s="177"/>
      <c r="E31" s="177"/>
      <c r="F31" s="88" t="s">
        <v>85</v>
      </c>
      <c r="G31" s="88" t="s">
        <v>86</v>
      </c>
      <c r="H31" s="88" t="s">
        <v>91</v>
      </c>
      <c r="I31" s="88" t="s">
        <v>120</v>
      </c>
      <c r="J31" s="88" t="s">
        <v>87</v>
      </c>
      <c r="K31" s="88" t="s">
        <v>117</v>
      </c>
      <c r="L31" s="88" t="s">
        <v>86</v>
      </c>
      <c r="M31" s="88" t="s">
        <v>91</v>
      </c>
      <c r="N31" s="178"/>
    </row>
    <row r="32" spans="1:14">
      <c r="A32" s="82" t="s">
        <v>226</v>
      </c>
      <c r="B32" s="89" t="s">
        <v>421</v>
      </c>
      <c r="C32" s="82" t="s">
        <v>94</v>
      </c>
      <c r="D32" s="82" t="s">
        <v>9</v>
      </c>
      <c r="E32" s="90" t="s">
        <v>422</v>
      </c>
      <c r="F32" s="82"/>
      <c r="G32" s="82"/>
      <c r="H32" s="82"/>
      <c r="I32" s="82" t="s">
        <v>9</v>
      </c>
      <c r="J32" s="82" t="s">
        <v>9</v>
      </c>
      <c r="K32" s="82"/>
      <c r="L32" s="82" t="s">
        <v>111</v>
      </c>
      <c r="M32" s="82" t="s">
        <v>423</v>
      </c>
      <c r="N32" s="82"/>
    </row>
    <row r="33" spans="1:14">
      <c r="A33" s="82" t="s">
        <v>226</v>
      </c>
      <c r="B33" s="82" t="s">
        <v>424</v>
      </c>
      <c r="C33" s="82" t="s">
        <v>94</v>
      </c>
      <c r="D33" s="82" t="s">
        <v>9</v>
      </c>
      <c r="E33" s="82" t="s">
        <v>425</v>
      </c>
      <c r="F33" s="82" t="s">
        <v>401</v>
      </c>
      <c r="G33" s="82" t="s">
        <v>134</v>
      </c>
      <c r="H33" s="82"/>
      <c r="I33" s="82" t="s">
        <v>362</v>
      </c>
      <c r="J33" s="82" t="s">
        <v>9</v>
      </c>
      <c r="K33" s="82"/>
      <c r="L33" s="82" t="s">
        <v>376</v>
      </c>
      <c r="M33" s="174"/>
      <c r="N33" s="175"/>
    </row>
  </sheetData>
  <mergeCells count="57"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G13:I13"/>
    <mergeCell ref="J13:N13"/>
    <mergeCell ref="G14:I14"/>
    <mergeCell ref="J14:N14"/>
    <mergeCell ref="G15:I15"/>
    <mergeCell ref="J15:N15"/>
    <mergeCell ref="A21:N21"/>
    <mergeCell ref="A22:A23"/>
    <mergeCell ref="B22:B23"/>
    <mergeCell ref="C22:C23"/>
    <mergeCell ref="D22:D23"/>
    <mergeCell ref="E22:L22"/>
    <mergeCell ref="M22:N23"/>
    <mergeCell ref="J23:L23"/>
    <mergeCell ref="J24:L24"/>
    <mergeCell ref="M24:N24"/>
    <mergeCell ref="A25:N25"/>
    <mergeCell ref="A26:A27"/>
    <mergeCell ref="B26:B27"/>
    <mergeCell ref="C26:C27"/>
    <mergeCell ref="D26:D27"/>
    <mergeCell ref="E26:E27"/>
    <mergeCell ref="F26:K26"/>
    <mergeCell ref="L26:M26"/>
    <mergeCell ref="M33:N33"/>
    <mergeCell ref="G16:I16"/>
    <mergeCell ref="G17:I17"/>
    <mergeCell ref="G18:I18"/>
    <mergeCell ref="G19:I19"/>
    <mergeCell ref="G20:I20"/>
    <mergeCell ref="N26:N27"/>
    <mergeCell ref="A29:N29"/>
    <mergeCell ref="A30:A31"/>
    <mergeCell ref="B30:B31"/>
    <mergeCell ref="C30:C31"/>
    <mergeCell ref="D30:D31"/>
    <mergeCell ref="E30:E31"/>
    <mergeCell ref="F30:K30"/>
    <mergeCell ref="L30:M30"/>
    <mergeCell ref="N30:N31"/>
  </mergeCells>
  <hyperlinks>
    <hyperlink ref="A1:E1" location="'Structs'!A1" display="&lt;-Volver al inicio" xr:uid="{7C84F585-C82C-4670-8952-0594F868AFA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D004D78-4D5A-446A-9D4B-F29CC127E7B2}">
          <x14:formula1>
            <xm:f>Structs!$D$2:$E$2</xm:f>
          </x14:formula1>
          <xm:sqref>A24 A28 A32</xm:sqref>
        </x14:dataValidation>
        <x14:dataValidation type="list" allowBlank="1" showInputMessage="1" showErrorMessage="1" xr:uid="{F8B53F8C-4C94-4CC1-BAE5-225713CB4ED4}">
          <x14:formula1>
            <xm:f>Structs!$E$2</xm:f>
          </x14:formula1>
          <xm:sqref>B6:E6 I32:J32 I24 J28 D32</xm:sqref>
        </x14:dataValidation>
        <x14:dataValidation type="list" allowBlank="1" showInputMessage="1" showErrorMessage="1" xr:uid="{3D213178-E151-486E-972A-8D2C278B4797}">
          <x14:formula1>
            <xm:f>Structs!$D$2</xm:f>
          </x14:formula1>
          <xm:sqref>B5:E5 A13:A20</xm:sqref>
        </x14:dataValidation>
        <x14:dataValidation type="list" allowBlank="1" showInputMessage="1" showErrorMessage="1" xr:uid="{C3821B46-A489-4586-B89F-9AE315E8181B}">
          <x14:formula1>
            <xm:f>Valores!$G$2:$G$12</xm:f>
          </x14:formula1>
          <xm:sqref>G32 F24 G28 L28 C13:C20</xm:sqref>
        </x14:dataValidation>
        <x14:dataValidation type="list" allowBlank="1" showInputMessage="1" showErrorMessage="1" xr:uid="{9B5E9D39-A4FC-43D7-B8DB-39EA4848FEDB}">
          <x14:formula1>
            <xm:f>Valores!$H$2:$H$3</xm:f>
          </x14:formula1>
          <xm:sqref>C32 F13:F20</xm:sqref>
        </x14:dataValidation>
        <x14:dataValidation type="list" allowBlank="1" showInputMessage="1" showErrorMessage="1" xr:uid="{8F0ED490-F3F2-41E5-AB7F-E1A4AF07BF57}">
          <x14:formula1>
            <xm:f>Valores!$J$2:$J$3</xm:f>
          </x14:formula1>
          <xm:sqref>H24 I28</xm:sqref>
        </x14:dataValidation>
        <x14:dataValidation type="list" allowBlank="1" showInputMessage="1" showErrorMessage="1" xr:uid="{A7C2EE47-53C1-4E4A-9B1E-946F547A4A81}">
          <x14:formula1>
            <xm:f>Valores!$L$2:$L$13</xm:f>
          </x14:formula1>
          <xm:sqref>L32</xm:sqref>
        </x14:dataValidation>
        <x14:dataValidation type="list" allowBlank="1" showInputMessage="1" showErrorMessage="1" xr:uid="{0A0E26AE-25F8-46D7-92CD-18E4894143C0}">
          <x14:formula1>
            <xm:f>Valores!$C$2:$C$7</xm:f>
          </x14:formula1>
          <xm:sqref>B9:D9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3550-4B57-45A3-8D69-D74EFFF1A7B6}">
  <dimension ref="A1:N29"/>
  <sheetViews>
    <sheetView zoomScale="55" zoomScaleNormal="55" workbookViewId="0">
      <pane ySplit="1" topLeftCell="G10" activePane="bottomLeft" state="frozen"/>
      <selection pane="bottomLeft" activeCell="I36" sqref="I36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Structs!I30</f>
        <v>MessageType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Structs!B30</f>
        <v>enum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Structs!C30</f>
        <v>Enumeración que define los tipos de mensaje del sistema: ERROR, SUCCESS/EXITO, WARNING, INFO.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141" t="s">
        <v>82</v>
      </c>
      <c r="C9" s="141"/>
      <c r="D9" s="142"/>
      <c r="E9" s="53" t="str">
        <f>HYPERLINK("#'"&amp;F9&amp;"'!A1", F9)</f>
        <v>Message</v>
      </c>
      <c r="F9" s="55" t="s">
        <v>30</v>
      </c>
    </row>
    <row r="10" spans="1:14">
      <c r="A10" s="124" t="s">
        <v>84</v>
      </c>
      <c r="B10" s="125"/>
      <c r="C10" s="125"/>
      <c r="D10" s="125"/>
      <c r="E10" s="126"/>
      <c r="F10" s="126"/>
      <c r="G10" s="125"/>
      <c r="H10" s="125"/>
      <c r="I10" s="125"/>
      <c r="J10" s="125"/>
      <c r="K10" s="125"/>
      <c r="L10" s="125"/>
      <c r="M10" s="125"/>
      <c r="N10" s="127"/>
    </row>
    <row r="11" spans="1:14">
      <c r="A11" s="128" t="s">
        <v>4</v>
      </c>
      <c r="B11" s="129" t="s">
        <v>85</v>
      </c>
      <c r="C11" s="129" t="s">
        <v>86</v>
      </c>
      <c r="D11" s="129"/>
      <c r="E11" s="129" t="s">
        <v>87</v>
      </c>
      <c r="F11" s="129" t="s">
        <v>88</v>
      </c>
      <c r="G11" s="130" t="s">
        <v>89</v>
      </c>
      <c r="H11" s="131"/>
      <c r="I11" s="132"/>
      <c r="J11" s="129" t="s">
        <v>90</v>
      </c>
      <c r="K11" s="129"/>
      <c r="L11" s="129"/>
      <c r="M11" s="129"/>
      <c r="N11" s="136"/>
    </row>
    <row r="12" spans="1:14">
      <c r="A12" s="128"/>
      <c r="B12" s="129"/>
      <c r="C12" s="10" t="s">
        <v>86</v>
      </c>
      <c r="D12" s="10" t="s">
        <v>91</v>
      </c>
      <c r="E12" s="156"/>
      <c r="F12" s="129"/>
      <c r="G12" s="133"/>
      <c r="H12" s="134"/>
      <c r="I12" s="135"/>
      <c r="J12" s="129"/>
      <c r="K12" s="129"/>
      <c r="L12" s="129"/>
      <c r="M12" s="129"/>
      <c r="N12" s="136"/>
    </row>
    <row r="13" spans="1:14">
      <c r="A13" s="6" t="s">
        <v>226</v>
      </c>
      <c r="B13" s="26" t="s">
        <v>426</v>
      </c>
      <c r="C13" s="24" t="s">
        <v>111</v>
      </c>
      <c r="D13" s="24" t="s">
        <v>67</v>
      </c>
      <c r="E13" s="90" t="s">
        <v>348</v>
      </c>
      <c r="F13" s="97" t="s">
        <v>349</v>
      </c>
      <c r="G13" s="114" t="s">
        <v>426</v>
      </c>
      <c r="H13" s="115"/>
      <c r="I13" s="116"/>
      <c r="J13" s="114" t="s">
        <v>427</v>
      </c>
      <c r="K13" s="115"/>
      <c r="L13" s="115"/>
      <c r="M13" s="115"/>
      <c r="N13" s="117"/>
    </row>
    <row r="14" spans="1:14">
      <c r="A14" s="6" t="s">
        <v>226</v>
      </c>
      <c r="B14" s="27" t="s">
        <v>428</v>
      </c>
      <c r="C14" s="25" t="s">
        <v>111</v>
      </c>
      <c r="D14" s="25" t="s">
        <v>67</v>
      </c>
      <c r="E14" s="90" t="s">
        <v>348</v>
      </c>
      <c r="F14" s="97" t="s">
        <v>349</v>
      </c>
      <c r="G14" s="114" t="s">
        <v>428</v>
      </c>
      <c r="H14" s="115"/>
      <c r="I14" s="116"/>
      <c r="J14" s="114" t="s">
        <v>429</v>
      </c>
      <c r="K14" s="115"/>
      <c r="L14" s="115"/>
      <c r="M14" s="115"/>
      <c r="N14" s="117"/>
    </row>
    <row r="15" spans="1:14">
      <c r="A15" s="6" t="s">
        <v>226</v>
      </c>
      <c r="B15" s="27" t="s">
        <v>430</v>
      </c>
      <c r="C15" s="25" t="s">
        <v>111</v>
      </c>
      <c r="D15" s="25" t="s">
        <v>67</v>
      </c>
      <c r="E15" s="90" t="s">
        <v>348</v>
      </c>
      <c r="F15" s="97" t="s">
        <v>349</v>
      </c>
      <c r="G15" s="114" t="s">
        <v>430</v>
      </c>
      <c r="H15" s="115"/>
      <c r="I15" s="116"/>
      <c r="J15" s="114" t="s">
        <v>431</v>
      </c>
      <c r="K15" s="115"/>
      <c r="L15" s="115"/>
      <c r="M15" s="115"/>
      <c r="N15" s="117"/>
    </row>
    <row r="16" spans="1:14">
      <c r="A16" s="29" t="s">
        <v>8</v>
      </c>
      <c r="B16" s="27" t="s">
        <v>432</v>
      </c>
      <c r="C16" s="64" t="s">
        <v>111</v>
      </c>
      <c r="D16" s="25" t="s">
        <v>67</v>
      </c>
      <c r="E16" s="90" t="s">
        <v>348</v>
      </c>
      <c r="F16" s="95" t="s">
        <v>349</v>
      </c>
      <c r="G16" s="114" t="s">
        <v>432</v>
      </c>
      <c r="H16" s="115"/>
      <c r="I16" s="116"/>
      <c r="J16" s="91" t="s">
        <v>433</v>
      </c>
      <c r="K16" s="91"/>
      <c r="L16" s="91"/>
      <c r="M16" s="91"/>
      <c r="N16" s="94"/>
    </row>
    <row r="17" spans="1:14">
      <c r="A17" s="29" t="s">
        <v>8</v>
      </c>
      <c r="B17" s="27" t="s">
        <v>434</v>
      </c>
      <c r="C17" s="64" t="s">
        <v>111</v>
      </c>
      <c r="D17" s="25" t="s">
        <v>67</v>
      </c>
      <c r="E17" s="90" t="s">
        <v>348</v>
      </c>
      <c r="F17" s="97" t="s">
        <v>349</v>
      </c>
      <c r="G17" s="114" t="s">
        <v>434</v>
      </c>
      <c r="H17" s="115"/>
      <c r="I17" s="116"/>
      <c r="J17" s="91" t="s">
        <v>435</v>
      </c>
      <c r="K17" s="91"/>
      <c r="L17" s="91"/>
      <c r="M17" s="91"/>
      <c r="N17" s="94"/>
    </row>
    <row r="18" spans="1:14">
      <c r="A18" s="118" t="s">
        <v>115</v>
      </c>
      <c r="B18" s="119"/>
      <c r="C18" s="119"/>
      <c r="D18" s="152"/>
      <c r="E18" s="152"/>
      <c r="F18" s="119"/>
      <c r="G18" s="119"/>
      <c r="H18" s="119"/>
      <c r="I18" s="119"/>
      <c r="J18" s="152"/>
      <c r="K18" s="152"/>
      <c r="L18" s="152"/>
      <c r="M18" s="152"/>
      <c r="N18" s="173"/>
    </row>
    <row r="19" spans="1:14">
      <c r="A19" s="121" t="s">
        <v>4</v>
      </c>
      <c r="B19" s="122" t="s">
        <v>85</v>
      </c>
      <c r="C19" s="122" t="s">
        <v>116</v>
      </c>
      <c r="D19" s="122" t="s">
        <v>117</v>
      </c>
      <c r="E19" s="122" t="s">
        <v>118</v>
      </c>
      <c r="F19" s="122"/>
      <c r="G19" s="122"/>
      <c r="H19" s="122"/>
      <c r="I19" s="122"/>
      <c r="J19" s="122"/>
      <c r="K19" s="122"/>
      <c r="L19" s="122"/>
      <c r="M19" s="122" t="s">
        <v>119</v>
      </c>
      <c r="N19" s="123"/>
    </row>
    <row r="20" spans="1:14">
      <c r="A20" s="121"/>
      <c r="B20" s="122"/>
      <c r="C20" s="122"/>
      <c r="D20" s="122"/>
      <c r="E20" s="11" t="s">
        <v>85</v>
      </c>
      <c r="F20" s="11" t="s">
        <v>86</v>
      </c>
      <c r="G20" s="11" t="s">
        <v>91</v>
      </c>
      <c r="H20" s="11" t="s">
        <v>120</v>
      </c>
      <c r="I20" s="11" t="s">
        <v>87</v>
      </c>
      <c r="J20" s="122" t="s">
        <v>117</v>
      </c>
      <c r="K20" s="122"/>
      <c r="L20" s="122"/>
      <c r="M20" s="122"/>
      <c r="N20" s="123"/>
    </row>
    <row r="21" spans="1:14">
      <c r="A21" s="6" t="s">
        <v>9</v>
      </c>
      <c r="B21" s="26" t="s">
        <v>9</v>
      </c>
      <c r="C21" s="28" t="s">
        <v>9</v>
      </c>
      <c r="D21" s="28" t="s">
        <v>355</v>
      </c>
      <c r="E21" s="3"/>
      <c r="F21" s="3"/>
      <c r="G21" s="3"/>
      <c r="H21" s="3"/>
      <c r="I21" s="3"/>
      <c r="J21" s="106"/>
      <c r="K21" s="107"/>
      <c r="L21" s="108"/>
      <c r="M21" s="106"/>
      <c r="N21" s="109"/>
    </row>
    <row r="22" spans="1:14">
      <c r="A22" s="110" t="s">
        <v>126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2"/>
    </row>
    <row r="23" spans="1:14">
      <c r="A23" s="113" t="s">
        <v>4</v>
      </c>
      <c r="B23" s="100" t="s">
        <v>85</v>
      </c>
      <c r="C23" s="100" t="s">
        <v>127</v>
      </c>
      <c r="D23" s="100" t="s">
        <v>128</v>
      </c>
      <c r="E23" s="100" t="s">
        <v>117</v>
      </c>
      <c r="F23" s="100" t="s">
        <v>118</v>
      </c>
      <c r="G23" s="100"/>
      <c r="H23" s="100"/>
      <c r="I23" s="100"/>
      <c r="J23" s="100"/>
      <c r="K23" s="100"/>
      <c r="L23" s="100" t="s">
        <v>129</v>
      </c>
      <c r="M23" s="100"/>
      <c r="N23" s="101" t="s">
        <v>119</v>
      </c>
    </row>
    <row r="24" spans="1:14">
      <c r="A24" s="113"/>
      <c r="B24" s="100"/>
      <c r="C24" s="100"/>
      <c r="D24" s="100"/>
      <c r="E24" s="100"/>
      <c r="F24" s="12" t="s">
        <v>85</v>
      </c>
      <c r="G24" s="12" t="s">
        <v>86</v>
      </c>
      <c r="H24" s="12" t="s">
        <v>91</v>
      </c>
      <c r="I24" s="12" t="s">
        <v>120</v>
      </c>
      <c r="J24" s="12" t="s">
        <v>87</v>
      </c>
      <c r="K24" s="12" t="s">
        <v>117</v>
      </c>
      <c r="L24" s="12" t="s">
        <v>86</v>
      </c>
      <c r="M24" s="12" t="s">
        <v>91</v>
      </c>
      <c r="N24" s="101"/>
    </row>
    <row r="25" spans="1:14">
      <c r="A25" s="6" t="s">
        <v>9</v>
      </c>
      <c r="B25" s="24" t="s">
        <v>9</v>
      </c>
      <c r="C25" s="28" t="s">
        <v>9</v>
      </c>
      <c r="D25" s="28" t="s">
        <v>9</v>
      </c>
      <c r="E25" s="3" t="s">
        <v>9</v>
      </c>
      <c r="F25" s="3"/>
      <c r="G25" s="3"/>
      <c r="H25" s="3"/>
      <c r="I25" s="3"/>
      <c r="J25" s="3"/>
      <c r="K25" s="3"/>
      <c r="L25" s="3"/>
      <c r="M25" s="3"/>
      <c r="N25" s="7"/>
    </row>
    <row r="26" spans="1:14">
      <c r="A26" s="102" t="s">
        <v>131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4"/>
    </row>
    <row r="27" spans="1:14">
      <c r="A27" s="105" t="s">
        <v>4</v>
      </c>
      <c r="B27" s="98" t="s">
        <v>85</v>
      </c>
      <c r="C27" s="98" t="s">
        <v>132</v>
      </c>
      <c r="D27" s="98" t="s">
        <v>128</v>
      </c>
      <c r="E27" s="98" t="s">
        <v>117</v>
      </c>
      <c r="F27" s="98" t="s">
        <v>118</v>
      </c>
      <c r="G27" s="98"/>
      <c r="H27" s="98"/>
      <c r="I27" s="98"/>
      <c r="J27" s="98"/>
      <c r="K27" s="98"/>
      <c r="L27" s="98" t="s">
        <v>129</v>
      </c>
      <c r="M27" s="98"/>
      <c r="N27" s="99" t="s">
        <v>119</v>
      </c>
    </row>
    <row r="28" spans="1:14">
      <c r="A28" s="176"/>
      <c r="B28" s="177"/>
      <c r="C28" s="177"/>
      <c r="D28" s="177"/>
      <c r="E28" s="177"/>
      <c r="F28" s="88" t="s">
        <v>85</v>
      </c>
      <c r="G28" s="88" t="s">
        <v>86</v>
      </c>
      <c r="H28" s="88" t="s">
        <v>91</v>
      </c>
      <c r="I28" s="88" t="s">
        <v>120</v>
      </c>
      <c r="J28" s="88" t="s">
        <v>87</v>
      </c>
      <c r="K28" s="88" t="s">
        <v>117</v>
      </c>
      <c r="L28" s="88" t="s">
        <v>86</v>
      </c>
      <c r="M28" s="88" t="s">
        <v>91</v>
      </c>
      <c r="N28" s="178"/>
    </row>
    <row r="29" spans="1:14">
      <c r="A29" s="82" t="s">
        <v>9</v>
      </c>
      <c r="B29" s="89" t="s">
        <v>9</v>
      </c>
      <c r="C29" s="82" t="s">
        <v>9</v>
      </c>
      <c r="D29" s="82" t="s">
        <v>9</v>
      </c>
      <c r="E29" s="90" t="s">
        <v>9</v>
      </c>
      <c r="F29" s="82" t="s">
        <v>9</v>
      </c>
      <c r="G29" s="82" t="s">
        <v>9</v>
      </c>
      <c r="H29" s="82" t="s">
        <v>9</v>
      </c>
      <c r="I29" s="82" t="s">
        <v>9</v>
      </c>
      <c r="J29" s="82" t="s">
        <v>9</v>
      </c>
      <c r="K29" s="82" t="s">
        <v>9</v>
      </c>
      <c r="L29" s="82" t="s">
        <v>9</v>
      </c>
      <c r="M29" s="82" t="s">
        <v>9</v>
      </c>
      <c r="N29" s="82" t="s">
        <v>9</v>
      </c>
    </row>
  </sheetData>
  <mergeCells count="53">
    <mergeCell ref="G13:I13"/>
    <mergeCell ref="J13:N13"/>
    <mergeCell ref="G14:I14"/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J14:N14"/>
    <mergeCell ref="M19:N20"/>
    <mergeCell ref="J20:L20"/>
    <mergeCell ref="G16:I16"/>
    <mergeCell ref="G17:I17"/>
    <mergeCell ref="A18:N18"/>
    <mergeCell ref="A19:A20"/>
    <mergeCell ref="B19:B20"/>
    <mergeCell ref="C19:C20"/>
    <mergeCell ref="D19:D20"/>
    <mergeCell ref="E19:L19"/>
    <mergeCell ref="G15:I15"/>
    <mergeCell ref="J15:N15"/>
    <mergeCell ref="J21:L21"/>
    <mergeCell ref="M21:N21"/>
    <mergeCell ref="A22:N22"/>
    <mergeCell ref="A23:A24"/>
    <mergeCell ref="B23:B24"/>
    <mergeCell ref="C23:C24"/>
    <mergeCell ref="D23:D24"/>
    <mergeCell ref="E23:E24"/>
    <mergeCell ref="F23:K23"/>
    <mergeCell ref="L23:M23"/>
    <mergeCell ref="N23:N24"/>
    <mergeCell ref="A26:N26"/>
    <mergeCell ref="A27:A28"/>
    <mergeCell ref="B27:B28"/>
    <mergeCell ref="C27:C28"/>
    <mergeCell ref="D27:D28"/>
    <mergeCell ref="E27:E28"/>
    <mergeCell ref="F27:K27"/>
    <mergeCell ref="L27:M27"/>
    <mergeCell ref="N27:N28"/>
  </mergeCells>
  <hyperlinks>
    <hyperlink ref="A1:E1" location="'Structs'!A1" display="&lt;-Volver al inicio" xr:uid="{C634F46F-B1AA-44DC-A8CE-3D8829A4644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793B1C7-143F-47F7-8431-501CE96C4460}">
          <x14:formula1>
            <xm:f>Valores!$C$2:$C$7</xm:f>
          </x14:formula1>
          <xm:sqref>B9:D9</xm:sqref>
        </x14:dataValidation>
        <x14:dataValidation type="list" allowBlank="1" showInputMessage="1" showErrorMessage="1" xr:uid="{D8C93BD6-7224-4913-9D49-FE472490D1A4}">
          <x14:formula1>
            <xm:f>Valores!$L$2:$L$13</xm:f>
          </x14:formula1>
          <xm:sqref>L29</xm:sqref>
        </x14:dataValidation>
        <x14:dataValidation type="list" allowBlank="1" showInputMessage="1" showErrorMessage="1" xr:uid="{7CFD6748-9A20-4909-8EEF-7BFBFD47A9A9}">
          <x14:formula1>
            <xm:f>Valores!$J$2:$J$3</xm:f>
          </x14:formula1>
          <xm:sqref>H21 I25</xm:sqref>
        </x14:dataValidation>
        <x14:dataValidation type="list" allowBlank="1" showInputMessage="1" showErrorMessage="1" xr:uid="{3BA9328E-1C5D-464D-BEB4-39D3D4FC8180}">
          <x14:formula1>
            <xm:f>Valores!$H$2:$H$3</xm:f>
          </x14:formula1>
          <xm:sqref>C29 F13:F17</xm:sqref>
        </x14:dataValidation>
        <x14:dataValidation type="list" allowBlank="1" showInputMessage="1" showErrorMessage="1" xr:uid="{5BCF8C34-7B00-44FA-83F9-103BDB85E9FD}">
          <x14:formula1>
            <xm:f>Valores!$G$2:$G$12</xm:f>
          </x14:formula1>
          <xm:sqref>G29 F21 G25 L25 C13:C17</xm:sqref>
        </x14:dataValidation>
        <x14:dataValidation type="list" allowBlank="1" showInputMessage="1" showErrorMessage="1" xr:uid="{BC4E8906-D436-4E3F-8576-89F341E3B946}">
          <x14:formula1>
            <xm:f>Structs!$D$2</xm:f>
          </x14:formula1>
          <xm:sqref>B5:E5 A13:A17</xm:sqref>
        </x14:dataValidation>
        <x14:dataValidation type="list" allowBlank="1" showInputMessage="1" showErrorMessage="1" xr:uid="{A858B0B5-24E8-4EE5-AC54-107E88A9FB14}">
          <x14:formula1>
            <xm:f>Structs!$E$2</xm:f>
          </x14:formula1>
          <xm:sqref>B6:E6 I29:J29 I21 J25 D29</xm:sqref>
        </x14:dataValidation>
        <x14:dataValidation type="list" allowBlank="1" showInputMessage="1" showErrorMessage="1" xr:uid="{C65540D1-537B-4D17-8905-378F7B5DDC57}">
          <x14:formula1>
            <xm:f>Structs!$D$2:$E$2</xm:f>
          </x14:formula1>
          <xm:sqref>A21 A25 A29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2E7F-A350-49B5-9E1E-9F8803F7EFB4}">
  <dimension ref="A1:N26"/>
  <sheetViews>
    <sheetView zoomScale="55" zoomScaleNormal="55" workbookViewId="0">
      <pane ySplit="1" topLeftCell="A2" activePane="bottomLeft" state="frozen"/>
      <selection pane="bottomLeft" activeCell="J13" sqref="J13:N14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Structs!I31</f>
        <v>EntryType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Structs!B31</f>
        <v>enum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Structs!C31</f>
        <v>Enumeración que define el tipo de entrada de horario: REGULAR (día normal) o EXCEPTION (excepción programada).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141" t="s">
        <v>82</v>
      </c>
      <c r="C9" s="141"/>
      <c r="D9" s="142"/>
      <c r="E9" s="53" t="str">
        <f>HYPERLINK("#'"&amp;F9&amp;"'!A1", F9)</f>
        <v>ScheduleDetail</v>
      </c>
      <c r="F9" s="55" t="s">
        <v>52</v>
      </c>
    </row>
    <row r="10" spans="1:14">
      <c r="A10" s="124" t="s">
        <v>84</v>
      </c>
      <c r="B10" s="125"/>
      <c r="C10" s="125"/>
      <c r="D10" s="125"/>
      <c r="E10" s="126"/>
      <c r="F10" s="126"/>
      <c r="G10" s="125"/>
      <c r="H10" s="125"/>
      <c r="I10" s="125"/>
      <c r="J10" s="125"/>
      <c r="K10" s="125"/>
      <c r="L10" s="125"/>
      <c r="M10" s="125"/>
      <c r="N10" s="127"/>
    </row>
    <row r="11" spans="1:14">
      <c r="A11" s="128" t="s">
        <v>4</v>
      </c>
      <c r="B11" s="129" t="s">
        <v>85</v>
      </c>
      <c r="C11" s="129" t="s">
        <v>86</v>
      </c>
      <c r="D11" s="129"/>
      <c r="E11" s="129" t="s">
        <v>87</v>
      </c>
      <c r="F11" s="129" t="s">
        <v>88</v>
      </c>
      <c r="G11" s="130" t="s">
        <v>89</v>
      </c>
      <c r="H11" s="131"/>
      <c r="I11" s="132"/>
      <c r="J11" s="129" t="s">
        <v>90</v>
      </c>
      <c r="K11" s="129"/>
      <c r="L11" s="129"/>
      <c r="M11" s="129"/>
      <c r="N11" s="136"/>
    </row>
    <row r="12" spans="1:14">
      <c r="A12" s="128"/>
      <c r="B12" s="129"/>
      <c r="C12" s="10" t="s">
        <v>86</v>
      </c>
      <c r="D12" s="10" t="s">
        <v>91</v>
      </c>
      <c r="E12" s="156"/>
      <c r="F12" s="129"/>
      <c r="G12" s="133"/>
      <c r="H12" s="134"/>
      <c r="I12" s="135"/>
      <c r="J12" s="129"/>
      <c r="K12" s="129"/>
      <c r="L12" s="129"/>
      <c r="M12" s="129"/>
      <c r="N12" s="136"/>
    </row>
    <row r="13" spans="1:14">
      <c r="A13" s="6" t="s">
        <v>226</v>
      </c>
      <c r="B13" s="26" t="s">
        <v>436</v>
      </c>
      <c r="C13" s="24" t="s">
        <v>111</v>
      </c>
      <c r="D13" s="24" t="s">
        <v>69</v>
      </c>
      <c r="E13" s="90" t="s">
        <v>348</v>
      </c>
      <c r="F13" s="97" t="s">
        <v>349</v>
      </c>
      <c r="G13" s="114" t="s">
        <v>436</v>
      </c>
      <c r="H13" s="115"/>
      <c r="I13" s="116"/>
      <c r="J13" s="114" t="s">
        <v>437</v>
      </c>
      <c r="K13" s="115"/>
      <c r="L13" s="115"/>
      <c r="M13" s="115"/>
      <c r="N13" s="117"/>
    </row>
    <row r="14" spans="1:14">
      <c r="A14" s="6" t="s">
        <v>226</v>
      </c>
      <c r="B14" s="27" t="s">
        <v>438</v>
      </c>
      <c r="C14" s="25" t="s">
        <v>111</v>
      </c>
      <c r="D14" s="25" t="s">
        <v>69</v>
      </c>
      <c r="E14" s="90" t="s">
        <v>348</v>
      </c>
      <c r="F14" s="97" t="s">
        <v>349</v>
      </c>
      <c r="G14" s="114" t="s">
        <v>438</v>
      </c>
      <c r="H14" s="115"/>
      <c r="I14" s="116"/>
      <c r="J14" s="114" t="s">
        <v>439</v>
      </c>
      <c r="K14" s="115"/>
      <c r="L14" s="115"/>
      <c r="M14" s="115"/>
      <c r="N14" s="117"/>
    </row>
    <row r="15" spans="1:14">
      <c r="A15" s="118" t="s">
        <v>115</v>
      </c>
      <c r="B15" s="119"/>
      <c r="C15" s="119"/>
      <c r="D15" s="152"/>
      <c r="E15" s="152"/>
      <c r="F15" s="119"/>
      <c r="G15" s="119"/>
      <c r="H15" s="119"/>
      <c r="I15" s="119"/>
      <c r="J15" s="152"/>
      <c r="K15" s="152"/>
      <c r="L15" s="152"/>
      <c r="M15" s="152"/>
      <c r="N15" s="173"/>
    </row>
    <row r="16" spans="1:14">
      <c r="A16" s="121" t="s">
        <v>4</v>
      </c>
      <c r="B16" s="122" t="s">
        <v>85</v>
      </c>
      <c r="C16" s="122" t="s">
        <v>116</v>
      </c>
      <c r="D16" s="122" t="s">
        <v>117</v>
      </c>
      <c r="E16" s="122" t="s">
        <v>118</v>
      </c>
      <c r="F16" s="122"/>
      <c r="G16" s="122"/>
      <c r="H16" s="122"/>
      <c r="I16" s="122"/>
      <c r="J16" s="122"/>
      <c r="K16" s="122"/>
      <c r="L16" s="122"/>
      <c r="M16" s="122" t="s">
        <v>119</v>
      </c>
      <c r="N16" s="123"/>
    </row>
    <row r="17" spans="1:14">
      <c r="A17" s="121"/>
      <c r="B17" s="122"/>
      <c r="C17" s="122"/>
      <c r="D17" s="122"/>
      <c r="E17" s="11" t="s">
        <v>85</v>
      </c>
      <c r="F17" s="11" t="s">
        <v>86</v>
      </c>
      <c r="G17" s="11" t="s">
        <v>91</v>
      </c>
      <c r="H17" s="11" t="s">
        <v>120</v>
      </c>
      <c r="I17" s="11" t="s">
        <v>87</v>
      </c>
      <c r="J17" s="122" t="s">
        <v>117</v>
      </c>
      <c r="K17" s="122"/>
      <c r="L17" s="122"/>
      <c r="M17" s="122"/>
      <c r="N17" s="123"/>
    </row>
    <row r="18" spans="1:14">
      <c r="A18" s="6" t="s">
        <v>9</v>
      </c>
      <c r="B18" s="26" t="s">
        <v>9</v>
      </c>
      <c r="C18" s="28" t="s">
        <v>9</v>
      </c>
      <c r="D18" s="28" t="s">
        <v>355</v>
      </c>
      <c r="E18" s="3"/>
      <c r="F18" s="3"/>
      <c r="G18" s="3"/>
      <c r="H18" s="3"/>
      <c r="I18" s="3"/>
      <c r="J18" s="106"/>
      <c r="K18" s="107"/>
      <c r="L18" s="108"/>
      <c r="M18" s="106"/>
      <c r="N18" s="109"/>
    </row>
    <row r="19" spans="1:14">
      <c r="A19" s="110" t="s">
        <v>126</v>
      </c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2"/>
    </row>
    <row r="20" spans="1:14">
      <c r="A20" s="113" t="s">
        <v>4</v>
      </c>
      <c r="B20" s="100" t="s">
        <v>85</v>
      </c>
      <c r="C20" s="100" t="s">
        <v>127</v>
      </c>
      <c r="D20" s="100" t="s">
        <v>128</v>
      </c>
      <c r="E20" s="100" t="s">
        <v>117</v>
      </c>
      <c r="F20" s="100" t="s">
        <v>118</v>
      </c>
      <c r="G20" s="100"/>
      <c r="H20" s="100"/>
      <c r="I20" s="100"/>
      <c r="J20" s="100"/>
      <c r="K20" s="100"/>
      <c r="L20" s="100" t="s">
        <v>129</v>
      </c>
      <c r="M20" s="100"/>
      <c r="N20" s="101" t="s">
        <v>119</v>
      </c>
    </row>
    <row r="21" spans="1:14">
      <c r="A21" s="113"/>
      <c r="B21" s="100"/>
      <c r="C21" s="100"/>
      <c r="D21" s="100"/>
      <c r="E21" s="100"/>
      <c r="F21" s="12" t="s">
        <v>85</v>
      </c>
      <c r="G21" s="12" t="s">
        <v>86</v>
      </c>
      <c r="H21" s="12" t="s">
        <v>91</v>
      </c>
      <c r="I21" s="12" t="s">
        <v>120</v>
      </c>
      <c r="J21" s="12" t="s">
        <v>87</v>
      </c>
      <c r="K21" s="12" t="s">
        <v>117</v>
      </c>
      <c r="L21" s="12" t="s">
        <v>86</v>
      </c>
      <c r="M21" s="12" t="s">
        <v>91</v>
      </c>
      <c r="N21" s="101"/>
    </row>
    <row r="22" spans="1:14">
      <c r="A22" s="6" t="s">
        <v>9</v>
      </c>
      <c r="B22" s="24" t="s">
        <v>9</v>
      </c>
      <c r="C22" s="28" t="s">
        <v>9</v>
      </c>
      <c r="D22" s="28" t="s">
        <v>9</v>
      </c>
      <c r="E22" s="3" t="s">
        <v>9</v>
      </c>
      <c r="F22" s="3"/>
      <c r="G22" s="3"/>
      <c r="H22" s="3"/>
      <c r="I22" s="3"/>
      <c r="J22" s="3"/>
      <c r="K22" s="3"/>
      <c r="L22" s="3"/>
      <c r="M22" s="3"/>
      <c r="N22" s="7"/>
    </row>
    <row r="23" spans="1:14">
      <c r="A23" s="102" t="s">
        <v>131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4"/>
    </row>
    <row r="24" spans="1:14">
      <c r="A24" s="105" t="s">
        <v>4</v>
      </c>
      <c r="B24" s="98" t="s">
        <v>85</v>
      </c>
      <c r="C24" s="98" t="s">
        <v>132</v>
      </c>
      <c r="D24" s="98" t="s">
        <v>128</v>
      </c>
      <c r="E24" s="98" t="s">
        <v>117</v>
      </c>
      <c r="F24" s="98" t="s">
        <v>118</v>
      </c>
      <c r="G24" s="98"/>
      <c r="H24" s="98"/>
      <c r="I24" s="98"/>
      <c r="J24" s="98"/>
      <c r="K24" s="98"/>
      <c r="L24" s="98" t="s">
        <v>129</v>
      </c>
      <c r="M24" s="98"/>
      <c r="N24" s="99" t="s">
        <v>119</v>
      </c>
    </row>
    <row r="25" spans="1:14">
      <c r="A25" s="176"/>
      <c r="B25" s="177"/>
      <c r="C25" s="177"/>
      <c r="D25" s="177"/>
      <c r="E25" s="177"/>
      <c r="F25" s="88" t="s">
        <v>85</v>
      </c>
      <c r="G25" s="88" t="s">
        <v>86</v>
      </c>
      <c r="H25" s="88" t="s">
        <v>91</v>
      </c>
      <c r="I25" s="88" t="s">
        <v>120</v>
      </c>
      <c r="J25" s="88" t="s">
        <v>87</v>
      </c>
      <c r="K25" s="88" t="s">
        <v>117</v>
      </c>
      <c r="L25" s="88" t="s">
        <v>86</v>
      </c>
      <c r="M25" s="88" t="s">
        <v>91</v>
      </c>
      <c r="N25" s="178"/>
    </row>
    <row r="26" spans="1:14">
      <c r="A26" s="82" t="s">
        <v>9</v>
      </c>
      <c r="B26" s="89" t="s">
        <v>9</v>
      </c>
      <c r="C26" s="82" t="s">
        <v>9</v>
      </c>
      <c r="D26" s="82" t="s">
        <v>9</v>
      </c>
      <c r="E26" s="90" t="s">
        <v>9</v>
      </c>
      <c r="F26" s="82" t="s">
        <v>9</v>
      </c>
      <c r="G26" s="82" t="s">
        <v>9</v>
      </c>
      <c r="H26" s="82" t="s">
        <v>9</v>
      </c>
      <c r="I26" s="82" t="s">
        <v>9</v>
      </c>
      <c r="J26" s="82" t="s">
        <v>9</v>
      </c>
      <c r="K26" s="82" t="s">
        <v>9</v>
      </c>
      <c r="L26" s="82" t="s">
        <v>9</v>
      </c>
      <c r="M26" s="82" t="s">
        <v>9</v>
      </c>
      <c r="N26" s="82" t="s">
        <v>9</v>
      </c>
    </row>
  </sheetData>
  <mergeCells count="49"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G13:I13"/>
    <mergeCell ref="J13:N13"/>
    <mergeCell ref="G14:I14"/>
    <mergeCell ref="J14:N14"/>
    <mergeCell ref="A15:N15"/>
    <mergeCell ref="E20:E21"/>
    <mergeCell ref="M16:N17"/>
    <mergeCell ref="J17:L17"/>
    <mergeCell ref="J18:L18"/>
    <mergeCell ref="M18:N18"/>
    <mergeCell ref="A19:N19"/>
    <mergeCell ref="A16:A17"/>
    <mergeCell ref="B16:B17"/>
    <mergeCell ref="C16:C17"/>
    <mergeCell ref="D16:D17"/>
    <mergeCell ref="E16:L16"/>
    <mergeCell ref="F20:K20"/>
    <mergeCell ref="L20:M20"/>
    <mergeCell ref="N20:N21"/>
    <mergeCell ref="A23:N23"/>
    <mergeCell ref="A24:A25"/>
    <mergeCell ref="B24:B25"/>
    <mergeCell ref="C24:C25"/>
    <mergeCell ref="D24:D25"/>
    <mergeCell ref="E24:E25"/>
    <mergeCell ref="F24:K24"/>
    <mergeCell ref="L24:M24"/>
    <mergeCell ref="N24:N25"/>
    <mergeCell ref="A20:A21"/>
    <mergeCell ref="B20:B21"/>
    <mergeCell ref="C20:C21"/>
    <mergeCell ref="D20:D21"/>
  </mergeCells>
  <hyperlinks>
    <hyperlink ref="A1:E1" location="'Structs'!A1" display="&lt;-Volver al inicio" xr:uid="{E0A73BCA-33EB-42B1-A23A-1AA39F99CCF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E0262E3-0005-4501-9D82-0D815CA05DB5}">
          <x14:formula1>
            <xm:f>Structs!$D$2:$E$2</xm:f>
          </x14:formula1>
          <xm:sqref>A18 A22 A26</xm:sqref>
        </x14:dataValidation>
        <x14:dataValidation type="list" allowBlank="1" showInputMessage="1" showErrorMessage="1" xr:uid="{DD50B8CB-53D3-43FE-A344-FBFE1CABAB08}">
          <x14:formula1>
            <xm:f>Structs!$E$2</xm:f>
          </x14:formula1>
          <xm:sqref>B6:E6 I26:J26 I18 J22 D26</xm:sqref>
        </x14:dataValidation>
        <x14:dataValidation type="list" allowBlank="1" showInputMessage="1" showErrorMessage="1" xr:uid="{D355FAF7-61BE-43A7-9212-1A55C8897C0F}">
          <x14:formula1>
            <xm:f>Structs!$D$2</xm:f>
          </x14:formula1>
          <xm:sqref>B5:E5 A13:A14</xm:sqref>
        </x14:dataValidation>
        <x14:dataValidation type="list" allowBlank="1" showInputMessage="1" showErrorMessage="1" xr:uid="{8A61DD81-71F7-42D9-A7B0-DD433AF58207}">
          <x14:formula1>
            <xm:f>Valores!$G$2:$G$12</xm:f>
          </x14:formula1>
          <xm:sqref>G26 F18 G22 L22 C13:C14</xm:sqref>
        </x14:dataValidation>
        <x14:dataValidation type="list" allowBlank="1" showInputMessage="1" showErrorMessage="1" xr:uid="{2C5F443A-8A72-4931-9F0E-ED614C6737B2}">
          <x14:formula1>
            <xm:f>Valores!$H$2:$H$3</xm:f>
          </x14:formula1>
          <xm:sqref>C26 F13:F14</xm:sqref>
        </x14:dataValidation>
        <x14:dataValidation type="list" allowBlank="1" showInputMessage="1" showErrorMessage="1" xr:uid="{6A646D02-FF85-4E18-8D61-C5BF975B03EF}">
          <x14:formula1>
            <xm:f>Valores!$J$2:$J$3</xm:f>
          </x14:formula1>
          <xm:sqref>H18 I22</xm:sqref>
        </x14:dataValidation>
        <x14:dataValidation type="list" allowBlank="1" showInputMessage="1" showErrorMessage="1" xr:uid="{65C165D5-9FF8-402D-849C-6373FE4B9F09}">
          <x14:formula1>
            <xm:f>Valores!$L$2:$L$13</xm:f>
          </x14:formula1>
          <xm:sqref>L26</xm:sqref>
        </x14:dataValidation>
        <x14:dataValidation type="list" allowBlank="1" showInputMessage="1" showErrorMessage="1" xr:uid="{4C4E6F9D-844C-4B3E-91A9-AE90A155886B}">
          <x14:formula1>
            <xm:f>Valores!$C$2:$C$7</xm:f>
          </x14:formula1>
          <xm:sqref>B9:D9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865A-A292-40D9-82BA-4DC908E4C52F}">
  <dimension ref="A1:N27"/>
  <sheetViews>
    <sheetView zoomScale="55" zoomScaleNormal="55" workbookViewId="0">
      <pane ySplit="1" topLeftCell="A2" activePane="bottomLeft" state="frozen"/>
      <selection pane="bottomLeft" activeCell="J13" sqref="J13:J15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Structs!I32</f>
        <v>EvidenceAngle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Structs!B32</f>
        <v>enum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Structs!C32</f>
        <v>Enumeración que define los ángulos de captura de evidencia fotográfica de motocicleta: FRONTAL, LATERAL, REAR.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141" t="s">
        <v>82</v>
      </c>
      <c r="C9" s="141"/>
      <c r="D9" s="142"/>
      <c r="E9" s="53" t="str">
        <f>HYPERLINK("#'"&amp;F9&amp;"'!A1", F9)</f>
        <v>MotorcycleEvidence</v>
      </c>
      <c r="F9" s="55" t="s">
        <v>22</v>
      </c>
    </row>
    <row r="10" spans="1:14">
      <c r="A10" s="124" t="s">
        <v>84</v>
      </c>
      <c r="B10" s="125"/>
      <c r="C10" s="125"/>
      <c r="D10" s="125"/>
      <c r="E10" s="126"/>
      <c r="F10" s="126"/>
      <c r="G10" s="125"/>
      <c r="H10" s="125"/>
      <c r="I10" s="125"/>
      <c r="J10" s="125"/>
      <c r="K10" s="125"/>
      <c r="L10" s="125"/>
      <c r="M10" s="125"/>
      <c r="N10" s="127"/>
    </row>
    <row r="11" spans="1:14">
      <c r="A11" s="128" t="s">
        <v>4</v>
      </c>
      <c r="B11" s="129" t="s">
        <v>85</v>
      </c>
      <c r="C11" s="129" t="s">
        <v>86</v>
      </c>
      <c r="D11" s="129"/>
      <c r="E11" s="129" t="s">
        <v>87</v>
      </c>
      <c r="F11" s="129" t="s">
        <v>88</v>
      </c>
      <c r="G11" s="130" t="s">
        <v>89</v>
      </c>
      <c r="H11" s="131"/>
      <c r="I11" s="132"/>
      <c r="J11" s="129" t="s">
        <v>90</v>
      </c>
      <c r="K11" s="129"/>
      <c r="L11" s="129"/>
      <c r="M11" s="129"/>
      <c r="N11" s="136"/>
    </row>
    <row r="12" spans="1:14">
      <c r="A12" s="128"/>
      <c r="B12" s="129"/>
      <c r="C12" s="10" t="s">
        <v>86</v>
      </c>
      <c r="D12" s="10" t="s">
        <v>91</v>
      </c>
      <c r="E12" s="156"/>
      <c r="F12" s="129"/>
      <c r="G12" s="133"/>
      <c r="H12" s="134"/>
      <c r="I12" s="135"/>
      <c r="J12" s="129"/>
      <c r="K12" s="129"/>
      <c r="L12" s="129"/>
      <c r="M12" s="129"/>
      <c r="N12" s="136"/>
    </row>
    <row r="13" spans="1:14">
      <c r="A13" s="6" t="s">
        <v>226</v>
      </c>
      <c r="B13" s="26" t="s">
        <v>440</v>
      </c>
      <c r="C13" s="24" t="s">
        <v>111</v>
      </c>
      <c r="D13" s="24" t="s">
        <v>71</v>
      </c>
      <c r="E13" s="90" t="s">
        <v>348</v>
      </c>
      <c r="F13" s="97" t="s">
        <v>349</v>
      </c>
      <c r="G13" s="114" t="s">
        <v>440</v>
      </c>
      <c r="H13" s="115"/>
      <c r="I13" s="116"/>
      <c r="J13" s="114" t="s">
        <v>441</v>
      </c>
      <c r="K13" s="115"/>
      <c r="L13" s="115"/>
      <c r="M13" s="115"/>
      <c r="N13" s="117"/>
    </row>
    <row r="14" spans="1:14">
      <c r="A14" s="6" t="s">
        <v>226</v>
      </c>
      <c r="B14" s="27" t="s">
        <v>442</v>
      </c>
      <c r="C14" s="25" t="s">
        <v>111</v>
      </c>
      <c r="D14" s="25" t="s">
        <v>71</v>
      </c>
      <c r="E14" s="90" t="s">
        <v>348</v>
      </c>
      <c r="F14" s="97" t="s">
        <v>349</v>
      </c>
      <c r="G14" s="114" t="s">
        <v>442</v>
      </c>
      <c r="H14" s="115"/>
      <c r="I14" s="116"/>
      <c r="J14" s="114" t="s">
        <v>443</v>
      </c>
      <c r="K14" s="115"/>
      <c r="L14" s="115"/>
      <c r="M14" s="115"/>
      <c r="N14" s="117"/>
    </row>
    <row r="15" spans="1:14">
      <c r="A15" s="6" t="s">
        <v>226</v>
      </c>
      <c r="B15" s="27" t="s">
        <v>444</v>
      </c>
      <c r="C15" s="25" t="s">
        <v>111</v>
      </c>
      <c r="D15" s="25" t="s">
        <v>71</v>
      </c>
      <c r="E15" s="90" t="s">
        <v>348</v>
      </c>
      <c r="F15" s="97" t="s">
        <v>349</v>
      </c>
      <c r="G15" s="114" t="s">
        <v>444</v>
      </c>
      <c r="H15" s="115"/>
      <c r="I15" s="116"/>
      <c r="J15" s="114" t="s">
        <v>445</v>
      </c>
      <c r="K15" s="115"/>
      <c r="L15" s="115"/>
      <c r="M15" s="115"/>
      <c r="N15" s="117"/>
    </row>
    <row r="16" spans="1:14">
      <c r="A16" s="118" t="s">
        <v>115</v>
      </c>
      <c r="B16" s="119"/>
      <c r="C16" s="119"/>
      <c r="D16" s="152"/>
      <c r="E16" s="152"/>
      <c r="F16" s="119"/>
      <c r="G16" s="119"/>
      <c r="H16" s="119"/>
      <c r="I16" s="119"/>
      <c r="J16" s="152"/>
      <c r="K16" s="152"/>
      <c r="L16" s="152"/>
      <c r="M16" s="152"/>
      <c r="N16" s="173"/>
    </row>
    <row r="17" spans="1:14">
      <c r="A17" s="121" t="s">
        <v>4</v>
      </c>
      <c r="B17" s="122" t="s">
        <v>85</v>
      </c>
      <c r="C17" s="122" t="s">
        <v>116</v>
      </c>
      <c r="D17" s="122" t="s">
        <v>117</v>
      </c>
      <c r="E17" s="122" t="s">
        <v>118</v>
      </c>
      <c r="F17" s="122"/>
      <c r="G17" s="122"/>
      <c r="H17" s="122"/>
      <c r="I17" s="122"/>
      <c r="J17" s="122"/>
      <c r="K17" s="122"/>
      <c r="L17" s="122"/>
      <c r="M17" s="122" t="s">
        <v>119</v>
      </c>
      <c r="N17" s="123"/>
    </row>
    <row r="18" spans="1:14">
      <c r="A18" s="121"/>
      <c r="B18" s="122"/>
      <c r="C18" s="122"/>
      <c r="D18" s="122"/>
      <c r="E18" s="11" t="s">
        <v>85</v>
      </c>
      <c r="F18" s="11" t="s">
        <v>86</v>
      </c>
      <c r="G18" s="11" t="s">
        <v>91</v>
      </c>
      <c r="H18" s="11" t="s">
        <v>120</v>
      </c>
      <c r="I18" s="11" t="s">
        <v>87</v>
      </c>
      <c r="J18" s="122" t="s">
        <v>117</v>
      </c>
      <c r="K18" s="122"/>
      <c r="L18" s="122"/>
      <c r="M18" s="122"/>
      <c r="N18" s="123"/>
    </row>
    <row r="19" spans="1:14">
      <c r="A19" s="6" t="s">
        <v>9</v>
      </c>
      <c r="B19" s="26" t="s">
        <v>9</v>
      </c>
      <c r="C19" s="28" t="s">
        <v>9</v>
      </c>
      <c r="D19" s="28" t="s">
        <v>355</v>
      </c>
      <c r="E19" s="3"/>
      <c r="F19" s="3"/>
      <c r="G19" s="3"/>
      <c r="H19" s="3"/>
      <c r="I19" s="3"/>
      <c r="J19" s="106"/>
      <c r="K19" s="107"/>
      <c r="L19" s="108"/>
      <c r="M19" s="106"/>
      <c r="N19" s="109"/>
    </row>
    <row r="20" spans="1:14">
      <c r="A20" s="110" t="s">
        <v>126</v>
      </c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2"/>
    </row>
    <row r="21" spans="1:14">
      <c r="A21" s="113" t="s">
        <v>4</v>
      </c>
      <c r="B21" s="100" t="s">
        <v>85</v>
      </c>
      <c r="C21" s="100" t="s">
        <v>127</v>
      </c>
      <c r="D21" s="100" t="s">
        <v>128</v>
      </c>
      <c r="E21" s="100" t="s">
        <v>117</v>
      </c>
      <c r="F21" s="100" t="s">
        <v>118</v>
      </c>
      <c r="G21" s="100"/>
      <c r="H21" s="100"/>
      <c r="I21" s="100"/>
      <c r="J21" s="100"/>
      <c r="K21" s="100"/>
      <c r="L21" s="100" t="s">
        <v>129</v>
      </c>
      <c r="M21" s="100"/>
      <c r="N21" s="101" t="s">
        <v>119</v>
      </c>
    </row>
    <row r="22" spans="1:14">
      <c r="A22" s="113"/>
      <c r="B22" s="100"/>
      <c r="C22" s="100"/>
      <c r="D22" s="100"/>
      <c r="E22" s="100"/>
      <c r="F22" s="12" t="s">
        <v>85</v>
      </c>
      <c r="G22" s="12" t="s">
        <v>86</v>
      </c>
      <c r="H22" s="12" t="s">
        <v>91</v>
      </c>
      <c r="I22" s="12" t="s">
        <v>120</v>
      </c>
      <c r="J22" s="12" t="s">
        <v>87</v>
      </c>
      <c r="K22" s="12" t="s">
        <v>117</v>
      </c>
      <c r="L22" s="12" t="s">
        <v>86</v>
      </c>
      <c r="M22" s="12" t="s">
        <v>91</v>
      </c>
      <c r="N22" s="101"/>
    </row>
    <row r="23" spans="1:14">
      <c r="A23" s="6" t="s">
        <v>9</v>
      </c>
      <c r="B23" s="24" t="s">
        <v>9</v>
      </c>
      <c r="C23" s="28" t="s">
        <v>9</v>
      </c>
      <c r="D23" s="28" t="s">
        <v>9</v>
      </c>
      <c r="E23" s="3" t="s">
        <v>9</v>
      </c>
      <c r="F23" s="3"/>
      <c r="G23" s="3"/>
      <c r="H23" s="3"/>
      <c r="I23" s="3"/>
      <c r="J23" s="3"/>
      <c r="K23" s="3"/>
      <c r="L23" s="3"/>
      <c r="M23" s="3"/>
      <c r="N23" s="7"/>
    </row>
    <row r="24" spans="1:14">
      <c r="A24" s="102" t="s">
        <v>131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4"/>
    </row>
    <row r="25" spans="1:14">
      <c r="A25" s="105" t="s">
        <v>4</v>
      </c>
      <c r="B25" s="98" t="s">
        <v>85</v>
      </c>
      <c r="C25" s="98" t="s">
        <v>132</v>
      </c>
      <c r="D25" s="98" t="s">
        <v>128</v>
      </c>
      <c r="E25" s="98" t="s">
        <v>117</v>
      </c>
      <c r="F25" s="98" t="s">
        <v>118</v>
      </c>
      <c r="G25" s="98"/>
      <c r="H25" s="98"/>
      <c r="I25" s="98"/>
      <c r="J25" s="98"/>
      <c r="K25" s="98"/>
      <c r="L25" s="98" t="s">
        <v>129</v>
      </c>
      <c r="M25" s="98"/>
      <c r="N25" s="99" t="s">
        <v>119</v>
      </c>
    </row>
    <row r="26" spans="1:14">
      <c r="A26" s="176"/>
      <c r="B26" s="177"/>
      <c r="C26" s="177"/>
      <c r="D26" s="177"/>
      <c r="E26" s="177"/>
      <c r="F26" s="88" t="s">
        <v>85</v>
      </c>
      <c r="G26" s="88" t="s">
        <v>86</v>
      </c>
      <c r="H26" s="88" t="s">
        <v>91</v>
      </c>
      <c r="I26" s="88" t="s">
        <v>120</v>
      </c>
      <c r="J26" s="88" t="s">
        <v>87</v>
      </c>
      <c r="K26" s="88" t="s">
        <v>117</v>
      </c>
      <c r="L26" s="88" t="s">
        <v>86</v>
      </c>
      <c r="M26" s="88" t="s">
        <v>91</v>
      </c>
      <c r="N26" s="178"/>
    </row>
    <row r="27" spans="1:14">
      <c r="A27" s="82" t="s">
        <v>9</v>
      </c>
      <c r="B27" s="89" t="s">
        <v>9</v>
      </c>
      <c r="C27" s="82" t="s">
        <v>9</v>
      </c>
      <c r="D27" s="82" t="s">
        <v>9</v>
      </c>
      <c r="E27" s="90" t="s">
        <v>9</v>
      </c>
      <c r="F27" s="82" t="s">
        <v>9</v>
      </c>
      <c r="G27" s="82" t="s">
        <v>9</v>
      </c>
      <c r="H27" s="82" t="s">
        <v>9</v>
      </c>
      <c r="I27" s="82" t="s">
        <v>9</v>
      </c>
      <c r="J27" s="82" t="s">
        <v>9</v>
      </c>
      <c r="K27" s="82" t="s">
        <v>9</v>
      </c>
      <c r="L27" s="82" t="s">
        <v>9</v>
      </c>
      <c r="M27" s="82" t="s">
        <v>9</v>
      </c>
      <c r="N27" s="82" t="s">
        <v>9</v>
      </c>
    </row>
  </sheetData>
  <mergeCells count="51">
    <mergeCell ref="G13:I13"/>
    <mergeCell ref="J13:N13"/>
    <mergeCell ref="G14:I14"/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J14:N14"/>
    <mergeCell ref="A16:N16"/>
    <mergeCell ref="A17:A18"/>
    <mergeCell ref="B17:B18"/>
    <mergeCell ref="C17:C18"/>
    <mergeCell ref="D17:D18"/>
    <mergeCell ref="E17:L17"/>
    <mergeCell ref="M17:N18"/>
    <mergeCell ref="J18:L18"/>
    <mergeCell ref="G15:I15"/>
    <mergeCell ref="J15:N15"/>
    <mergeCell ref="J19:L19"/>
    <mergeCell ref="M19:N19"/>
    <mergeCell ref="A20:N20"/>
    <mergeCell ref="A21:A22"/>
    <mergeCell ref="B21:B22"/>
    <mergeCell ref="C21:C22"/>
    <mergeCell ref="D21:D22"/>
    <mergeCell ref="E21:E22"/>
    <mergeCell ref="F21:K21"/>
    <mergeCell ref="L21:M21"/>
    <mergeCell ref="N21:N22"/>
    <mergeCell ref="A24:N24"/>
    <mergeCell ref="A25:A26"/>
    <mergeCell ref="B25:B26"/>
    <mergeCell ref="C25:C26"/>
    <mergeCell ref="D25:D26"/>
    <mergeCell ref="E25:E26"/>
    <mergeCell ref="F25:K25"/>
    <mergeCell ref="L25:M25"/>
    <mergeCell ref="N25:N26"/>
  </mergeCells>
  <hyperlinks>
    <hyperlink ref="A1:E1" location="'Structs'!A1" display="&lt;-Volver al inicio" xr:uid="{5BC538F2-5A06-49BE-A8A6-4C01831EFFF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AC67E2A-B397-4419-8B9C-A637A59E5951}">
          <x14:formula1>
            <xm:f>Structs!$D$2:$E$2</xm:f>
          </x14:formula1>
          <xm:sqref>A19 A23 A27</xm:sqref>
        </x14:dataValidation>
        <x14:dataValidation type="list" allowBlank="1" showInputMessage="1" showErrorMessage="1" xr:uid="{50663880-32F3-42E6-B6DB-BA6FD5ADF6BF}">
          <x14:formula1>
            <xm:f>Structs!$E$2</xm:f>
          </x14:formula1>
          <xm:sqref>B6:E6 I27:J27 I19 J23 D27</xm:sqref>
        </x14:dataValidation>
        <x14:dataValidation type="list" allowBlank="1" showInputMessage="1" showErrorMessage="1" xr:uid="{6223231F-BDF5-4DCC-8A24-A2750DFD56F7}">
          <x14:formula1>
            <xm:f>Structs!$D$2</xm:f>
          </x14:formula1>
          <xm:sqref>B5:E5 A13:A15</xm:sqref>
        </x14:dataValidation>
        <x14:dataValidation type="list" allowBlank="1" showInputMessage="1" showErrorMessage="1" xr:uid="{01F77C2F-4D2E-45D9-B77A-12201F52D17A}">
          <x14:formula1>
            <xm:f>Valores!$G$2:$G$12</xm:f>
          </x14:formula1>
          <xm:sqref>G27 F19 G23 L23 C13:C15</xm:sqref>
        </x14:dataValidation>
        <x14:dataValidation type="list" allowBlank="1" showInputMessage="1" showErrorMessage="1" xr:uid="{3DD20E65-0AE9-4F98-B1D1-51E9B2D32724}">
          <x14:formula1>
            <xm:f>Valores!$H$2:$H$3</xm:f>
          </x14:formula1>
          <xm:sqref>C27 F13:F15</xm:sqref>
        </x14:dataValidation>
        <x14:dataValidation type="list" allowBlank="1" showInputMessage="1" showErrorMessage="1" xr:uid="{D30E89E6-CFB6-48C7-91BE-522BFD6C96EC}">
          <x14:formula1>
            <xm:f>Valores!$J$2:$J$3</xm:f>
          </x14:formula1>
          <xm:sqref>H19 I23</xm:sqref>
        </x14:dataValidation>
        <x14:dataValidation type="list" allowBlank="1" showInputMessage="1" showErrorMessage="1" xr:uid="{16F55352-130B-46E4-BA6D-EB200AA1C3C5}">
          <x14:formula1>
            <xm:f>Valores!$L$2:$L$13</xm:f>
          </x14:formula1>
          <xm:sqref>L27</xm:sqref>
        </x14:dataValidation>
        <x14:dataValidation type="list" allowBlank="1" showInputMessage="1" showErrorMessage="1" xr:uid="{2B68A9D2-8FE4-445A-A8F4-CC3AED743616}">
          <x14:formula1>
            <xm:f>Valores!$C$2:$C$7</xm:f>
          </x14:formula1>
          <xm:sqref>B9:D9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174E-8FBD-4B2D-9083-2BC4E2FD641B}">
  <dimension ref="A1:N33"/>
  <sheetViews>
    <sheetView zoomScale="55" zoomScaleNormal="55" workbookViewId="0">
      <pane ySplit="1" topLeftCell="A2" activePane="bottomLeft" state="frozen"/>
      <selection pane="bottomLeft" activeCell="B3" sqref="B3:E3"/>
    </sheetView>
  </sheetViews>
  <sheetFormatPr defaultColWidth="19.7109375" defaultRowHeight="15"/>
  <cols>
    <col min="1" max="1" width="28.7109375" style="1" customWidth="1"/>
    <col min="2" max="2" width="23" style="1" customWidth="1"/>
    <col min="3" max="3" width="27.140625" style="1" bestFit="1" customWidth="1"/>
    <col min="4" max="4" width="33.42578125" style="1" bestFit="1" customWidth="1"/>
    <col min="5" max="5" width="83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143" t="s">
        <v>74</v>
      </c>
      <c r="B1" s="143"/>
      <c r="C1" s="143"/>
      <c r="D1" s="143"/>
      <c r="E1" s="143"/>
    </row>
    <row r="2" spans="1:14" ht="13.5" customHeight="1">
      <c r="A2" s="16" t="str">
        <f>Structs!$A$1</f>
        <v>Struct</v>
      </c>
      <c r="B2" s="144" t="str">
        <f>Structs!I33</f>
        <v>DayOfWeek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Structs!B33</f>
        <v>enum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Structs!C33</f>
        <v>Enumeración que define los días de la semana: 0 (Domingo) a 6 (Sábado).</v>
      </c>
      <c r="C4" s="140"/>
      <c r="D4" s="140"/>
      <c r="E4" s="146"/>
    </row>
    <row r="5" spans="1:14">
      <c r="A5" s="17" t="s">
        <v>75</v>
      </c>
      <c r="B5" s="140" t="s">
        <v>8</v>
      </c>
      <c r="C5" s="140"/>
      <c r="D5" s="140"/>
      <c r="E5" s="146"/>
    </row>
    <row r="6" spans="1:14">
      <c r="A6" s="17" t="s">
        <v>76</v>
      </c>
      <c r="B6" s="140" t="s">
        <v>9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37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24" t="s">
        <v>83</v>
      </c>
      <c r="B9" s="141" t="s">
        <v>82</v>
      </c>
      <c r="C9" s="141"/>
      <c r="D9" s="142"/>
      <c r="E9" s="53" t="str">
        <f>HYPERLINK("#'"&amp;F9&amp;"'!A1", F9)</f>
        <v>ScheduleDetail</v>
      </c>
      <c r="F9" s="55" t="s">
        <v>52</v>
      </c>
    </row>
    <row r="10" spans="1:14">
      <c r="A10" s="124" t="s">
        <v>84</v>
      </c>
      <c r="B10" s="125"/>
      <c r="C10" s="125"/>
      <c r="D10" s="125"/>
      <c r="E10" s="126"/>
      <c r="F10" s="126"/>
      <c r="G10" s="125"/>
      <c r="H10" s="125"/>
      <c r="I10" s="125"/>
      <c r="J10" s="125"/>
      <c r="K10" s="125"/>
      <c r="L10" s="125"/>
      <c r="M10" s="125"/>
      <c r="N10" s="127"/>
    </row>
    <row r="11" spans="1:14">
      <c r="A11" s="128" t="s">
        <v>4</v>
      </c>
      <c r="B11" s="129" t="s">
        <v>85</v>
      </c>
      <c r="C11" s="129" t="s">
        <v>86</v>
      </c>
      <c r="D11" s="129"/>
      <c r="E11" s="129" t="s">
        <v>87</v>
      </c>
      <c r="F11" s="129" t="s">
        <v>88</v>
      </c>
      <c r="G11" s="130" t="s">
        <v>89</v>
      </c>
      <c r="H11" s="131"/>
      <c r="I11" s="132"/>
      <c r="J11" s="129" t="s">
        <v>90</v>
      </c>
      <c r="K11" s="129"/>
      <c r="L11" s="129"/>
      <c r="M11" s="129"/>
      <c r="N11" s="136"/>
    </row>
    <row r="12" spans="1:14">
      <c r="A12" s="128"/>
      <c r="B12" s="129"/>
      <c r="C12" s="10" t="s">
        <v>86</v>
      </c>
      <c r="D12" s="10" t="s">
        <v>91</v>
      </c>
      <c r="E12" s="156"/>
      <c r="F12" s="129"/>
      <c r="G12" s="133"/>
      <c r="H12" s="134"/>
      <c r="I12" s="135"/>
      <c r="J12" s="129"/>
      <c r="K12" s="129"/>
      <c r="L12" s="129"/>
      <c r="M12" s="129"/>
      <c r="N12" s="136"/>
    </row>
    <row r="13" spans="1:14">
      <c r="A13" s="6" t="s">
        <v>226</v>
      </c>
      <c r="B13" s="26">
        <v>1</v>
      </c>
      <c r="C13" s="24" t="s">
        <v>111</v>
      </c>
      <c r="D13" s="24" t="s">
        <v>446</v>
      </c>
      <c r="E13" s="90" t="s">
        <v>348</v>
      </c>
      <c r="F13" s="97" t="s">
        <v>349</v>
      </c>
      <c r="G13" s="170">
        <v>1</v>
      </c>
      <c r="H13" s="171"/>
      <c r="I13" s="180"/>
      <c r="J13" s="114" t="s">
        <v>447</v>
      </c>
      <c r="K13" s="115"/>
      <c r="L13" s="115"/>
      <c r="M13" s="115"/>
      <c r="N13" s="117"/>
    </row>
    <row r="14" spans="1:14">
      <c r="A14" s="6" t="s">
        <v>226</v>
      </c>
      <c r="B14" s="27">
        <v>2</v>
      </c>
      <c r="C14" s="25" t="s">
        <v>111</v>
      </c>
      <c r="D14" s="25" t="s">
        <v>446</v>
      </c>
      <c r="E14" s="90" t="s">
        <v>348</v>
      </c>
      <c r="F14" s="30" t="s">
        <v>349</v>
      </c>
      <c r="G14" s="153">
        <v>2</v>
      </c>
      <c r="H14" s="154"/>
      <c r="I14" s="155"/>
      <c r="J14" s="151" t="s">
        <v>448</v>
      </c>
      <c r="K14" s="115"/>
      <c r="L14" s="115"/>
      <c r="M14" s="115"/>
      <c r="N14" s="117"/>
    </row>
    <row r="15" spans="1:14">
      <c r="A15" s="6" t="s">
        <v>226</v>
      </c>
      <c r="B15" s="27">
        <v>3</v>
      </c>
      <c r="C15" s="25" t="s">
        <v>111</v>
      </c>
      <c r="D15" s="25" t="s">
        <v>446</v>
      </c>
      <c r="E15" s="90" t="s">
        <v>348</v>
      </c>
      <c r="F15" s="30" t="s">
        <v>349</v>
      </c>
      <c r="G15" s="151">
        <v>3</v>
      </c>
      <c r="H15" s="115"/>
      <c r="I15" s="150"/>
      <c r="J15" s="151" t="s">
        <v>449</v>
      </c>
      <c r="K15" s="115"/>
      <c r="L15" s="115"/>
      <c r="M15" s="115"/>
      <c r="N15" s="117"/>
    </row>
    <row r="16" spans="1:14">
      <c r="A16" s="29" t="s">
        <v>8</v>
      </c>
      <c r="B16" s="27">
        <v>4</v>
      </c>
      <c r="C16" s="64" t="s">
        <v>111</v>
      </c>
      <c r="D16" s="25" t="s">
        <v>446</v>
      </c>
      <c r="E16" s="90" t="s">
        <v>348</v>
      </c>
      <c r="F16" s="95" t="s">
        <v>349</v>
      </c>
      <c r="G16" s="151">
        <v>4</v>
      </c>
      <c r="H16" s="115"/>
      <c r="I16" s="150"/>
      <c r="J16" s="91" t="s">
        <v>450</v>
      </c>
      <c r="K16" s="91"/>
      <c r="L16" s="91"/>
      <c r="M16" s="91"/>
      <c r="N16" s="94"/>
    </row>
    <row r="17" spans="1:14">
      <c r="A17" s="29" t="s">
        <v>8</v>
      </c>
      <c r="B17" s="27">
        <v>5</v>
      </c>
      <c r="C17" s="64" t="s">
        <v>111</v>
      </c>
      <c r="D17" s="25" t="s">
        <v>446</v>
      </c>
      <c r="E17" s="90" t="s">
        <v>348</v>
      </c>
      <c r="F17" s="30" t="s">
        <v>349</v>
      </c>
      <c r="G17" s="151">
        <v>5</v>
      </c>
      <c r="H17" s="115"/>
      <c r="I17" s="150"/>
      <c r="J17" s="91" t="s">
        <v>451</v>
      </c>
      <c r="K17" s="91"/>
      <c r="L17" s="91"/>
      <c r="M17" s="91"/>
      <c r="N17" s="94"/>
    </row>
    <row r="18" spans="1:14">
      <c r="A18" s="29"/>
      <c r="B18" s="27">
        <v>6</v>
      </c>
      <c r="C18" s="64" t="s">
        <v>111</v>
      </c>
      <c r="D18" s="25" t="s">
        <v>446</v>
      </c>
      <c r="E18" s="90" t="s">
        <v>348</v>
      </c>
      <c r="F18" s="30" t="s">
        <v>349</v>
      </c>
      <c r="G18" s="66">
        <v>6</v>
      </c>
      <c r="H18" s="33"/>
      <c r="I18" s="62"/>
      <c r="J18" s="91" t="s">
        <v>452</v>
      </c>
      <c r="K18" s="91"/>
      <c r="L18" s="91"/>
      <c r="M18" s="91"/>
      <c r="N18" s="94"/>
    </row>
    <row r="19" spans="1:14">
      <c r="A19" s="29"/>
      <c r="B19" s="27">
        <v>7</v>
      </c>
      <c r="C19" s="64" t="s">
        <v>111</v>
      </c>
      <c r="D19" s="25" t="s">
        <v>446</v>
      </c>
      <c r="E19" s="90" t="s">
        <v>348</v>
      </c>
      <c r="F19" s="30" t="s">
        <v>349</v>
      </c>
      <c r="G19" s="67">
        <v>7</v>
      </c>
      <c r="H19" s="68"/>
      <c r="I19" s="69"/>
      <c r="J19" s="91" t="s">
        <v>453</v>
      </c>
      <c r="K19" s="91"/>
      <c r="L19" s="91"/>
      <c r="M19" s="91"/>
      <c r="N19" s="94"/>
    </row>
    <row r="20" spans="1:14">
      <c r="A20" s="118" t="s">
        <v>115</v>
      </c>
      <c r="B20" s="119"/>
      <c r="C20" s="119"/>
      <c r="D20" s="152"/>
      <c r="E20" s="152"/>
      <c r="F20" s="119"/>
      <c r="G20" s="152"/>
      <c r="H20" s="152"/>
      <c r="I20" s="152"/>
      <c r="J20" s="152"/>
      <c r="K20" s="152"/>
      <c r="L20" s="152"/>
      <c r="M20" s="152"/>
      <c r="N20" s="173"/>
    </row>
    <row r="21" spans="1:14">
      <c r="A21" s="121" t="s">
        <v>4</v>
      </c>
      <c r="B21" s="122" t="s">
        <v>85</v>
      </c>
      <c r="C21" s="122" t="s">
        <v>116</v>
      </c>
      <c r="D21" s="122" t="s">
        <v>117</v>
      </c>
      <c r="E21" s="122" t="s">
        <v>118</v>
      </c>
      <c r="F21" s="122"/>
      <c r="G21" s="122"/>
      <c r="H21" s="122"/>
      <c r="I21" s="122"/>
      <c r="J21" s="122"/>
      <c r="K21" s="122"/>
      <c r="L21" s="122"/>
      <c r="M21" s="122" t="s">
        <v>119</v>
      </c>
      <c r="N21" s="123"/>
    </row>
    <row r="22" spans="1:14">
      <c r="A22" s="121"/>
      <c r="B22" s="122"/>
      <c r="C22" s="122"/>
      <c r="D22" s="122"/>
      <c r="E22" s="11" t="s">
        <v>85</v>
      </c>
      <c r="F22" s="11" t="s">
        <v>86</v>
      </c>
      <c r="G22" s="11" t="s">
        <v>91</v>
      </c>
      <c r="H22" s="11" t="s">
        <v>120</v>
      </c>
      <c r="I22" s="11" t="s">
        <v>87</v>
      </c>
      <c r="J22" s="122" t="s">
        <v>117</v>
      </c>
      <c r="K22" s="122"/>
      <c r="L22" s="122"/>
      <c r="M22" s="122"/>
      <c r="N22" s="123"/>
    </row>
    <row r="23" spans="1:14">
      <c r="A23" s="6" t="s">
        <v>9</v>
      </c>
      <c r="B23" s="26" t="s">
        <v>9</v>
      </c>
      <c r="C23" s="28" t="s">
        <v>9</v>
      </c>
      <c r="D23" s="28" t="s">
        <v>355</v>
      </c>
      <c r="E23" s="3"/>
      <c r="F23" s="3"/>
      <c r="G23" s="3"/>
      <c r="H23" s="3"/>
      <c r="I23" s="3"/>
      <c r="J23" s="106"/>
      <c r="K23" s="107"/>
      <c r="L23" s="108"/>
      <c r="M23" s="106"/>
      <c r="N23" s="109"/>
    </row>
    <row r="24" spans="1:14">
      <c r="A24" s="110" t="s">
        <v>126</v>
      </c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2"/>
    </row>
    <row r="25" spans="1:14">
      <c r="A25" s="113" t="s">
        <v>4</v>
      </c>
      <c r="B25" s="100" t="s">
        <v>85</v>
      </c>
      <c r="C25" s="100" t="s">
        <v>127</v>
      </c>
      <c r="D25" s="100" t="s">
        <v>128</v>
      </c>
      <c r="E25" s="100" t="s">
        <v>117</v>
      </c>
      <c r="F25" s="100" t="s">
        <v>118</v>
      </c>
      <c r="G25" s="100"/>
      <c r="H25" s="100"/>
      <c r="I25" s="100"/>
      <c r="J25" s="100"/>
      <c r="K25" s="100"/>
      <c r="L25" s="100" t="s">
        <v>129</v>
      </c>
      <c r="M25" s="100"/>
      <c r="N25" s="101" t="s">
        <v>119</v>
      </c>
    </row>
    <row r="26" spans="1:14">
      <c r="A26" s="113"/>
      <c r="B26" s="100"/>
      <c r="C26" s="100"/>
      <c r="D26" s="100"/>
      <c r="E26" s="100"/>
      <c r="F26" s="12" t="s">
        <v>85</v>
      </c>
      <c r="G26" s="12" t="s">
        <v>86</v>
      </c>
      <c r="H26" s="12" t="s">
        <v>91</v>
      </c>
      <c r="I26" s="12" t="s">
        <v>120</v>
      </c>
      <c r="J26" s="12" t="s">
        <v>87</v>
      </c>
      <c r="K26" s="12" t="s">
        <v>117</v>
      </c>
      <c r="L26" s="12" t="s">
        <v>86</v>
      </c>
      <c r="M26" s="12" t="s">
        <v>91</v>
      </c>
      <c r="N26" s="101"/>
    </row>
    <row r="27" spans="1:14">
      <c r="A27" s="6" t="s">
        <v>9</v>
      </c>
      <c r="B27" s="24" t="s">
        <v>9</v>
      </c>
      <c r="C27" s="28" t="s">
        <v>9</v>
      </c>
      <c r="D27" s="28" t="s">
        <v>9</v>
      </c>
      <c r="E27" s="3" t="s">
        <v>9</v>
      </c>
      <c r="F27" s="3"/>
      <c r="G27" s="3"/>
      <c r="H27" s="3"/>
      <c r="I27" s="3"/>
      <c r="J27" s="3"/>
      <c r="K27" s="3"/>
      <c r="L27" s="3"/>
      <c r="M27" s="3"/>
      <c r="N27" s="7"/>
    </row>
    <row r="28" spans="1:14">
      <c r="A28" s="102" t="s">
        <v>131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4"/>
    </row>
    <row r="29" spans="1:14">
      <c r="A29" s="105" t="s">
        <v>4</v>
      </c>
      <c r="B29" s="98" t="s">
        <v>85</v>
      </c>
      <c r="C29" s="98" t="s">
        <v>132</v>
      </c>
      <c r="D29" s="98" t="s">
        <v>128</v>
      </c>
      <c r="E29" s="98" t="s">
        <v>117</v>
      </c>
      <c r="F29" s="98" t="s">
        <v>118</v>
      </c>
      <c r="G29" s="98"/>
      <c r="H29" s="98"/>
      <c r="I29" s="98"/>
      <c r="J29" s="98"/>
      <c r="K29" s="98"/>
      <c r="L29" s="98" t="s">
        <v>129</v>
      </c>
      <c r="M29" s="98"/>
      <c r="N29" s="99" t="s">
        <v>119</v>
      </c>
    </row>
    <row r="30" spans="1:14">
      <c r="A30" s="176"/>
      <c r="B30" s="177"/>
      <c r="C30" s="177"/>
      <c r="D30" s="177"/>
      <c r="E30" s="177"/>
      <c r="F30" s="88" t="s">
        <v>85</v>
      </c>
      <c r="G30" s="88" t="s">
        <v>86</v>
      </c>
      <c r="H30" s="88" t="s">
        <v>91</v>
      </c>
      <c r="I30" s="88" t="s">
        <v>120</v>
      </c>
      <c r="J30" s="88" t="s">
        <v>87</v>
      </c>
      <c r="K30" s="88" t="s">
        <v>117</v>
      </c>
      <c r="L30" s="88" t="s">
        <v>86</v>
      </c>
      <c r="M30" s="88" t="s">
        <v>91</v>
      </c>
      <c r="N30" s="178"/>
    </row>
    <row r="31" spans="1:14">
      <c r="A31" s="82" t="s">
        <v>226</v>
      </c>
      <c r="B31" s="89" t="s">
        <v>454</v>
      </c>
      <c r="C31" s="82" t="s">
        <v>94</v>
      </c>
      <c r="D31" s="82" t="s">
        <v>9</v>
      </c>
      <c r="E31" s="90" t="s">
        <v>455</v>
      </c>
      <c r="F31" s="82"/>
      <c r="G31" s="82"/>
      <c r="H31" s="82"/>
      <c r="I31" s="82" t="s">
        <v>9</v>
      </c>
      <c r="J31" s="82" t="s">
        <v>9</v>
      </c>
      <c r="K31" s="82"/>
      <c r="L31" s="82" t="s">
        <v>134</v>
      </c>
      <c r="M31" s="82"/>
      <c r="N31" s="82"/>
    </row>
    <row r="32" spans="1:14">
      <c r="A32" s="82" t="s">
        <v>226</v>
      </c>
      <c r="B32" s="82" t="s">
        <v>456</v>
      </c>
      <c r="C32" s="82" t="s">
        <v>94</v>
      </c>
      <c r="D32" s="82" t="s">
        <v>9</v>
      </c>
      <c r="E32" s="82" t="s">
        <v>457</v>
      </c>
      <c r="F32" s="82"/>
      <c r="G32" s="82"/>
      <c r="H32" s="82"/>
      <c r="I32" s="82" t="s">
        <v>9</v>
      </c>
      <c r="J32" s="82" t="s">
        <v>9</v>
      </c>
      <c r="K32" s="82"/>
      <c r="L32" s="82" t="s">
        <v>376</v>
      </c>
      <c r="M32" s="82"/>
      <c r="N32" s="82"/>
    </row>
    <row r="33" spans="1:14">
      <c r="A33" s="82" t="s">
        <v>226</v>
      </c>
      <c r="B33" s="82" t="s">
        <v>458</v>
      </c>
      <c r="C33" s="82" t="s">
        <v>94</v>
      </c>
      <c r="D33" s="82" t="s">
        <v>9</v>
      </c>
      <c r="E33" s="82" t="s">
        <v>459</v>
      </c>
      <c r="F33" s="82"/>
      <c r="G33" s="82"/>
      <c r="H33" s="82"/>
      <c r="I33" s="82" t="s">
        <v>9</v>
      </c>
      <c r="J33" s="82" t="s">
        <v>9</v>
      </c>
      <c r="K33" s="82"/>
      <c r="L33" s="82" t="s">
        <v>111</v>
      </c>
      <c r="M33" s="82" t="s">
        <v>460</v>
      </c>
      <c r="N33" s="82"/>
    </row>
  </sheetData>
  <mergeCells count="53">
    <mergeCell ref="G13:I13"/>
    <mergeCell ref="J13:N13"/>
    <mergeCell ref="G14:I14"/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J14:N14"/>
    <mergeCell ref="G16:I16"/>
    <mergeCell ref="G17:I17"/>
    <mergeCell ref="A20:N20"/>
    <mergeCell ref="A21:A22"/>
    <mergeCell ref="B21:B22"/>
    <mergeCell ref="C21:C22"/>
    <mergeCell ref="D21:D22"/>
    <mergeCell ref="E21:L21"/>
    <mergeCell ref="M21:N22"/>
    <mergeCell ref="J22:L22"/>
    <mergeCell ref="G15:I15"/>
    <mergeCell ref="J15:N15"/>
    <mergeCell ref="J23:L23"/>
    <mergeCell ref="M23:N23"/>
    <mergeCell ref="A24:N24"/>
    <mergeCell ref="A25:A26"/>
    <mergeCell ref="B25:B26"/>
    <mergeCell ref="C25:C26"/>
    <mergeCell ref="D25:D26"/>
    <mergeCell ref="E25:E26"/>
    <mergeCell ref="F25:K25"/>
    <mergeCell ref="L25:M25"/>
    <mergeCell ref="N25:N26"/>
    <mergeCell ref="A28:N28"/>
    <mergeCell ref="A29:A30"/>
    <mergeCell ref="B29:B30"/>
    <mergeCell ref="C29:C30"/>
    <mergeCell ref="D29:D30"/>
    <mergeCell ref="E29:E30"/>
    <mergeCell ref="F29:K29"/>
    <mergeCell ref="L29:M29"/>
    <mergeCell ref="N29:N30"/>
  </mergeCells>
  <hyperlinks>
    <hyperlink ref="A1:E1" location="'Structs'!A1" display="&lt;-Volver al inicio" xr:uid="{05133EED-0E83-44FE-AEE5-640AD23E6D5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711AC935-5054-41F6-BF02-240AC47C2285}">
          <x14:formula1>
            <xm:f>Structs!$D$2:$E$2</xm:f>
          </x14:formula1>
          <xm:sqref>A23 A27 A31</xm:sqref>
        </x14:dataValidation>
        <x14:dataValidation type="list" allowBlank="1" showInputMessage="1" showErrorMessage="1" xr:uid="{438A444C-893F-4697-9E16-EF65BD5DAEBD}">
          <x14:formula1>
            <xm:f>Structs!$E$2</xm:f>
          </x14:formula1>
          <xm:sqref>B6:E6 I31:J31 I23 J27 D31</xm:sqref>
        </x14:dataValidation>
        <x14:dataValidation type="list" allowBlank="1" showInputMessage="1" showErrorMessage="1" xr:uid="{44E37AE0-8206-41CC-8F7A-A799C7545A11}">
          <x14:formula1>
            <xm:f>Structs!$D$2</xm:f>
          </x14:formula1>
          <xm:sqref>B5:E5 A13:A19</xm:sqref>
        </x14:dataValidation>
        <x14:dataValidation type="list" allowBlank="1" showInputMessage="1" showErrorMessage="1" xr:uid="{43A0E0FF-6775-4C3C-A135-E9D9FDAD943E}">
          <x14:formula1>
            <xm:f>Valores!$G$2:$G$12</xm:f>
          </x14:formula1>
          <xm:sqref>G31 F23 G27 L27 C13:C19</xm:sqref>
        </x14:dataValidation>
        <x14:dataValidation type="list" allowBlank="1" showInputMessage="1" showErrorMessage="1" xr:uid="{363492F5-5683-4F69-8483-23013C783F1F}">
          <x14:formula1>
            <xm:f>Valores!$H$2:$H$3</xm:f>
          </x14:formula1>
          <xm:sqref>C31 F13:F19</xm:sqref>
        </x14:dataValidation>
        <x14:dataValidation type="list" allowBlank="1" showInputMessage="1" showErrorMessage="1" xr:uid="{3DFF9AA4-B8A3-4622-984B-92CBFAF8F157}">
          <x14:formula1>
            <xm:f>Valores!$J$2:$J$3</xm:f>
          </x14:formula1>
          <xm:sqref>H23 I27</xm:sqref>
        </x14:dataValidation>
        <x14:dataValidation type="list" allowBlank="1" showInputMessage="1" showErrorMessage="1" xr:uid="{69DCEC0B-012D-4EAF-A70A-C204F952B674}">
          <x14:formula1>
            <xm:f>Valores!$L$2:$L$13</xm:f>
          </x14:formula1>
          <xm:sqref>L31</xm:sqref>
        </x14:dataValidation>
        <x14:dataValidation type="list" allowBlank="1" showInputMessage="1" showErrorMessage="1" xr:uid="{C2A81753-277A-4436-B7AF-3659AEC6456E}">
          <x14:formula1>
            <xm:f>Valores!$C$2:$C$7</xm:f>
          </x14:formula1>
          <xm:sqref>B9:D9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B1CB-9770-4E6F-987F-167872D8F217}">
  <dimension ref="A1:N31"/>
  <sheetViews>
    <sheetView zoomScale="55" zoomScaleNormal="55" workbookViewId="0">
      <pane ySplit="1" topLeftCell="A8" activePane="bottomLeft" state="frozen"/>
      <selection pane="bottomLeft" sqref="A1:E1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69.7109375" style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 thickBot="1">
      <c r="A1" s="184" t="s">
        <v>74</v>
      </c>
      <c r="B1" s="184"/>
      <c r="C1" s="184"/>
      <c r="D1" s="184"/>
      <c r="E1" s="184"/>
    </row>
    <row r="2" spans="1:14" ht="13.5" customHeight="1">
      <c r="A2" s="16" t="str">
        <f>Structs!$A$1</f>
        <v>Struct</v>
      </c>
      <c r="B2" s="144" t="str">
        <f>Structs!I3</f>
        <v>Branch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Structs!B3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Structs!C3</f>
        <v>Estructura que representa una sede (taller, tienda o taller-tienda). Contiene información del representante, franquicia, ubicación, marcas atendidas y rangos de cilindraje.</v>
      </c>
      <c r="C4" s="140"/>
      <c r="D4" s="140"/>
      <c r="E4" s="146"/>
    </row>
    <row r="5" spans="1:14">
      <c r="A5" s="17" t="s">
        <v>75</v>
      </c>
      <c r="B5" s="140" t="s">
        <v>461</v>
      </c>
      <c r="C5" s="140"/>
      <c r="D5" s="140"/>
      <c r="E5" s="146"/>
    </row>
    <row r="6" spans="1:14">
      <c r="A6" s="17" t="s">
        <v>76</v>
      </c>
      <c r="B6" s="140" t="s">
        <v>462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5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 ht="15.75" thickBot="1">
      <c r="A9" s="6" t="s">
        <v>83</v>
      </c>
      <c r="B9" s="140" t="s">
        <v>82</v>
      </c>
      <c r="C9" s="140"/>
      <c r="D9" s="140"/>
      <c r="E9" s="18" t="e">
        <f>#REF!</f>
        <v>#REF!</v>
      </c>
    </row>
    <row r="10" spans="1:14">
      <c r="A10" s="124" t="s">
        <v>84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7"/>
    </row>
    <row r="11" spans="1:14">
      <c r="A11" s="128" t="s">
        <v>4</v>
      </c>
      <c r="B11" s="129" t="s">
        <v>85</v>
      </c>
      <c r="C11" s="129" t="s">
        <v>86</v>
      </c>
      <c r="D11" s="129"/>
      <c r="E11" s="129" t="s">
        <v>87</v>
      </c>
      <c r="F11" s="129" t="s">
        <v>88</v>
      </c>
      <c r="G11" s="129" t="s">
        <v>89</v>
      </c>
      <c r="H11" s="129"/>
      <c r="I11" s="129"/>
      <c r="J11" s="129" t="s">
        <v>90</v>
      </c>
      <c r="K11" s="129"/>
      <c r="L11" s="129"/>
      <c r="M11" s="129"/>
      <c r="N11" s="136"/>
    </row>
    <row r="12" spans="1:14">
      <c r="A12" s="128"/>
      <c r="B12" s="129"/>
      <c r="C12" s="10" t="s">
        <v>86</v>
      </c>
      <c r="D12" s="10" t="s">
        <v>91</v>
      </c>
      <c r="E12" s="129"/>
      <c r="F12" s="129"/>
      <c r="G12" s="129"/>
      <c r="H12" s="129"/>
      <c r="I12" s="129"/>
      <c r="J12" s="129"/>
      <c r="K12" s="129"/>
      <c r="L12" s="129"/>
      <c r="M12" s="129"/>
      <c r="N12" s="136"/>
    </row>
    <row r="13" spans="1:14">
      <c r="A13" s="6" t="s">
        <v>463</v>
      </c>
      <c r="B13" s="3" t="s">
        <v>464</v>
      </c>
      <c r="C13" s="3" t="s">
        <v>465</v>
      </c>
      <c r="D13" s="3"/>
      <c r="E13" s="3" t="s">
        <v>462</v>
      </c>
      <c r="F13" s="3" t="s">
        <v>94</v>
      </c>
      <c r="G13" s="140"/>
      <c r="H13" s="140"/>
      <c r="I13" s="140"/>
      <c r="J13" s="140"/>
      <c r="K13" s="140"/>
      <c r="L13" s="140"/>
      <c r="M13" s="140"/>
      <c r="N13" s="146"/>
    </row>
    <row r="14" spans="1:14">
      <c r="A14" s="6" t="s">
        <v>463</v>
      </c>
      <c r="B14" s="3" t="s">
        <v>466</v>
      </c>
      <c r="C14" s="3" t="s">
        <v>111</v>
      </c>
      <c r="D14" s="3" t="s">
        <v>467</v>
      </c>
      <c r="E14" s="3" t="s">
        <v>462</v>
      </c>
      <c r="F14" s="3" t="s">
        <v>94</v>
      </c>
      <c r="G14" s="140"/>
      <c r="H14" s="140"/>
      <c r="I14" s="140"/>
      <c r="J14" s="140"/>
      <c r="K14" s="140"/>
      <c r="L14" s="140"/>
      <c r="M14" s="140"/>
      <c r="N14" s="146"/>
    </row>
    <row r="15" spans="1:14">
      <c r="A15" s="6" t="s">
        <v>463</v>
      </c>
      <c r="B15" s="3" t="s">
        <v>468</v>
      </c>
      <c r="C15" s="3" t="s">
        <v>111</v>
      </c>
      <c r="D15" s="3" t="s">
        <v>469</v>
      </c>
      <c r="E15" s="3" t="s">
        <v>462</v>
      </c>
      <c r="F15" s="3" t="s">
        <v>94</v>
      </c>
      <c r="G15" s="140"/>
      <c r="H15" s="140"/>
      <c r="I15" s="140"/>
      <c r="J15" s="140"/>
      <c r="K15" s="140"/>
      <c r="L15" s="140"/>
      <c r="M15" s="140"/>
      <c r="N15" s="146"/>
    </row>
    <row r="16" spans="1:14">
      <c r="A16" s="6" t="s">
        <v>463</v>
      </c>
      <c r="B16" s="3" t="s">
        <v>470</v>
      </c>
      <c r="C16" s="3" t="s">
        <v>111</v>
      </c>
      <c r="D16" s="3" t="s">
        <v>471</v>
      </c>
      <c r="E16" s="3" t="s">
        <v>348</v>
      </c>
      <c r="F16" s="3" t="s">
        <v>349</v>
      </c>
      <c r="G16" s="140" t="s">
        <v>472</v>
      </c>
      <c r="H16" s="140"/>
      <c r="I16" s="140"/>
      <c r="J16" s="140"/>
      <c r="K16" s="140"/>
      <c r="L16" s="140"/>
      <c r="M16" s="140"/>
      <c r="N16" s="146"/>
    </row>
    <row r="17" spans="1:14">
      <c r="A17" s="181" t="s">
        <v>115</v>
      </c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3"/>
    </row>
    <row r="18" spans="1:14">
      <c r="A18" s="121" t="s">
        <v>4</v>
      </c>
      <c r="B18" s="122" t="s">
        <v>85</v>
      </c>
      <c r="C18" s="122" t="s">
        <v>116</v>
      </c>
      <c r="D18" s="122" t="s">
        <v>117</v>
      </c>
      <c r="E18" s="122" t="s">
        <v>118</v>
      </c>
      <c r="F18" s="122"/>
      <c r="G18" s="122"/>
      <c r="H18" s="122"/>
      <c r="I18" s="122"/>
      <c r="J18" s="122"/>
      <c r="K18" s="122"/>
      <c r="L18" s="122"/>
      <c r="M18" s="122" t="s">
        <v>119</v>
      </c>
      <c r="N18" s="123"/>
    </row>
    <row r="19" spans="1:14">
      <c r="A19" s="121"/>
      <c r="B19" s="122"/>
      <c r="C19" s="122"/>
      <c r="D19" s="122"/>
      <c r="E19" s="11" t="s">
        <v>85</v>
      </c>
      <c r="F19" s="11" t="s">
        <v>86</v>
      </c>
      <c r="G19" s="11" t="s">
        <v>91</v>
      </c>
      <c r="H19" s="11" t="s">
        <v>120</v>
      </c>
      <c r="I19" s="11" t="s">
        <v>87</v>
      </c>
      <c r="J19" s="122" t="s">
        <v>117</v>
      </c>
      <c r="K19" s="122"/>
      <c r="L19" s="122"/>
      <c r="M19" s="122"/>
      <c r="N19" s="123"/>
    </row>
    <row r="20" spans="1:14">
      <c r="A20" s="6" t="s">
        <v>463</v>
      </c>
      <c r="B20" s="3" t="str">
        <f>B2</f>
        <v>Branch</v>
      </c>
      <c r="C20" s="3" t="s">
        <v>473</v>
      </c>
      <c r="D20" s="3" t="s">
        <v>474</v>
      </c>
      <c r="E20" s="3"/>
      <c r="F20" s="3"/>
      <c r="G20" s="3"/>
      <c r="H20" s="3"/>
      <c r="I20" s="3"/>
      <c r="J20" s="106"/>
      <c r="K20" s="107"/>
      <c r="L20" s="108"/>
      <c r="M20" s="106"/>
      <c r="N20" s="109"/>
    </row>
    <row r="21" spans="1:14">
      <c r="A21" s="6" t="s">
        <v>475</v>
      </c>
      <c r="B21" s="3" t="str">
        <f>B2</f>
        <v>Branch</v>
      </c>
      <c r="C21" s="3" t="s">
        <v>476</v>
      </c>
      <c r="D21" s="3" t="s">
        <v>477</v>
      </c>
      <c r="E21" s="3" t="s">
        <v>478</v>
      </c>
      <c r="F21" s="3" t="s">
        <v>465</v>
      </c>
      <c r="G21" s="3"/>
      <c r="H21" s="3" t="s">
        <v>362</v>
      </c>
      <c r="I21" s="3" t="s">
        <v>462</v>
      </c>
      <c r="J21" s="106" t="s">
        <v>479</v>
      </c>
      <c r="K21" s="107"/>
      <c r="L21" s="108"/>
      <c r="M21" s="106"/>
      <c r="N21" s="109"/>
    </row>
    <row r="22" spans="1:14">
      <c r="A22" s="110" t="s">
        <v>126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2"/>
    </row>
    <row r="23" spans="1:14">
      <c r="A23" s="113" t="s">
        <v>4</v>
      </c>
      <c r="B23" s="100" t="s">
        <v>85</v>
      </c>
      <c r="C23" s="100" t="s">
        <v>127</v>
      </c>
      <c r="D23" s="100" t="s">
        <v>128</v>
      </c>
      <c r="E23" s="100" t="s">
        <v>117</v>
      </c>
      <c r="F23" s="100" t="s">
        <v>118</v>
      </c>
      <c r="G23" s="100"/>
      <c r="H23" s="100"/>
      <c r="I23" s="100"/>
      <c r="J23" s="100"/>
      <c r="K23" s="100"/>
      <c r="L23" s="100" t="s">
        <v>129</v>
      </c>
      <c r="M23" s="100"/>
      <c r="N23" s="101" t="s">
        <v>119</v>
      </c>
    </row>
    <row r="24" spans="1:14">
      <c r="A24" s="113"/>
      <c r="B24" s="100"/>
      <c r="C24" s="100"/>
      <c r="D24" s="100"/>
      <c r="E24" s="100"/>
      <c r="F24" s="12" t="s">
        <v>85</v>
      </c>
      <c r="G24" s="12" t="s">
        <v>86</v>
      </c>
      <c r="H24" s="12" t="s">
        <v>91</v>
      </c>
      <c r="I24" s="12" t="s">
        <v>120</v>
      </c>
      <c r="J24" s="12" t="s">
        <v>87</v>
      </c>
      <c r="K24" s="12" t="s">
        <v>117</v>
      </c>
      <c r="L24" s="12" t="s">
        <v>86</v>
      </c>
      <c r="M24" s="12" t="s">
        <v>91</v>
      </c>
      <c r="N24" s="101"/>
    </row>
    <row r="25" spans="1:14">
      <c r="A25" s="6" t="s">
        <v>475</v>
      </c>
      <c r="B25" s="3" t="s">
        <v>480</v>
      </c>
      <c r="C25" s="3" t="s">
        <v>481</v>
      </c>
      <c r="D25" s="3" t="s">
        <v>462</v>
      </c>
      <c r="E25" s="3" t="s">
        <v>482</v>
      </c>
      <c r="F25" s="3"/>
      <c r="G25" s="3"/>
      <c r="H25" s="3"/>
      <c r="I25" s="3"/>
      <c r="J25" s="3"/>
      <c r="K25" s="3"/>
      <c r="L25" s="3" t="s">
        <v>465</v>
      </c>
      <c r="M25" s="3"/>
      <c r="N25" s="7"/>
    </row>
    <row r="26" spans="1:14">
      <c r="A26" s="6" t="s">
        <v>475</v>
      </c>
      <c r="B26" s="3" t="s">
        <v>483</v>
      </c>
      <c r="C26" s="3" t="s">
        <v>484</v>
      </c>
      <c r="D26" s="3" t="s">
        <v>462</v>
      </c>
      <c r="E26" s="3" t="s">
        <v>485</v>
      </c>
      <c r="F26" s="3" t="s">
        <v>478</v>
      </c>
      <c r="G26" s="3" t="s">
        <v>465</v>
      </c>
      <c r="H26" s="3"/>
      <c r="I26" s="3" t="s">
        <v>362</v>
      </c>
      <c r="J26" s="3" t="s">
        <v>462</v>
      </c>
      <c r="K26" s="3"/>
      <c r="L26" s="3"/>
      <c r="M26" s="3"/>
      <c r="N26" s="7"/>
    </row>
    <row r="27" spans="1:14">
      <c r="A27" s="102" t="s">
        <v>131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4"/>
    </row>
    <row r="28" spans="1:14">
      <c r="A28" s="105" t="s">
        <v>4</v>
      </c>
      <c r="B28" s="98" t="s">
        <v>85</v>
      </c>
      <c r="C28" s="98" t="s">
        <v>132</v>
      </c>
      <c r="D28" s="98" t="s">
        <v>128</v>
      </c>
      <c r="E28" s="98" t="s">
        <v>117</v>
      </c>
      <c r="F28" s="98" t="s">
        <v>118</v>
      </c>
      <c r="G28" s="98"/>
      <c r="H28" s="98"/>
      <c r="I28" s="98"/>
      <c r="J28" s="98"/>
      <c r="K28" s="98"/>
      <c r="L28" s="98" t="s">
        <v>129</v>
      </c>
      <c r="M28" s="98"/>
      <c r="N28" s="99" t="s">
        <v>119</v>
      </c>
    </row>
    <row r="29" spans="1:14">
      <c r="A29" s="105"/>
      <c r="B29" s="98"/>
      <c r="C29" s="98"/>
      <c r="D29" s="98"/>
      <c r="E29" s="98"/>
      <c r="F29" s="13" t="s">
        <v>85</v>
      </c>
      <c r="G29" s="13" t="s">
        <v>86</v>
      </c>
      <c r="H29" s="13" t="s">
        <v>91</v>
      </c>
      <c r="I29" s="13" t="s">
        <v>120</v>
      </c>
      <c r="J29" s="13" t="s">
        <v>87</v>
      </c>
      <c r="K29" s="13" t="s">
        <v>117</v>
      </c>
      <c r="L29" s="13" t="s">
        <v>86</v>
      </c>
      <c r="M29" s="13" t="s">
        <v>91</v>
      </c>
      <c r="N29" s="99"/>
    </row>
    <row r="30" spans="1:14">
      <c r="A30" s="6" t="s">
        <v>475</v>
      </c>
      <c r="B30" s="3" t="s">
        <v>486</v>
      </c>
      <c r="C30" s="3" t="s">
        <v>94</v>
      </c>
      <c r="D30" s="3" t="s">
        <v>462</v>
      </c>
      <c r="E30" s="3" t="s">
        <v>487</v>
      </c>
      <c r="F30" s="3"/>
      <c r="G30" s="3"/>
      <c r="H30" s="3"/>
      <c r="I30" s="3"/>
      <c r="J30" s="3"/>
      <c r="K30" s="3"/>
      <c r="L30" s="3" t="s">
        <v>158</v>
      </c>
      <c r="M30" s="3"/>
      <c r="N30" s="7"/>
    </row>
    <row r="31" spans="1:14" ht="15.75" thickBot="1">
      <c r="A31" s="14" t="s">
        <v>475</v>
      </c>
      <c r="B31" s="15" t="s">
        <v>488</v>
      </c>
      <c r="C31" s="15" t="s">
        <v>349</v>
      </c>
      <c r="D31" s="15" t="s">
        <v>348</v>
      </c>
      <c r="E31" s="15" t="s">
        <v>489</v>
      </c>
      <c r="F31" s="15" t="s">
        <v>490</v>
      </c>
      <c r="G31" s="15" t="s">
        <v>93</v>
      </c>
      <c r="H31" s="15"/>
      <c r="I31" s="15" t="s">
        <v>362</v>
      </c>
      <c r="J31" s="15" t="s">
        <v>462</v>
      </c>
      <c r="K31" s="15" t="s">
        <v>161</v>
      </c>
      <c r="L31" s="15" t="s">
        <v>93</v>
      </c>
      <c r="M31" s="15"/>
      <c r="N31" s="8" t="s">
        <v>491</v>
      </c>
    </row>
  </sheetData>
  <mergeCells count="55"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G13:I13"/>
    <mergeCell ref="J13:N13"/>
    <mergeCell ref="G14:I14"/>
    <mergeCell ref="J14:N14"/>
    <mergeCell ref="A18:A19"/>
    <mergeCell ref="B18:B19"/>
    <mergeCell ref="C18:C19"/>
    <mergeCell ref="D18:D19"/>
    <mergeCell ref="E18:L18"/>
    <mergeCell ref="G15:I15"/>
    <mergeCell ref="J15:N15"/>
    <mergeCell ref="G16:I16"/>
    <mergeCell ref="J16:N16"/>
    <mergeCell ref="A17:N17"/>
    <mergeCell ref="M18:N19"/>
    <mergeCell ref="J19:L19"/>
    <mergeCell ref="E23:E24"/>
    <mergeCell ref="J20:L20"/>
    <mergeCell ref="M20:N20"/>
    <mergeCell ref="J21:L21"/>
    <mergeCell ref="M21:N21"/>
    <mergeCell ref="A22:N22"/>
    <mergeCell ref="F23:K23"/>
    <mergeCell ref="L23:M23"/>
    <mergeCell ref="N23:N24"/>
    <mergeCell ref="A23:A24"/>
    <mergeCell ref="B23:B24"/>
    <mergeCell ref="C23:C24"/>
    <mergeCell ref="D23:D24"/>
    <mergeCell ref="A27:N27"/>
    <mergeCell ref="A28:A29"/>
    <mergeCell ref="B28:B29"/>
    <mergeCell ref="C28:C29"/>
    <mergeCell ref="D28:D29"/>
    <mergeCell ref="E28:E29"/>
    <mergeCell ref="F28:K28"/>
    <mergeCell ref="L28:M28"/>
    <mergeCell ref="N28:N29"/>
  </mergeCells>
  <hyperlinks>
    <hyperlink ref="A1:E1" location="Clases!A1" display="&lt;-Volver al inicio" xr:uid="{36187354-540C-4E83-BCC3-01E65CE9742D}"/>
    <hyperlink ref="E9" location="ClaseUno!A1" display="ClaseUno!A1" xr:uid="{C1659A5A-86BF-4106-AB78-BFA0557347E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B2DE8087-271A-4E00-A0D6-9B8ABC47418B}">
          <x14:formula1>
            <xm:f>Valores!$L$2:$L$13</xm:f>
          </x14:formula1>
          <xm:sqref>L30</xm:sqref>
        </x14:dataValidation>
        <x14:dataValidation type="list" allowBlank="1" showInputMessage="1" showErrorMessage="1" xr:uid="{2FA4DABB-C601-4767-B996-79F0346E8914}">
          <x14:formula1>
            <xm:f>Valores!$K$2:$K$3</xm:f>
          </x14:formula1>
          <xm:sqref>C25:C26</xm:sqref>
        </x14:dataValidation>
        <x14:dataValidation type="list" allowBlank="1" showInputMessage="1" showErrorMessage="1" xr:uid="{22FB162E-988B-4274-B8BB-A98918A13A50}">
          <x14:formula1>
            <xm:f>Valores!$J$2:$J$3</xm:f>
          </x14:formula1>
          <xm:sqref>H20:H21 I25:I26 I30:I31</xm:sqref>
        </x14:dataValidation>
        <x14:dataValidation type="list" allowBlank="1" showInputMessage="1" showErrorMessage="1" xr:uid="{5060AF69-52E0-4D78-998F-77BF27BF4023}">
          <x14:formula1>
            <xm:f>Valores!$I$2:$I$3</xm:f>
          </x14:formula1>
          <xm:sqref>C20:C21</xm:sqref>
        </x14:dataValidation>
        <x14:dataValidation type="list" allowBlank="1" showInputMessage="1" showErrorMessage="1" xr:uid="{7CB040E0-F474-4BF0-981F-FAAC55C6295F}">
          <x14:formula1>
            <xm:f>Valores!$H$2:$H$3</xm:f>
          </x14:formula1>
          <xm:sqref>F13:F16 C30:C31</xm:sqref>
        </x14:dataValidation>
        <x14:dataValidation type="list" allowBlank="1" showInputMessage="1" showErrorMessage="1" xr:uid="{5142D9D6-8EE0-4243-B3F0-909644694DC1}">
          <x14:formula1>
            <xm:f>Valores!$G$2:$G$12</xm:f>
          </x14:formula1>
          <xm:sqref>C13:C16 F20:F21 G25:G26 L25:L26 G30:G31 L31</xm:sqref>
        </x14:dataValidation>
        <x14:dataValidation type="list" allowBlank="1" showInputMessage="1" showErrorMessage="1" xr:uid="{70595CA2-0D55-4C10-BF45-B24BDCA20A2F}">
          <x14:formula1>
            <xm:f>Valores!$F$2:$F$5</xm:f>
          </x14:formula1>
          <xm:sqref>A13:A16 A20:A21 A25:A26 A30:A31</xm:sqref>
        </x14:dataValidation>
        <x14:dataValidation type="list" allowBlank="1" showInputMessage="1" showErrorMessage="1" xr:uid="{6054C0B9-A628-4E5C-A092-3C90F9145DB3}">
          <x14:formula1>
            <xm:f>Valores!$E$2:$E$3</xm:f>
          </x14:formula1>
          <xm:sqref>B6 E13:E16 I20:I21 J25:J26 J30:J31 D25:D26 D30:D31</xm:sqref>
        </x14:dataValidation>
        <x14:dataValidation type="list" allowBlank="1" showInputMessage="1" showErrorMessage="1" xr:uid="{E60B8541-25D3-46B7-862C-8C6D45DE8FB8}">
          <x14:formula1>
            <xm:f>Valores!$D$2:$D$3</xm:f>
          </x14:formula1>
          <xm:sqref>B5</xm:sqref>
        </x14:dataValidation>
        <x14:dataValidation type="list" allowBlank="1" showInputMessage="1" showErrorMessage="1" xr:uid="{84B916DF-1F24-4AA2-AF71-38D0C13A04E9}">
          <x14:formula1>
            <xm:f>Valores!$C$2:$C$7</xm:f>
          </x14:formula1>
          <xm:sqref>B9</xm:sqref>
        </x14:dataValidation>
        <x14:dataValidation type="list" allowBlank="1" showInputMessage="1" showErrorMessage="1" xr:uid="{F0106677-0F49-4963-9D48-1D193F6F27A4}">
          <x14:formula1>
            <xm:f>Valores!$B$2:$B$3</xm:f>
          </x14:formula1>
          <xm:sqref>A9</xm:sqref>
        </x14:dataValidation>
        <x14:dataValidation type="list" allowBlank="1" showInputMessage="1" showErrorMessage="1" xr:uid="{20FE0D7D-F59D-4D06-A375-1E3166EABAD2}">
          <x14:formula1>
            <xm:f>Structs!$I$2:$I$13</xm:f>
          </x14:formula1>
          <xm:sqref>E9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D885-4AFC-4D38-A0DA-275E2FAD0E04}">
  <dimension ref="A1:N31"/>
  <sheetViews>
    <sheetView zoomScale="55" zoomScaleNormal="55" workbookViewId="0">
      <pane ySplit="1" topLeftCell="A2" activePane="bottomLeft" state="frozen"/>
      <selection pane="bottomLeft" activeCell="A2" sqref="A2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3.42578125" style="1" bestFit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 thickBot="1">
      <c r="A1" s="184" t="s">
        <v>74</v>
      </c>
      <c r="B1" s="184"/>
      <c r="C1" s="184"/>
      <c r="D1" s="184"/>
      <c r="E1" s="184"/>
    </row>
    <row r="2" spans="1:14" ht="13.5" customHeight="1">
      <c r="A2" s="16" t="str">
        <f>Structs!$A$1</f>
        <v>Struct</v>
      </c>
      <c r="B2" s="144" t="str">
        <f>Structs!I7</f>
        <v>MotorcycleReference</v>
      </c>
      <c r="C2" s="144"/>
      <c r="D2" s="144"/>
      <c r="E2" s="145"/>
    </row>
    <row r="3" spans="1:14">
      <c r="A3" s="17" t="str">
        <f>Structs!$B$1</f>
        <v>Estereotipo</v>
      </c>
      <c r="B3" s="140" t="str">
        <f>Structs!B7</f>
        <v>struct</v>
      </c>
      <c r="C3" s="140"/>
      <c r="D3" s="140"/>
      <c r="E3" s="146"/>
    </row>
    <row r="4" spans="1:14">
      <c r="A4" s="17" t="str">
        <f>Structs!$C$1</f>
        <v>Desripción</v>
      </c>
      <c r="B4" s="140" t="str">
        <f>Structs!C7</f>
        <v>Estructura que representa la referencia técnica de una motocicleta, incluyendo marca, modelo, categoría y cilindraje del motor.</v>
      </c>
      <c r="C4" s="140"/>
      <c r="D4" s="140"/>
      <c r="E4" s="146"/>
    </row>
    <row r="5" spans="1:14">
      <c r="A5" s="17" t="s">
        <v>75</v>
      </c>
      <c r="B5" s="140" t="s">
        <v>461</v>
      </c>
      <c r="C5" s="140"/>
      <c r="D5" s="140"/>
      <c r="E5" s="146"/>
    </row>
    <row r="6" spans="1:14">
      <c r="A6" s="17" t="s">
        <v>76</v>
      </c>
      <c r="B6" s="140" t="s">
        <v>462</v>
      </c>
      <c r="C6" s="140"/>
      <c r="D6" s="140"/>
      <c r="E6" s="146"/>
    </row>
    <row r="7" spans="1:14">
      <c r="A7" s="137" t="s">
        <v>77</v>
      </c>
      <c r="B7" s="138"/>
      <c r="C7" s="138"/>
      <c r="D7" s="138"/>
      <c r="E7" s="139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78</v>
      </c>
      <c r="B8" s="138" t="s">
        <v>79</v>
      </c>
      <c r="C8" s="138"/>
      <c r="D8" s="138"/>
      <c r="E8" s="5" t="s">
        <v>80</v>
      </c>
      <c r="F8" s="2"/>
      <c r="G8" s="2"/>
      <c r="H8" s="2"/>
      <c r="I8" s="2"/>
      <c r="J8" s="2"/>
      <c r="K8" s="2"/>
      <c r="L8" s="2"/>
      <c r="M8" s="2"/>
      <c r="N8" s="2"/>
    </row>
    <row r="9" spans="1:14" ht="15.75" thickBot="1">
      <c r="A9" s="9" t="s">
        <v>81</v>
      </c>
      <c r="B9" s="141" t="s">
        <v>258</v>
      </c>
      <c r="C9" s="141"/>
      <c r="D9" s="141"/>
      <c r="E9" s="19" t="e">
        <f>#REF!</f>
        <v>#REF!</v>
      </c>
    </row>
    <row r="10" spans="1:14">
      <c r="A10" s="124" t="s">
        <v>84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7"/>
    </row>
    <row r="11" spans="1:14">
      <c r="A11" s="128" t="s">
        <v>4</v>
      </c>
      <c r="B11" s="129" t="s">
        <v>85</v>
      </c>
      <c r="C11" s="129" t="s">
        <v>86</v>
      </c>
      <c r="D11" s="129"/>
      <c r="E11" s="129" t="s">
        <v>87</v>
      </c>
      <c r="F11" s="129" t="s">
        <v>88</v>
      </c>
      <c r="G11" s="129" t="s">
        <v>89</v>
      </c>
      <c r="H11" s="129"/>
      <c r="I11" s="129"/>
      <c r="J11" s="129" t="s">
        <v>90</v>
      </c>
      <c r="K11" s="129"/>
      <c r="L11" s="129"/>
      <c r="M11" s="129"/>
      <c r="N11" s="136"/>
    </row>
    <row r="12" spans="1:14">
      <c r="A12" s="128"/>
      <c r="B12" s="129"/>
      <c r="C12" s="10" t="s">
        <v>86</v>
      </c>
      <c r="D12" s="10" t="s">
        <v>91</v>
      </c>
      <c r="E12" s="129"/>
      <c r="F12" s="129"/>
      <c r="G12" s="129"/>
      <c r="H12" s="129"/>
      <c r="I12" s="129"/>
      <c r="J12" s="129"/>
      <c r="K12" s="129"/>
      <c r="L12" s="129"/>
      <c r="M12" s="129"/>
      <c r="N12" s="136"/>
    </row>
    <row r="13" spans="1:14">
      <c r="A13" s="6" t="s">
        <v>463</v>
      </c>
      <c r="B13" s="3" t="s">
        <v>464</v>
      </c>
      <c r="C13" s="3" t="s">
        <v>465</v>
      </c>
      <c r="D13" s="3"/>
      <c r="E13" s="3" t="s">
        <v>462</v>
      </c>
      <c r="F13" s="3" t="s">
        <v>94</v>
      </c>
      <c r="G13" s="140"/>
      <c r="H13" s="140"/>
      <c r="I13" s="140"/>
      <c r="J13" s="140"/>
      <c r="K13" s="140"/>
      <c r="L13" s="140"/>
      <c r="M13" s="140"/>
      <c r="N13" s="146"/>
    </row>
    <row r="14" spans="1:14">
      <c r="A14" s="6" t="s">
        <v>463</v>
      </c>
      <c r="B14" s="3" t="s">
        <v>466</v>
      </c>
      <c r="C14" s="3" t="s">
        <v>111</v>
      </c>
      <c r="D14" s="3" t="s">
        <v>467</v>
      </c>
      <c r="E14" s="3" t="s">
        <v>462</v>
      </c>
      <c r="F14" s="3" t="s">
        <v>94</v>
      </c>
      <c r="G14" s="140"/>
      <c r="H14" s="140"/>
      <c r="I14" s="140"/>
      <c r="J14" s="140"/>
      <c r="K14" s="140"/>
      <c r="L14" s="140"/>
      <c r="M14" s="140"/>
      <c r="N14" s="146"/>
    </row>
    <row r="15" spans="1:14">
      <c r="A15" s="6" t="s">
        <v>463</v>
      </c>
      <c r="B15" s="3" t="s">
        <v>468</v>
      </c>
      <c r="C15" s="3" t="s">
        <v>111</v>
      </c>
      <c r="D15" s="3" t="s">
        <v>469</v>
      </c>
      <c r="E15" s="3" t="s">
        <v>462</v>
      </c>
      <c r="F15" s="3" t="s">
        <v>94</v>
      </c>
      <c r="G15" s="140"/>
      <c r="H15" s="140"/>
      <c r="I15" s="140"/>
      <c r="J15" s="140"/>
      <c r="K15" s="140"/>
      <c r="L15" s="140"/>
      <c r="M15" s="140"/>
      <c r="N15" s="146"/>
    </row>
    <row r="16" spans="1:14">
      <c r="A16" s="6" t="s">
        <v>463</v>
      </c>
      <c r="B16" s="3" t="s">
        <v>470</v>
      </c>
      <c r="C16" s="3" t="s">
        <v>111</v>
      </c>
      <c r="D16" s="3" t="s">
        <v>471</v>
      </c>
      <c r="E16" s="3" t="s">
        <v>348</v>
      </c>
      <c r="F16" s="3" t="s">
        <v>349</v>
      </c>
      <c r="G16" s="140" t="s">
        <v>472</v>
      </c>
      <c r="H16" s="140"/>
      <c r="I16" s="140"/>
      <c r="J16" s="140"/>
      <c r="K16" s="140"/>
      <c r="L16" s="140"/>
      <c r="M16" s="140"/>
      <c r="N16" s="146"/>
    </row>
    <row r="17" spans="1:14">
      <c r="A17" s="181" t="s">
        <v>115</v>
      </c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3"/>
    </row>
    <row r="18" spans="1:14">
      <c r="A18" s="121" t="s">
        <v>4</v>
      </c>
      <c r="B18" s="122" t="s">
        <v>85</v>
      </c>
      <c r="C18" s="122" t="s">
        <v>116</v>
      </c>
      <c r="D18" s="122" t="s">
        <v>117</v>
      </c>
      <c r="E18" s="122" t="s">
        <v>118</v>
      </c>
      <c r="F18" s="122"/>
      <c r="G18" s="122"/>
      <c r="H18" s="122"/>
      <c r="I18" s="122"/>
      <c r="J18" s="122"/>
      <c r="K18" s="122"/>
      <c r="L18" s="122"/>
      <c r="M18" s="122" t="s">
        <v>119</v>
      </c>
      <c r="N18" s="123"/>
    </row>
    <row r="19" spans="1:14">
      <c r="A19" s="121"/>
      <c r="B19" s="122"/>
      <c r="C19" s="122"/>
      <c r="D19" s="122"/>
      <c r="E19" s="11" t="s">
        <v>85</v>
      </c>
      <c r="F19" s="11" t="s">
        <v>86</v>
      </c>
      <c r="G19" s="11" t="s">
        <v>91</v>
      </c>
      <c r="H19" s="11" t="s">
        <v>120</v>
      </c>
      <c r="I19" s="11" t="s">
        <v>87</v>
      </c>
      <c r="J19" s="122" t="s">
        <v>117</v>
      </c>
      <c r="K19" s="122"/>
      <c r="L19" s="122"/>
      <c r="M19" s="122"/>
      <c r="N19" s="123"/>
    </row>
    <row r="20" spans="1:14">
      <c r="A20" s="6" t="s">
        <v>463</v>
      </c>
      <c r="B20" s="3" t="str">
        <f>B2</f>
        <v>MotorcycleReference</v>
      </c>
      <c r="C20" s="3" t="s">
        <v>473</v>
      </c>
      <c r="D20" s="3" t="s">
        <v>474</v>
      </c>
      <c r="E20" s="3"/>
      <c r="F20" s="3"/>
      <c r="G20" s="3"/>
      <c r="H20" s="3"/>
      <c r="I20" s="3"/>
      <c r="J20" s="106"/>
      <c r="K20" s="107"/>
      <c r="L20" s="108"/>
      <c r="M20" s="106"/>
      <c r="N20" s="109"/>
    </row>
    <row r="21" spans="1:14">
      <c r="A21" s="6" t="s">
        <v>475</v>
      </c>
      <c r="B21" s="3" t="str">
        <f>B2</f>
        <v>MotorcycleReference</v>
      </c>
      <c r="C21" s="3" t="s">
        <v>476</v>
      </c>
      <c r="D21" s="3" t="s">
        <v>477</v>
      </c>
      <c r="E21" s="3" t="s">
        <v>478</v>
      </c>
      <c r="F21" s="3" t="s">
        <v>465</v>
      </c>
      <c r="G21" s="3"/>
      <c r="H21" s="3" t="s">
        <v>362</v>
      </c>
      <c r="I21" s="3" t="s">
        <v>462</v>
      </c>
      <c r="J21" s="106" t="s">
        <v>479</v>
      </c>
      <c r="K21" s="107"/>
      <c r="L21" s="108"/>
      <c r="M21" s="106"/>
      <c r="N21" s="109"/>
    </row>
    <row r="22" spans="1:14">
      <c r="A22" s="110" t="s">
        <v>126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2"/>
    </row>
    <row r="23" spans="1:14">
      <c r="A23" s="113" t="s">
        <v>4</v>
      </c>
      <c r="B23" s="100" t="s">
        <v>85</v>
      </c>
      <c r="C23" s="100" t="s">
        <v>127</v>
      </c>
      <c r="D23" s="100" t="s">
        <v>128</v>
      </c>
      <c r="E23" s="100" t="s">
        <v>117</v>
      </c>
      <c r="F23" s="100" t="s">
        <v>118</v>
      </c>
      <c r="G23" s="100"/>
      <c r="H23" s="100"/>
      <c r="I23" s="100"/>
      <c r="J23" s="100"/>
      <c r="K23" s="100"/>
      <c r="L23" s="100" t="s">
        <v>129</v>
      </c>
      <c r="M23" s="100"/>
      <c r="N23" s="101" t="s">
        <v>119</v>
      </c>
    </row>
    <row r="24" spans="1:14">
      <c r="A24" s="113"/>
      <c r="B24" s="100"/>
      <c r="C24" s="100"/>
      <c r="D24" s="100"/>
      <c r="E24" s="100"/>
      <c r="F24" s="12" t="s">
        <v>85</v>
      </c>
      <c r="G24" s="12" t="s">
        <v>86</v>
      </c>
      <c r="H24" s="12" t="s">
        <v>91</v>
      </c>
      <c r="I24" s="12" t="s">
        <v>120</v>
      </c>
      <c r="J24" s="12" t="s">
        <v>87</v>
      </c>
      <c r="K24" s="12" t="s">
        <v>117</v>
      </c>
      <c r="L24" s="12" t="s">
        <v>86</v>
      </c>
      <c r="M24" s="12" t="s">
        <v>91</v>
      </c>
      <c r="N24" s="101"/>
    </row>
    <row r="25" spans="1:14">
      <c r="A25" s="6" t="s">
        <v>475</v>
      </c>
      <c r="B25" s="3" t="s">
        <v>480</v>
      </c>
      <c r="C25" s="3" t="s">
        <v>481</v>
      </c>
      <c r="D25" s="3" t="s">
        <v>462</v>
      </c>
      <c r="E25" s="3" t="s">
        <v>482</v>
      </c>
      <c r="F25" s="3"/>
      <c r="G25" s="3"/>
      <c r="H25" s="3"/>
      <c r="I25" s="3"/>
      <c r="J25" s="3"/>
      <c r="K25" s="3"/>
      <c r="L25" s="3" t="s">
        <v>465</v>
      </c>
      <c r="M25" s="3"/>
      <c r="N25" s="7"/>
    </row>
    <row r="26" spans="1:14">
      <c r="A26" s="6" t="s">
        <v>475</v>
      </c>
      <c r="B26" s="3" t="s">
        <v>483</v>
      </c>
      <c r="C26" s="3" t="s">
        <v>484</v>
      </c>
      <c r="D26" s="3" t="s">
        <v>462</v>
      </c>
      <c r="E26" s="3" t="s">
        <v>485</v>
      </c>
      <c r="F26" s="3" t="s">
        <v>478</v>
      </c>
      <c r="G26" s="3" t="s">
        <v>465</v>
      </c>
      <c r="H26" s="3"/>
      <c r="I26" s="3" t="s">
        <v>362</v>
      </c>
      <c r="J26" s="3" t="s">
        <v>462</v>
      </c>
      <c r="K26" s="3"/>
      <c r="L26" s="3"/>
      <c r="M26" s="3"/>
      <c r="N26" s="7"/>
    </row>
    <row r="27" spans="1:14">
      <c r="A27" s="102" t="s">
        <v>131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4"/>
    </row>
    <row r="28" spans="1:14">
      <c r="A28" s="105" t="s">
        <v>4</v>
      </c>
      <c r="B28" s="98" t="s">
        <v>85</v>
      </c>
      <c r="C28" s="98" t="s">
        <v>132</v>
      </c>
      <c r="D28" s="98" t="s">
        <v>128</v>
      </c>
      <c r="E28" s="98" t="s">
        <v>117</v>
      </c>
      <c r="F28" s="98" t="s">
        <v>118</v>
      </c>
      <c r="G28" s="98"/>
      <c r="H28" s="98"/>
      <c r="I28" s="98"/>
      <c r="J28" s="98"/>
      <c r="K28" s="98"/>
      <c r="L28" s="98" t="s">
        <v>129</v>
      </c>
      <c r="M28" s="98"/>
      <c r="N28" s="99" t="s">
        <v>119</v>
      </c>
    </row>
    <row r="29" spans="1:14">
      <c r="A29" s="105"/>
      <c r="B29" s="98"/>
      <c r="C29" s="98"/>
      <c r="D29" s="98"/>
      <c r="E29" s="98"/>
      <c r="F29" s="13" t="s">
        <v>85</v>
      </c>
      <c r="G29" s="13" t="s">
        <v>86</v>
      </c>
      <c r="H29" s="13" t="s">
        <v>91</v>
      </c>
      <c r="I29" s="13" t="s">
        <v>120</v>
      </c>
      <c r="J29" s="13" t="s">
        <v>87</v>
      </c>
      <c r="K29" s="13" t="s">
        <v>117</v>
      </c>
      <c r="L29" s="13" t="s">
        <v>86</v>
      </c>
      <c r="M29" s="13" t="s">
        <v>91</v>
      </c>
      <c r="N29" s="99"/>
    </row>
    <row r="30" spans="1:14">
      <c r="A30" s="6" t="s">
        <v>475</v>
      </c>
      <c r="B30" s="3" t="s">
        <v>486</v>
      </c>
      <c r="C30" s="3" t="s">
        <v>94</v>
      </c>
      <c r="D30" s="3" t="s">
        <v>462</v>
      </c>
      <c r="E30" s="3" t="s">
        <v>487</v>
      </c>
      <c r="F30" s="3"/>
      <c r="G30" s="3"/>
      <c r="H30" s="3"/>
      <c r="I30" s="3"/>
      <c r="J30" s="3"/>
      <c r="K30" s="3"/>
      <c r="L30" s="3" t="s">
        <v>158</v>
      </c>
      <c r="M30" s="3"/>
      <c r="N30" s="7"/>
    </row>
    <row r="31" spans="1:14" ht="15.75" thickBot="1">
      <c r="A31" s="14" t="s">
        <v>475</v>
      </c>
      <c r="B31" s="15" t="s">
        <v>488</v>
      </c>
      <c r="C31" s="15" t="s">
        <v>349</v>
      </c>
      <c r="D31" s="15" t="s">
        <v>348</v>
      </c>
      <c r="E31" s="15" t="s">
        <v>489</v>
      </c>
      <c r="F31" s="15" t="s">
        <v>490</v>
      </c>
      <c r="G31" s="15" t="s">
        <v>93</v>
      </c>
      <c r="H31" s="15"/>
      <c r="I31" s="15" t="s">
        <v>362</v>
      </c>
      <c r="J31" s="15" t="s">
        <v>462</v>
      </c>
      <c r="K31" s="15" t="s">
        <v>161</v>
      </c>
      <c r="L31" s="15" t="s">
        <v>93</v>
      </c>
      <c r="M31" s="15"/>
      <c r="N31" s="8" t="s">
        <v>491</v>
      </c>
    </row>
  </sheetData>
  <mergeCells count="55"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G13:I13"/>
    <mergeCell ref="J13:N13"/>
    <mergeCell ref="G14:I14"/>
    <mergeCell ref="J14:N14"/>
    <mergeCell ref="A18:A19"/>
    <mergeCell ref="B18:B19"/>
    <mergeCell ref="C18:C19"/>
    <mergeCell ref="D18:D19"/>
    <mergeCell ref="E18:L18"/>
    <mergeCell ref="G15:I15"/>
    <mergeCell ref="J15:N15"/>
    <mergeCell ref="G16:I16"/>
    <mergeCell ref="J16:N16"/>
    <mergeCell ref="A17:N17"/>
    <mergeCell ref="M18:N19"/>
    <mergeCell ref="J19:L19"/>
    <mergeCell ref="E23:E24"/>
    <mergeCell ref="J20:L20"/>
    <mergeCell ref="M20:N20"/>
    <mergeCell ref="J21:L21"/>
    <mergeCell ref="M21:N21"/>
    <mergeCell ref="A22:N22"/>
    <mergeCell ref="F23:K23"/>
    <mergeCell ref="L23:M23"/>
    <mergeCell ref="N23:N24"/>
    <mergeCell ref="A23:A24"/>
    <mergeCell ref="B23:B24"/>
    <mergeCell ref="C23:C24"/>
    <mergeCell ref="D23:D24"/>
    <mergeCell ref="A27:N27"/>
    <mergeCell ref="A28:A29"/>
    <mergeCell ref="B28:B29"/>
    <mergeCell ref="C28:C29"/>
    <mergeCell ref="D28:D29"/>
    <mergeCell ref="E28:E29"/>
    <mergeCell ref="F28:K28"/>
    <mergeCell ref="L28:M28"/>
    <mergeCell ref="N28:N29"/>
  </mergeCells>
  <hyperlinks>
    <hyperlink ref="A1:E1" location="Clases!A1" display="&lt;-Volver al inicio" xr:uid="{8A713DBE-F68E-46BF-B2F5-2FE7D12D1AEA}"/>
    <hyperlink ref="E9" location="ClaseUno!A1" display="ClaseUno!A1" xr:uid="{1D2F5191-4DEC-45F5-BC2E-F46D9ED23C9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510BC8D7-7BB8-4A13-9697-EF26624D2E43}">
          <x14:formula1>
            <xm:f>Valores!$D$2:$D$3</xm:f>
          </x14:formula1>
          <xm:sqref>B5</xm:sqref>
        </x14:dataValidation>
        <x14:dataValidation type="list" allowBlank="1" showInputMessage="1" showErrorMessage="1" xr:uid="{86BB2C95-1235-4058-850D-092CBA4141E1}">
          <x14:formula1>
            <xm:f>Valores!$E$2:$E$3</xm:f>
          </x14:formula1>
          <xm:sqref>B6 E13:E16 I20:I21 J25:J26 J30:J31 D25:D26 D30:D31</xm:sqref>
        </x14:dataValidation>
        <x14:dataValidation type="list" allowBlank="1" showInputMessage="1" showErrorMessage="1" xr:uid="{097CFCE0-2CF1-4510-BEF7-5EA30B84C4DF}">
          <x14:formula1>
            <xm:f>Valores!$F$2:$F$5</xm:f>
          </x14:formula1>
          <xm:sqref>A13:A16 A20:A21 A25:A26 A30:A31</xm:sqref>
        </x14:dataValidation>
        <x14:dataValidation type="list" allowBlank="1" showInputMessage="1" showErrorMessage="1" xr:uid="{62627A3A-ED79-454F-AB3C-4C67E7805C79}">
          <x14:formula1>
            <xm:f>Valores!$G$2:$G$12</xm:f>
          </x14:formula1>
          <xm:sqref>C13:C16 F20:F21 G25:G26 L25:L26 G30:G31 L31</xm:sqref>
        </x14:dataValidation>
        <x14:dataValidation type="list" allowBlank="1" showInputMessage="1" showErrorMessage="1" xr:uid="{F7B72113-E76E-4276-B513-7E3D6B946BF4}">
          <x14:formula1>
            <xm:f>Valores!$H$2:$H$3</xm:f>
          </x14:formula1>
          <xm:sqref>F13:F16 C30:C31</xm:sqref>
        </x14:dataValidation>
        <x14:dataValidation type="list" allowBlank="1" showInputMessage="1" showErrorMessage="1" xr:uid="{ED18E200-3E5A-4627-B3B5-AE12657E784A}">
          <x14:formula1>
            <xm:f>Valores!$I$2:$I$3</xm:f>
          </x14:formula1>
          <xm:sqref>C20:C21</xm:sqref>
        </x14:dataValidation>
        <x14:dataValidation type="list" allowBlank="1" showInputMessage="1" showErrorMessage="1" xr:uid="{999BE9DD-6281-4D8E-9E7B-A11BF5CF2185}">
          <x14:formula1>
            <xm:f>Valores!$J$2:$J$3</xm:f>
          </x14:formula1>
          <xm:sqref>H20:H21 I25:I26 I30:I31</xm:sqref>
        </x14:dataValidation>
        <x14:dataValidation type="list" allowBlank="1" showInputMessage="1" showErrorMessage="1" xr:uid="{375DC023-1055-46E6-8C2F-323C181FC567}">
          <x14:formula1>
            <xm:f>Valores!$K$2:$K$3</xm:f>
          </x14:formula1>
          <xm:sqref>C25:C26</xm:sqref>
        </x14:dataValidation>
        <x14:dataValidation type="list" allowBlank="1" showInputMessage="1" showErrorMessage="1" xr:uid="{B44F364F-F18C-47A1-92F2-CB279A236867}">
          <x14:formula1>
            <xm:f>Valores!$L$2:$L$13</xm:f>
          </x14:formula1>
          <xm:sqref>L30</xm:sqref>
        </x14:dataValidation>
        <x14:dataValidation type="list" allowBlank="1" showInputMessage="1" showErrorMessage="1" xr:uid="{12B1A91E-A77E-46BC-933B-0D2206C8C96D}">
          <x14:formula1>
            <xm:f>Valores!$B$2:$B$3</xm:f>
          </x14:formula1>
          <xm:sqref>A9</xm:sqref>
        </x14:dataValidation>
        <x14:dataValidation type="list" allowBlank="1" showInputMessage="1" showErrorMessage="1" xr:uid="{4ADFF7D8-35BF-4C78-8B63-A8120FBEC511}">
          <x14:formula1>
            <xm:f>Valores!$C$2:$C$7</xm:f>
          </x14:formula1>
          <xm:sqref>B9</xm:sqref>
        </x14:dataValidation>
        <x14:dataValidation type="list" allowBlank="1" showInputMessage="1" showErrorMessage="1" xr:uid="{4F571BB9-BA4F-4982-AA69-5442C33345D5}">
          <x14:formula1>
            <xm:f>Structs!$I$2:$I$13</xm:f>
          </x14:formula1>
          <xm:sqref>E9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1B9A-0FA7-460D-AEA8-974846A51CB0}">
  <dimension ref="A1:L13"/>
  <sheetViews>
    <sheetView topLeftCell="B1" workbookViewId="0">
      <selection activeCell="L3" sqref="L3"/>
    </sheetView>
  </sheetViews>
  <sheetFormatPr defaultColWidth="11.42578125" defaultRowHeight="15"/>
  <cols>
    <col min="1" max="1" width="14.140625" bestFit="1" customWidth="1"/>
    <col min="2" max="2" width="12.42578125" bestFit="1" customWidth="1"/>
    <col min="3" max="3" width="13.28515625" bestFit="1" customWidth="1"/>
    <col min="4" max="4" width="31.7109375" bestFit="1" customWidth="1"/>
    <col min="5" max="5" width="14.28515625" bestFit="1" customWidth="1"/>
    <col min="6" max="6" width="31.7109375" bestFit="1" customWidth="1"/>
    <col min="7" max="7" width="16.5703125" bestFit="1" customWidth="1"/>
    <col min="9" max="9" width="15.28515625" bestFit="1" customWidth="1"/>
    <col min="12" max="12" width="16.5703125" bestFit="1" customWidth="1"/>
  </cols>
  <sheetData>
    <row r="1" spans="1:12">
      <c r="A1" t="s">
        <v>2</v>
      </c>
      <c r="B1" t="s">
        <v>78</v>
      </c>
      <c r="C1" t="s">
        <v>79</v>
      </c>
      <c r="D1" t="s">
        <v>492</v>
      </c>
      <c r="E1" t="s">
        <v>493</v>
      </c>
      <c r="F1" t="s">
        <v>492</v>
      </c>
      <c r="G1" t="s">
        <v>86</v>
      </c>
      <c r="H1" t="s">
        <v>494</v>
      </c>
      <c r="I1" t="s">
        <v>116</v>
      </c>
      <c r="J1" t="s">
        <v>120</v>
      </c>
      <c r="K1" t="s">
        <v>127</v>
      </c>
      <c r="L1" t="s">
        <v>495</v>
      </c>
    </row>
    <row r="2" spans="1:12">
      <c r="A2" t="s">
        <v>496</v>
      </c>
      <c r="B2" t="s">
        <v>81</v>
      </c>
      <c r="C2" t="s">
        <v>82</v>
      </c>
      <c r="D2" t="s">
        <v>475</v>
      </c>
      <c r="E2" t="s">
        <v>348</v>
      </c>
      <c r="F2" t="s">
        <v>463</v>
      </c>
      <c r="G2" t="s">
        <v>497</v>
      </c>
      <c r="H2" t="s">
        <v>349</v>
      </c>
      <c r="I2" t="s">
        <v>473</v>
      </c>
      <c r="J2" t="s">
        <v>362</v>
      </c>
      <c r="K2" t="s">
        <v>481</v>
      </c>
      <c r="L2" t="s">
        <v>158</v>
      </c>
    </row>
    <row r="3" spans="1:12">
      <c r="A3" t="s">
        <v>498</v>
      </c>
      <c r="B3" t="s">
        <v>83</v>
      </c>
      <c r="C3" t="s">
        <v>258</v>
      </c>
      <c r="D3" t="s">
        <v>461</v>
      </c>
      <c r="E3" t="s">
        <v>462</v>
      </c>
      <c r="F3" t="s">
        <v>499</v>
      </c>
      <c r="G3" t="s">
        <v>465</v>
      </c>
      <c r="H3" t="s">
        <v>94</v>
      </c>
      <c r="I3" t="s">
        <v>476</v>
      </c>
      <c r="J3" t="s">
        <v>500</v>
      </c>
      <c r="K3" t="s">
        <v>484</v>
      </c>
      <c r="L3" t="s">
        <v>497</v>
      </c>
    </row>
    <row r="4" spans="1:12">
      <c r="A4" t="s">
        <v>501</v>
      </c>
      <c r="C4" t="s">
        <v>133</v>
      </c>
      <c r="F4" t="s">
        <v>461</v>
      </c>
      <c r="G4" t="s">
        <v>196</v>
      </c>
      <c r="L4" t="s">
        <v>465</v>
      </c>
    </row>
    <row r="5" spans="1:12">
      <c r="A5" t="s">
        <v>53</v>
      </c>
      <c r="C5" t="s">
        <v>502</v>
      </c>
      <c r="F5" t="s">
        <v>475</v>
      </c>
      <c r="G5" t="s">
        <v>503</v>
      </c>
      <c r="L5" t="s">
        <v>196</v>
      </c>
    </row>
    <row r="6" spans="1:12">
      <c r="A6" t="s">
        <v>504</v>
      </c>
      <c r="C6" t="s">
        <v>505</v>
      </c>
      <c r="G6" t="s">
        <v>181</v>
      </c>
      <c r="L6" t="s">
        <v>503</v>
      </c>
    </row>
    <row r="7" spans="1:12">
      <c r="C7" t="s">
        <v>506</v>
      </c>
      <c r="G7" t="s">
        <v>507</v>
      </c>
      <c r="L7" t="s">
        <v>181</v>
      </c>
    </row>
    <row r="8" spans="1:12">
      <c r="G8" t="s">
        <v>508</v>
      </c>
      <c r="L8" t="s">
        <v>507</v>
      </c>
    </row>
    <row r="9" spans="1:12">
      <c r="G9" t="s">
        <v>162</v>
      </c>
      <c r="L9" t="s">
        <v>508</v>
      </c>
    </row>
    <row r="10" spans="1:12">
      <c r="G10" t="s">
        <v>93</v>
      </c>
      <c r="L10" t="s">
        <v>162</v>
      </c>
    </row>
    <row r="11" spans="1:12">
      <c r="G11" t="s">
        <v>250</v>
      </c>
      <c r="L11" t="s">
        <v>93</v>
      </c>
    </row>
    <row r="12" spans="1:12">
      <c r="G12" t="s">
        <v>111</v>
      </c>
      <c r="L12" t="s">
        <v>250</v>
      </c>
    </row>
    <row r="13" spans="1:12">
      <c r="L13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8431AB-AA50-4F3F-82D7-FD48B6155C53}"/>
</file>

<file path=customXml/itemProps2.xml><?xml version="1.0" encoding="utf-8"?>
<ds:datastoreItem xmlns:ds="http://schemas.openxmlformats.org/officeDocument/2006/customXml" ds:itemID="{6F878460-2F3A-41BD-95C2-4CD9C0DA2538}"/>
</file>

<file path=customXml/itemProps3.xml><?xml version="1.0" encoding="utf-8"?>
<ds:datastoreItem xmlns:ds="http://schemas.openxmlformats.org/officeDocument/2006/customXml" ds:itemID="{9AE2A7AE-CB58-44F4-8195-7E287552EB43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Adolfo  Esteban Agudelo Florez</cp:lastModifiedBy>
  <cp:revision/>
  <dcterms:created xsi:type="dcterms:W3CDTF">2023-03-29T19:04:22Z</dcterms:created>
  <dcterms:modified xsi:type="dcterms:W3CDTF">2026-03-03T00:25:48Z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2023-03-29T20:40:24Z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0c313e8a-0cbc-47b0-90bf-fa4503b785f4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0x01010014076E23045831469D3B486532F6A668</vt:lpwstr>
  </property>
  <property fmtid="{D5CDD505-2E9C-101B-9397-08002B2CF9AE}" pid="12" name="MediaServiceImageTags">
    <vt:lpwstr/>
  </property>
</Properties>
</file>