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codeName="ThisWorkbook"/>
  <xr:revisionPtr revIDLastSave="19" documentId="11_02EEA442B1A5C01FD0CFD26E4A6365F4EEE2AE55" xr6:coauthVersionLast="47" xr6:coauthVersionMax="47" xr10:uidLastSave="{CE8AD49C-61C9-4769-BDF9-CC7E7593E8BB}"/>
  <bookViews>
    <workbookView xWindow="2240" yWindow="1840" windowWidth="37440" windowHeight="17400" tabRatio="820" firstSheet="8" xr2:uid="{00000000-000D-0000-FFFF-FFFF00000000}"/>
  </bookViews>
  <sheets>
    <sheet name="Mapa empatía" sheetId="1" r:id="rId1"/>
    <sheet name="Accesibilidad" sheetId="2" r:id="rId2"/>
    <sheet name="Confiabilidad" sheetId="3" r:id="rId3"/>
    <sheet name="Conformidad" sheetId="4" r:id="rId4"/>
    <sheet name="Disponibilidad" sheetId="5" r:id="rId5"/>
    <sheet name="Experiencia de usuario" sheetId="6" r:id="rId6"/>
    <sheet name="Rendimiento" sheetId="7" r:id="rId7"/>
    <sheet name="Seguridad" sheetId="8" r:id="rId8"/>
    <sheet name="ESC-CAL-ACCESIBILIDAD" sheetId="9" r:id="rId9"/>
    <sheet name="ESC-CAL-CONFIABILIDAD" sheetId="10" r:id="rId10"/>
    <sheet name="ESC-CAL-CONFORMIDAD" sheetId="11" r:id="rId11"/>
    <sheet name="ESC-CAL-DISPONIBILIDAD" sheetId="12" r:id="rId12"/>
    <sheet name="ESC-CAL-EXPERIENCIA DE USUARIO" sheetId="13" r:id="rId13"/>
    <sheet name="ESC-CAL-RENDIMIENTO" sheetId="14" r:id="rId14"/>
    <sheet name="ESC-CAL-SEGURIDAD" sheetId="15" r:id="rId15"/>
  </sheets>
  <definedNames>
    <definedName name="_xlnm._FilterDatabase" localSheetId="0" hidden="1">'Mapa empatía'!$A$1:$F$16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2" i="13" l="1"/>
  <c r="D201" i="13"/>
  <c r="D190" i="13"/>
  <c r="D179" i="13"/>
  <c r="D168" i="13"/>
  <c r="D157" i="13"/>
  <c r="D146" i="13"/>
  <c r="D135" i="13"/>
  <c r="D124" i="13"/>
  <c r="D113" i="13"/>
  <c r="D102" i="13"/>
  <c r="D91" i="13"/>
  <c r="D80" i="13"/>
  <c r="D69" i="13"/>
  <c r="D58" i="13"/>
  <c r="D47" i="13"/>
  <c r="D36" i="13"/>
  <c r="D25" i="13"/>
  <c r="D14" i="13"/>
  <c r="D3" i="13"/>
  <c r="D3" i="12"/>
  <c r="D36" i="11"/>
  <c r="D25" i="11"/>
  <c r="D14" i="11"/>
  <c r="D3" i="11"/>
  <c r="D80" i="10"/>
  <c r="D69" i="10"/>
  <c r="D58" i="10"/>
  <c r="D47" i="10"/>
  <c r="D36" i="10"/>
  <c r="D25" i="10"/>
  <c r="D14" i="10"/>
  <c r="D3" i="10"/>
  <c r="D58" i="9"/>
  <c r="D47" i="9"/>
  <c r="D36" i="9"/>
  <c r="D25" i="9"/>
  <c r="D14" i="9"/>
  <c r="D3" i="9"/>
  <c r="E8" i="8"/>
  <c r="D8" i="8"/>
  <c r="C8" i="8"/>
  <c r="F7" i="8"/>
  <c r="F6" i="8"/>
  <c r="F5" i="8"/>
  <c r="F4" i="8"/>
  <c r="F3" i="8"/>
  <c r="F2" i="8"/>
  <c r="F8" i="8" s="1"/>
  <c r="E12" i="7"/>
  <c r="D12" i="7"/>
  <c r="C12" i="7"/>
  <c r="F11" i="7"/>
  <c r="F10" i="7"/>
  <c r="F9" i="7"/>
  <c r="F8" i="7"/>
  <c r="F7" i="7"/>
  <c r="F6" i="7"/>
  <c r="F5" i="7"/>
  <c r="F4" i="7"/>
  <c r="F3" i="7"/>
  <c r="F2" i="7"/>
  <c r="F12" i="7" s="1"/>
  <c r="E12" i="6"/>
  <c r="D12" i="6"/>
  <c r="C12" i="6"/>
  <c r="F11" i="6"/>
  <c r="F10" i="6"/>
  <c r="F9" i="6"/>
  <c r="F8" i="6"/>
  <c r="F7" i="6"/>
  <c r="F6" i="6"/>
  <c r="F5" i="6"/>
  <c r="F4" i="6"/>
  <c r="F3" i="6"/>
  <c r="F2" i="6"/>
  <c r="F12" i="6" s="1"/>
  <c r="E3" i="5"/>
  <c r="D3" i="5"/>
  <c r="C3" i="5"/>
  <c r="F2" i="5"/>
  <c r="F3" i="5" s="1"/>
  <c r="E4" i="4"/>
  <c r="D4" i="4"/>
  <c r="C4" i="4"/>
  <c r="F3" i="4"/>
  <c r="F2" i="4"/>
  <c r="F4" i="4" s="1"/>
  <c r="E6" i="3"/>
  <c r="D6" i="3"/>
  <c r="C6" i="3"/>
  <c r="F5" i="3"/>
  <c r="F4" i="3"/>
  <c r="F3" i="3"/>
  <c r="F2" i="3"/>
  <c r="F6" i="3" s="1"/>
  <c r="E5" i="2"/>
  <c r="D5" i="2"/>
  <c r="C5" i="2"/>
  <c r="F4" i="2"/>
  <c r="F3" i="2"/>
  <c r="F2" i="2"/>
  <c r="F5" i="2" s="1"/>
  <c r="D17" i="1"/>
  <c r="C17" i="1"/>
  <c r="B17" i="1"/>
  <c r="E16" i="1"/>
  <c r="E15" i="1"/>
  <c r="E14" i="1"/>
  <c r="E13" i="1"/>
  <c r="E12" i="1"/>
  <c r="E11" i="1"/>
  <c r="E10" i="1"/>
  <c r="K9" i="1"/>
  <c r="J9" i="1"/>
  <c r="I9" i="1"/>
  <c r="G9" i="1"/>
  <c r="E9" i="1"/>
  <c r="E8" i="1"/>
  <c r="K7" i="1"/>
  <c r="J7" i="1"/>
  <c r="I7" i="1"/>
  <c r="G7" i="1"/>
  <c r="E7" i="1"/>
  <c r="K6" i="1"/>
  <c r="J6" i="1"/>
  <c r="I6" i="1"/>
  <c r="G6" i="1"/>
  <c r="E6" i="1"/>
  <c r="K5" i="1"/>
  <c r="J5" i="1"/>
  <c r="I5" i="1"/>
  <c r="G5" i="1"/>
  <c r="E5" i="1"/>
  <c r="K4" i="1"/>
  <c r="J4" i="1"/>
  <c r="I4" i="1"/>
  <c r="G4" i="1"/>
  <c r="E4" i="1"/>
  <c r="K3" i="1"/>
  <c r="J3" i="1"/>
  <c r="I3" i="1"/>
  <c r="G3" i="1"/>
  <c r="E3" i="1"/>
  <c r="K2" i="1"/>
  <c r="K17" i="1" s="1"/>
  <c r="J2" i="1"/>
  <c r="J17" i="1" s="1"/>
  <c r="I2" i="1"/>
  <c r="I17" i="1" s="1"/>
  <c r="G2" i="1"/>
  <c r="G17" i="1" s="1"/>
  <c r="H2" i="1" s="1"/>
  <c r="E2" i="1"/>
  <c r="E17" i="1" l="1"/>
  <c r="F2" i="1"/>
  <c r="F3" i="1"/>
  <c r="F4" i="1"/>
  <c r="F5" i="1"/>
  <c r="F6" i="1"/>
  <c r="F7" i="1"/>
  <c r="F8" i="1"/>
  <c r="F9" i="1"/>
  <c r="F10" i="1"/>
  <c r="F11" i="1"/>
  <c r="F12" i="1"/>
  <c r="F13" i="1"/>
  <c r="F14" i="1"/>
  <c r="F15" i="1"/>
  <c r="F16" i="1"/>
  <c r="F17" i="1" l="1"/>
</calcChain>
</file>

<file path=xl/sharedStrings.xml><?xml version="1.0" encoding="utf-8"?>
<sst xmlns="http://schemas.openxmlformats.org/spreadsheetml/2006/main" count="2314" uniqueCount="715">
  <si>
    <t>Atributos de calidad</t>
  </si>
  <si>
    <t xml:space="preserve"> Administrador</t>
  </si>
  <si>
    <t>Representantre Sede</t>
  </si>
  <si>
    <t>Usuario</t>
  </si>
  <si>
    <t>Total</t>
  </si>
  <si>
    <t>Porcentaje</t>
  </si>
  <si>
    <t>Total Características</t>
  </si>
  <si>
    <t xml:space="preserve">Total votos </t>
  </si>
  <si>
    <t>Administrador</t>
  </si>
  <si>
    <t>Representante Sede</t>
  </si>
  <si>
    <t xml:space="preserve">Usuario </t>
  </si>
  <si>
    <t>Disponibilidad</t>
  </si>
  <si>
    <t>Confiabilidad</t>
  </si>
  <si>
    <t>Seguridad</t>
  </si>
  <si>
    <t>Rendimiento</t>
  </si>
  <si>
    <t>Nota: Esta votado de 1 a 15 donde a mayor numero tiene un mayor impacto</t>
  </si>
  <si>
    <t>Experiencia de usuario</t>
  </si>
  <si>
    <t>Accesibilidad</t>
  </si>
  <si>
    <t>Capacidad de ser administrado</t>
  </si>
  <si>
    <t>Conformidad</t>
  </si>
  <si>
    <t>Capacidad para ser probado</t>
  </si>
  <si>
    <t>Mantenibilidad</t>
  </si>
  <si>
    <t>Interoperabilidad</t>
  </si>
  <si>
    <t>Escalabilidad</t>
  </si>
  <si>
    <t>Capacidad para ser soportado</t>
  </si>
  <si>
    <t>Flexibilidad</t>
  </si>
  <si>
    <t>Internacionalización</t>
  </si>
  <si>
    <t>Características</t>
  </si>
  <si>
    <t>Priorizacion</t>
  </si>
  <si>
    <t>Se requiere que la aplicación ofrezca una navegación clara, estructurada y lógica, permitiendo a los usuarios orientarse fácilmente dentro del sistema sin confusión.</t>
  </si>
  <si>
    <t>Escenarios</t>
  </si>
  <si>
    <t>Se requiere que los elementos visuales cumplan con estándares mínimos de contraste y tamaño de fuente, asegurando la lectura cómoda para todo tipo de usuario.</t>
  </si>
  <si>
    <t>Se requiere que la aplicación emplee un lenguaje sencillo, directo y sin tecnicismos innecesarios, favoreciendo la comprensión de todos los usuarios.</t>
  </si>
  <si>
    <t>Priorización</t>
  </si>
  <si>
    <t>Se requiere que la aplicación mantenga un nivel de disponibilidad mínimo del 99% durante el horario operativo, garantizando su acceso y uso continuo por parte de los usuarios.</t>
  </si>
  <si>
    <t>Se requiere que la aplicación incorpore mecanismos de tolerancia a fallos que permitan continuar su funcionamiento ante errores parciales o interrupciones de componentes individuales.</t>
  </si>
  <si>
    <t>Se requiere que la aplicación gestione los errores de forma controlada, mostrando mensajes comprensibles al usuario y evitando cierres inesperados o pérdida de información.</t>
  </si>
  <si>
    <t>Se requiere que la aplicación valide de forma estricta las entradas de datos en operaciones críticas, reduciendo el riesgo de fallos por datos incorrectos o malformados.</t>
  </si>
  <si>
    <t>NOTA: es la habilidad de un sistema para mantener operacional en el tiempo. La confiabilidad se mide como la probabilidad de que un sistema no falle en ejecutar la función para la que fue construido dentro de un periodo especifico de tiempo.</t>
  </si>
  <si>
    <t>Escenario</t>
  </si>
  <si>
    <t>Se requiere que la aplicación cumpla con las normativas nacionales e internacionales aplicables al tipo de sistema, garantizando su operación dentro del marco legal vigente.</t>
  </si>
  <si>
    <t>Se requiere que la aplicación respete las leyes de protección de datos personales (como la Ley 1581 de 2012 en Colombia o el RGPD en Europa), asegurando el tratamiento ético y seguro de la información.</t>
  </si>
  <si>
    <t>Característica</t>
  </si>
  <si>
    <t>Se requiere que la aplicación mantenga un nivel de disponibilidad mínimo del 99% durante los periodos de operación, garantizando su acceso continuo por parte de los usuarios.</t>
  </si>
  <si>
    <t>NOTA: se define como el conjunto de factores y elementos relacionados con el proceso de interacción de un usuario respecto a un producto o servicio.</t>
  </si>
  <si>
    <t>Se requiere que la aplicación cuente con una interfaz clara, sencilla e intuitiva, que permita a los usuarios comprender y ejecutar sus tareas sin necesidad de capacitación previa.</t>
  </si>
  <si>
    <t>Se requiere que la aplicación mantenga coherencia en sus elementos visuales, iconografía, tipografía y comportamientos interactivos en todas sus secciones.</t>
  </si>
  <si>
    <t>Se requiere que las acciones del usuario obtengan una respuesta del sistema en un tiempo menor a  dos segundos, garantizando fluidez y satisfacción en la interacción.</t>
  </si>
  <si>
    <t>Se requiere que la aplicación brinde mensajes claros de confirmación, error o advertencia ante cada acción del usuario, evitando la incertidumbre durante la navegación.</t>
  </si>
  <si>
    <t>Se requiere que la aplicación se adapte correctamente a diferentes tamaños de pantalla y dispositivos, conservando su funcionalidad y estética en todos los entornos.</t>
  </si>
  <si>
    <t>Se requiere que la aplicación anticipe y prevenga errores mediante validaciones, sugerencias o restricciones que orienten al usuario hacia acciones correctas.</t>
  </si>
  <si>
    <t>Se requiere que la aplicación cumpla con los principios de accesibilidad digital, permitiendo el uso a personas con diferentes niveles de habilidad o discapacidad.</t>
  </si>
  <si>
    <t>Se requiere que la aplicación mantenga un diseño visual agradable, alineado con la identidad visual de la marca, fomentando la confianza y la recordación del usuario.</t>
  </si>
  <si>
    <t>Se requiere que la aplicación permita adaptar ciertos aspectos de la interfaz o las notificaciones según las preferencias del usuario, mejorando la sensación de control y confort.</t>
  </si>
  <si>
    <t>Se requiere que la aplicación mida periódicamente la satisfacción del usuario mediante encuestas o métricas de uso, utilizando los resultados para mejorar la experiencia ofrecida.</t>
  </si>
  <si>
    <t>Se requiere que la aplicación cargue rápidamente y responda sin demoras a las acciones del usuario (menor a  2 segundos).</t>
  </si>
  <si>
    <t>Se requiere que el tiempo de espera entre pantallas o procesos sea mínimo para mantener una buena experiencia de uso.</t>
  </si>
  <si>
    <t>Se requiere que la aplicación use de forma eficiente los recursos del dispositivo, como la memoria o el procesador.</t>
  </si>
  <si>
    <t xml:space="preserve">NOTA: es un indicador de la capacidad de respuesta del sistema para ejecutar una acción dentro de un intervalo de tiempo dado. Puede ser medida en términos de latencia o de respuesta. </t>
  </si>
  <si>
    <t>Se requiere que la aplicación pueda manejar grandes volúmenes de información sin disminuir su velocidad.</t>
  </si>
  <si>
    <t>Se requiere que las operaciones más frecuentes (inicio de sesión, búsqueda, carga de datos) se realicen en el menor tiempo posible( menor a  5 segundos).</t>
  </si>
  <si>
    <t>Se requiere que la aplicación mantenga un desempeño estable sin importar el tipo de conexión a internet.</t>
  </si>
  <si>
    <t>Se requiere que la aplicación aproveche la memoria disponible del dispositivo sin generar bloqueos ni cierres inesperados.</t>
  </si>
  <si>
    <t>Se requiere que las actualizaciones o sincronizaciones se realicen sin afectar la fluidez del sistema.</t>
  </si>
  <si>
    <t>Se requiere que los tiempos de carga de imágenes, videos o documentos sean reducidos y estables.</t>
  </si>
  <si>
    <t>Se requiere que la aplicación pueda adaptarse a distintos niveles de rendimiento de los dispositivos (gama alta, media o baja).</t>
  </si>
  <si>
    <t>Se requiere que la aplicación proteja la información personal de los usuarios frente a accesos no autorizados.</t>
  </si>
  <si>
    <t>Se requiere que solo las personas con los permisos adecuados puedan acceder a funciones o datos confidenciales.</t>
  </si>
  <si>
    <t>Se requiere que la aplicación cierre automáticamente la sesión después de un tiempo prolongado sin actividad.</t>
  </si>
  <si>
    <t>Se requiere que los usuarios puedan cambiar su contraseña de manera fácil y segura.</t>
  </si>
  <si>
    <t>Se requiere que la aplicación bloquee temporalmente una cuenta tras varios intentos fallidos de inicio de sesión.</t>
  </si>
  <si>
    <t>Se requiere que la aplicación solicite confirmación antes de realizar acciones que puedan afectar los datos del usuario.</t>
  </si>
  <si>
    <t>Atributo de calidad:</t>
  </si>
  <si>
    <t>Característica:</t>
  </si>
  <si>
    <t>Identificador del escenario de calidad:</t>
  </si>
  <si>
    <t>ESC-CAL-ACC-0001</t>
  </si>
  <si>
    <t>Nombre del escenario de calidad:</t>
  </si>
  <si>
    <t>Navegación clara y estructurada dentro de la aplicación</t>
  </si>
  <si>
    <t>Tipo escenario:</t>
  </si>
  <si>
    <t>Básico</t>
  </si>
  <si>
    <t>Objetivo:</t>
  </si>
  <si>
    <t>Garantizar que la aplicación ofrezca una navegación intuitiva, organizada y coherente, permitiendo que los usuarios comprendan fácilmente la estructura del sistema y localicen las funcionalidades o contenidos que necesitan sin confusión.</t>
  </si>
  <si>
    <t>Descripción:</t>
  </si>
  <si>
    <t>Escenario donde los usuarios interactúan con la interfaz principal de la aplicación para acceder a diferentes secciones o módulos. La disposición de menús, botones y enlaces sigue una jerarquía lógica y coherente con el flujo natural de uso. Los elementos de navegación son consistentes en todas las pantallas, y las rutas de acceso están claramente identificadas mediante etiquetas descriptivas o íconos reconocibles.</t>
  </si>
  <si>
    <t>Criterio de éxito:</t>
  </si>
  <si>
    <t>Los usuarios pueden desplazarse entre las secciones del sistema sin experimentar desorientación ni necesidad de asistencia externa. Se considera exitoso cuando la mayoría de los usuarios completa las tareas principales sin errores de navegación ni tiempos de búsqueda prolongados.</t>
  </si>
  <si>
    <t>Fuente del estímulo</t>
  </si>
  <si>
    <t>Estímulo</t>
  </si>
  <si>
    <t>Ambiente</t>
  </si>
  <si>
    <t>Artefacto</t>
  </si>
  <si>
    <t>Respuesta</t>
  </si>
  <si>
    <t>Medida de la respuesta</t>
  </si>
  <si>
    <t>¿Cumplió?</t>
  </si>
  <si>
    <t>Tácticas y estrategia</t>
  </si>
  <si>
    <t>Usuarios finales o evaluadores de experiencia de usuario (UX).</t>
  </si>
  <si>
    <t>Interacción del usuario con los menús, rutas y elementos de navegación del sistema.</t>
  </si>
  <si>
    <t>Producción (dispositivos reales con conexión a internet)</t>
  </si>
  <si>
    <t>Sistema</t>
  </si>
  <si>
    <t>El sistema guía al usuario a través de una estructura clara y predecible, donde los elementos mantienen coherencia visual y funcional. Las rutas son comprensibles y el usuario puede regresar fácilmente a pantallas anteriores o al inicio sin perder el contexto.</t>
  </si>
  <si>
    <t>Se asegura que las pruebas de usabilidad reflejan que al menos el 90% de los usuarios localiza correctamente las funciones principales sin ayuda. Los tiempos promedio de navegación no superan los 5 segundos por interacción, y las encuestas de satisfacción muestran una calificación igual o superior al 4/5 en claridad de navegación.</t>
  </si>
  <si>
    <t>Implementación de diseño responsivo con Flutter LayoutBuilder Pattern y MediaQuery. Uso de Material Design 3 para coherencia visual. Pruebas en múltiples resoluciones (phones/tablets).</t>
  </si>
  <si>
    <t>ESC-CAL-ACC-0002</t>
  </si>
  <si>
    <t>Corrección de inconsistencias o confusiones en la navegación del sistema</t>
  </si>
  <si>
    <t>Alternativo</t>
  </si>
  <si>
    <t>Asegurar que, ante la detección de rutas confusas, redundantes o inconsistentes en la navegación, el sistema y el equipo de diseño puedan corregirlas de forma controlada, mejorando la coherencia estructural sin afectar otras funcionalidades.</t>
  </si>
  <si>
    <t>Escenario donde las pruebas de usabilidad o retroalimentaciones de los usuarios evidencian que algunas rutas o menús no son intuitivos, generando confusión o errores al intentar acceder a ciertas funciones. El equipo de diseño revisa la arquitectura de información, ajusta la jerarquía de menús, reorganiza etiquetas o agrupa funciones relacionadas, manteniendo la coherencia con los estándares de navegación establecidos.</t>
  </si>
  <si>
    <t>Las inconsistencias de navegación son identificadas y corregidas sin alterar la estructura funcional de la aplicación. Se considera exitoso cuando las pruebas posteriores confirman una mejora significativa en la orientación del usuario y una reducción en los errores o tiempos de búsqueda.</t>
  </si>
  <si>
    <t>Usuario final</t>
  </si>
  <si>
    <t>Reporte o detección de rutas confusas o poco intuitivas dentro de la aplicación.</t>
  </si>
  <si>
    <t>Producción (dispositivos móviles con diferentes versiones del sistema operativo)</t>
  </si>
  <si>
    <t>El equipo técnico analiza las observaciones, ajusta la estructura de navegación, actualiza los menús y etiquetas, y valida nuevamente la experiencia de usuario mediante pruebas controladas.</t>
  </si>
  <si>
    <t>Se asegura que el número de errores de navegación disminuye en al menos un 80% tras la corrección, que los usuarios identifican las rutas principales en menos de 3 segundos, y que las encuestas de usabilidad confirman un aumento en la satisfacción general respecto a la claridad del sistema.</t>
  </si>
  <si>
    <t>Ciclo de retroalimentación UX → corrección → validación. Monitoreo de métricas de usabilidad post-despliegue. Pruebas de regresión visual.</t>
  </si>
  <si>
    <t>ESC-CAL-ACC-0003</t>
  </si>
  <si>
    <t>Navegación clara, estructurada y lógica dentro de la aplicación</t>
  </si>
  <si>
    <t>Garantizar que la aplicación ofrezca una navegación intuitiva, coherente y organizada, de modo que los usuarios puedan orientarse fácilmente, comprender la estructura del sistema y acceder rápidamente a las funciones o contenidos que necesiten sin experimentar confusión.</t>
  </si>
  <si>
    <t>Escenario donde un usuario interactúa con la aplicación y puede desplazarse entre las distintas secciones de manera fluida gracias a una estructura lógica y consistente. Los menús están organizados jerárquicamente, las etiquetas son claras y descriptivas, y los botones conducen a las secciones esperadas. La interfaz sigue patrones de diseño coherentes que permiten al usuario predecir la ubicación de las funciones principales, reduciendo errores de navegación y mejorando la experiencia de uso.</t>
  </si>
  <si>
    <t>El usuario logra desplazarse por todas las secciones principales sin requerir asistencia externa ni mostrar signos de desorientación. Las pruebas de usabilidad indican que al menos el 90% de los usuarios completan tareas de navegación sin errores o confusión.</t>
  </si>
  <si>
    <t>Interacción del usuario con la interfaz de navegación, explorando diferentes secciones o funciones de la aplicación.</t>
  </si>
  <si>
    <t>Producción (dispositivo móvil sin acceso a internet)</t>
  </si>
  <si>
    <t>El sistema presenta una estructura de navegación clara, con elementos fácilmente identificables y consistentes en su posición y comportamiento. Se dispone de indicadores visuales del contexto actual (por ejemplo, resaltado de la sección activa o breadcrumbs), y las transiciones entre pantallas mantienen la coherencia semántica y funcional.</t>
  </si>
  <si>
    <t>Asegura que las pruebas de usabilidad reflejan una tasa de éxito superior al 90% en tareas de navegación, con un tiempo promedio de aprendizaje inferior a los 3 minutos. No se registran reportes de desorientación ni errores de navegación en las pruebas con usuarios reales, cumpliendo con los principios de usabilidad y diseño centrado en el usuario (ISO 9241-210).</t>
  </si>
  <si>
    <t>ESC-CAL-ACC-0004</t>
  </si>
  <si>
    <t>Corrección de problemas de navegación confusa o estructura no intuitiva</t>
  </si>
  <si>
    <t>Asegurar que, en caso de detectarse dificultades de orientación, rutas poco claras o inconsistencias en la estructura de navegación, el sistema sea ajustado para ofrecer una experiencia más intuitiva y coherente, reduciendo la confusión del usuario y mejorando la eficiencia en la interacción.</t>
  </si>
  <si>
    <t>Escenario donde durante una prueba de usabilidad o mediante retroalimentación de usuarios, se identifica que ciertas secciones de la aplicación presentan navegación confusa, etiquetas poco descriptivas o falta de consistencia en los botones y menús. El equipo de diseño y desarrollo analiza los patrones de interacción, detecta los puntos de fricción y redefine la estructura de navegación. Se actualizan las etiquetas, la disposición de los menús y los flujos de acceso, validando los cambios mediante nuevas pruebas con usuarios reales.</t>
  </si>
  <si>
    <t>Las dificultades de navegación reportadas son eliminadas, y los usuarios logran completar las mismas tareas con una tasa de éxito del 95% o superior después de la corrección. Se considera exitoso cuando las pruebas posteriores muestran una reducción significativa en los errores o tiempos de búsqueda dentro del sistema.</t>
  </si>
  <si>
    <t>Usuarios finales, equipo de experiencia de usuario (UX) o analistas de pruebas de usabilidad.</t>
  </si>
  <si>
    <t>Reporte o detección de confusión en la navegación, menús no intuitivos o etiquetas poco claras en la interfaz.</t>
  </si>
  <si>
    <t>Operación normal</t>
  </si>
  <si>
    <t>El equipo de desarrollo revisa los flujos de navegación, redefine la jerarquía de menús y ajusta las etiquetas y componentes para mejorar la comprensión. Se ejecutan pruebas de validación con usuarios representativos para confirmar que la navegación sea clara, predecible y consistente.</t>
  </si>
  <si>
    <t>Se asegura que los problemas de navegación detectados se corrigen adecuadamente, que los usuarios logran orientarse sin dificultad, y que las pruebas de usabilidad posteriores confirman una mejora en la claridad, coherencia y organización de la estructura de navegación.</t>
  </si>
  <si>
    <t>ESC-CAL-ACC-0007</t>
  </si>
  <si>
    <t>Uso de lenguaje claro y comprensible en la aplicación</t>
  </si>
  <si>
    <t>Garantizar que la aplicación utilice un lenguaje sencillo, directo y fácil de entender, evitando tecnicismos o términos ambiguos que dificulten la comprensión por parte de los usuarios.</t>
  </si>
  <si>
    <t>Escenario donde un usuario interactúa con la aplicación y revisa los textos de botones, mensajes, instrucciones y notificaciones. Todos los textos están redactados en un lenguaje claro, sin expresiones técnicas innecesarias, con frases cortas y comprensibles para diferentes niveles de conocimiento. Las etiquetas y mensajes orientan al usuario de manera intuitiva sobre las acciones que puede realizar.</t>
  </si>
  <si>
    <t>El usuario comprende fácilmente los mensajes y puede completar las tareas sin requerir explicaciones adicionales o conocimientos técnicos previos.</t>
  </si>
  <si>
    <t>Usuario final o evaluador de experiencia de usuario.</t>
  </si>
  <si>
    <t>Interacción del usuario con los textos, mensajes o etiquetas de la aplicación.</t>
  </si>
  <si>
    <t>El sistema presenta mensajes y etiquetas con un lenguaje comprensible, coherente y adaptado al contexto del usuario, permitiendo una interpretación clara de las acciones disponibles.</t>
  </si>
  <si>
    <t>Se asegura que las pruebas de usabilidad confirmen que los usuarios comprenden los textos sin requerir aclaraciones adicionales, que los mensajes evitan tecnicismos innecesarios y que el contenido se ajusta a las guías de redacción clara y lenguaje inclusivo.</t>
  </si>
  <si>
    <t>ESC-CAL-ACC-0008</t>
  </si>
  <si>
    <t>Corrección de textos con lenguaje técnico o confuso</t>
  </si>
  <si>
    <t>Asegurar que los textos identificados como confusos, técnicos o poco comprensibles sean revisados y reemplazados por un lenguaje más claro y accesible.</t>
  </si>
  <si>
    <t>Escenario donde un usuario o evaluador detecta que ciertos mensajes, etiquetas o instrucciones contienen tecnicismos o estructuras complejas que generan confusión. El equipo de diseño revisa el contenido, lo reescribe en un lenguaje sencillo y lo valida con usuarios representativos para asegurar su comprensión.</t>
  </si>
  <si>
    <t>Los textos modificados se comprenden con facilidad y contribuyen a una experiencia más clara y fluida dentro de la aplicación.</t>
  </si>
  <si>
    <t>Identificación de mensajes o textos difíciles de entender durante la interacción con la aplicación.</t>
  </si>
  <si>
    <t>El equipo de desarrollo o redacción actualiza los textos identificados, eliminando tecnicismos y asegurando que el nuevo contenido mantenga coherencia con el resto de la aplicación.</t>
  </si>
  <si>
    <t>Se asegura que las revisiones de contenido verifiquen la claridad del lenguaje empleado, que las pruebas de validación confirmen una mejor comprensión por parte de los usuarios y que los mensajes actualizados contribuyan a una comunicación más accesible.</t>
  </si>
  <si>
    <t>ESC-CAL-CONFI-0001</t>
  </si>
  <si>
    <t>Disponibilidad continua del sistema durante el horario operativo</t>
  </si>
  <si>
    <t>Objetivo</t>
  </si>
  <si>
    <t>Garantizar que la aplicación mantenga un nivel de disponibilidad mínimo del 99% durante el horario operativo, asegurando que los usuarios puedan acceder y utilizar el sistema de forma ininterrumpida.</t>
  </si>
  <si>
    <t>Escenario donde el sistema se encuentra en funcionamiento durante las horas definidas como operativas. Los servicios de backend, la base de datos y la infraestructura de red operan correctamente, procesando las solicitudes de los usuarios con tiempos de respuesta dentro de los umbrales esperados. El monitoreo confirma la estabilidad del sistema y la ausencia de interrupciones imprevistas.</t>
  </si>
  <si>
    <t>El sistema se mantiene accesible y funcional durante el horario operativo, sin interrupciones significativas que afecten la experiencia del usuario.</t>
  </si>
  <si>
    <t>Solicitud de acceso o uso de las funciones de la aplicación durante el horario operativo.</t>
  </si>
  <si>
    <t>El sistema procesa las solicitudes de los usuarios sin interrupciones, manteniendo la estabilidad, la conectividad y la capacidad de respuesta esperada.</t>
  </si>
  <si>
    <t>Asegura que el sistema permanezca disponible durante las horas operativas definidas, que las interrupciones no afecten la experiencia del usuario y que el monitoreo confirme un nivel de disponibilidad estable conforme a los parámetros establecidos.</t>
  </si>
  <si>
    <t>Input Sanitization 100% en POST/PUT. Manejo de errores controlado con Result Container Pattern. Validación por JSON Schema. Mensajes de sistema informativos (Authoritative Backend Messaging).</t>
  </si>
  <si>
    <t>ESC-CAL-CONFI-0002</t>
  </si>
  <si>
    <t>Gestión de interrupciones imprevistas durante el horario operativo</t>
  </si>
  <si>
    <t>Asegurar que, en caso de presentarse interrupciones o caídas del servicio durante el horario operativo, el sistema pueda detectarlas, registrarlas y restaurar su funcionamiento en el menor tiempo posible.</t>
  </si>
  <si>
    <t>Escenario donde ocurre una interrupción imprevista del servicio causada por fallas en el servidor, red o base de datos. El contenedor del servicio se reinicia automáticamente vía Docker restart policy, y el sistema restablece la operación normal para los usuarios.</t>
  </si>
  <si>
    <t>El sistema detecta y recupera su disponibilidad de manera oportuna, garantizando la continuidad del servicio y la integridad de la información.</t>
  </si>
  <si>
    <t>Falla que interrumpe el acceso o funcionamiento normal del sistema.</t>
  </si>
  <si>
    <t>El sistema identifica la interrupción, activa el proceso de recuperación, notifica al personal técnico y restablece el servicio de forma controlada.</t>
  </si>
  <si>
    <t>Asegura que las interrupciones sean detectadas de inmediato, que la recuperación se realice en el menor tiempo posible y que la estabilidad del sistema se restablezca sin pérdida de datos ni afectación prolongada a los usuarios.</t>
  </si>
  <si>
    <t>Pruebas de carga y estrés con k6. Reinicio automático del contenedor vía Docker restart policy en Dokploy. Manejo controlado de errores con ErrorHandler middleware.</t>
  </si>
  <si>
    <t>ESC-CAL-CONFI-0003</t>
  </si>
  <si>
    <t>Operatividad continua ante fallos parciales del sistema</t>
  </si>
  <si>
    <t>Garantizar que la aplicación mantenga su funcionamiento general ante la ocurrencia de errores parciales o la interrupción de componentes individuales.</t>
  </si>
  <si>
    <t>Escenario donde uno o varios módulos o servicios presentan fallas leves o desconexiones temporales. El sistema, mediante sus mecanismos de tolerancia a fallos, detecta el problema y reencamina las operaciones hacia componentes disponibles o ejecuta procesos alternos, manteniendo la estabilidad y continuidad del servicio.</t>
  </si>
  <si>
    <t>El sistema continúa operativo y disponible ante errores parciales, sin afectar las funciones críticas ni la experiencia de los usuarios.</t>
  </si>
  <si>
    <t>Configuración automática del sistema</t>
  </si>
  <si>
    <t>Falla o mal funcionamiento de un componente no crítico dentro del sistema.</t>
  </si>
  <si>
    <t>El sistema detecta el fallo parcial, aplica medidas de contingencia y mantiene su operación normal o con degradación mínima de rendimiento.</t>
  </si>
  <si>
    <t>El sistema conserva al menos el 95% de sus funciones operativas ante fallas parciales y garantiza la disponibilidad del servicio sin interrupciones completas.</t>
  </si>
  <si>
    <t>ESC-CAL-CONFI-0004</t>
  </si>
  <si>
    <t>Recuperación automática ante fallos de componentes críticos</t>
  </si>
  <si>
    <t>Asegurar que, en caso de una falla crítica en un componente o servicio esencial, la aplicación pueda recuperarse automáticamente mediante el reinicio del contenedor en Dokploy, evitando una caída prolongada del sistema.</t>
  </si>
  <si>
    <t>Escenario donde un componente clave del sistema, como el servidor backend o la base de datos, presenta una interrupción. El contenedor se reinicia automáticamente vía Dokploy y el sistema restablece las operaciones, garantizando la continuidad del servicio y la integridad de los datos.</t>
  </si>
  <si>
    <t>El sistema se recupera automáticamente de la falla, manteniendo la disponibilidad de las funciones críticas y evitando la pérdida de información.</t>
  </si>
  <si>
    <t>Fallo en el almacenamiento de datos.</t>
  </si>
  <si>
    <t>Falla total en un componente o servicio crítico del sistema.</t>
  </si>
  <si>
    <t>El sistema detecta la falla, el contenedor se reinicia automáticamente vía Dokploy y restablece la operación en el menor tiempo posible sin requerir intervención manual.</t>
  </si>
  <si>
    <t>La recuperación automática se realiza en menos de 3 minutos, sin pérdida de datos ni afectación significativa para los usuarios.</t>
  </si>
  <si>
    <t>Pruebas de carga y estrés con k6. Reinicio automático del contenedor vía Docker restart policy en Dokploy. Endpoint /health para verificación de estado del servicio.</t>
  </si>
  <si>
    <t>ESC-CAL-CONFI-0011</t>
  </si>
  <si>
    <t>Gestión controlada de errores con mensajes comprensibles para el usuario</t>
  </si>
  <si>
    <t>Garantizar que la aplicación gestione los errores de forma controlada, mostrando mensajes claros y comprensibles al usuario sin provocar cierres inesperados ni pérdida de información.</t>
  </si>
  <si>
    <t>Escenario donde un usuario ejecuta una acción que genera un error interno (por ejemplo, fallo de conexión, dato inválido o recurso no disponible). El sistema detecta el error, lo registra internamente y muestra un mensaje informativo al usuario que explica la situación de manera sencilla y sugiere posibles pasos a seguir, sin afectar el funcionamiento general de la aplicación.</t>
  </si>
  <si>
    <t>El sistema detecta, maneja y comunica los errores sin interrumpir la experiencia del usuario ni comprometer los datos o la estabilidad del sistema.</t>
  </si>
  <si>
    <t>Usuario o sistema durante la ejecución de una acción que genera un error controlado.</t>
  </si>
  <si>
    <t>Falla en la ejecución de una operación o servicio dentro de la aplicación.</t>
  </si>
  <si>
    <t>El sistema identifica la causa del error, evita cierres inesperados, muestra un mensaje explicativo al usuario y registra el incidente para su análisis posterior.</t>
  </si>
  <si>
    <t>Asegura que los errores sean gestionados sin interrupción del servicio, que los mensajes sean comprensibles para el usuario final y que los registros contengan información suficiente para su diagnóstico técnico.</t>
  </si>
  <si>
    <t>ESC-CAL-CONFI-0012</t>
  </si>
  <si>
    <t>Manejo de errores no controlados o excepciones críticas</t>
  </si>
  <si>
    <t>Asegurar que, ante errores no controlados o excepciones críticas, la aplicación mantenga su estabilidad, registre el incidente y ofrezca mecanismos de recuperación o reinicio sin pérdida de datos.</t>
  </si>
  <si>
    <t>Escenario donde ocurre una falla grave o no anticipada (por ejemplo, interrupción de servicios externos, fallo de hardware o excepción no manejada). El sistema ejecuta un procedimiento de contención, guarda el estado actual de los datos, registra el error en los logs y reinicia los servicios afectados o notifica al equipo técnico para su resolución.</t>
  </si>
  <si>
    <t>La aplicación responde de forma controlada ante errores críticos, evitando pérdidas de información y garantizando su recuperación operativa.</t>
  </si>
  <si>
    <t>Sistema, entorno operativo o componente externo que provoca una excepción no controlada.</t>
  </si>
  <si>
    <t>Falla grave durante la ejecución que interrumpe un proceso o componente crítico.</t>
  </si>
  <si>
    <t>El sistema guarda los datos afectados, registra el error con su trazabilidad, ejecuta la recuperación o reinicio de los servicios y notifica al personal técnico.</t>
  </si>
  <si>
    <t>Asegura que los errores críticos no deriven en pérdida de información, que el sistema se recupere automáticamente cuando sea posible y que el evento quede documentado para su análisis técnico posterior.</t>
  </si>
  <si>
    <t>Manejo centralizado de errores (ErrorHandler middleware). Logging técnico en español para trazabilidad. Pruebas de carga y estrés con k6. Mensajes de error claros al usuario vía Authoritative Backend Messaging.</t>
  </si>
  <si>
    <t>ESC-CAL-CONFI-0013</t>
  </si>
  <si>
    <t>Validación estricta de datos en operaciones críticas</t>
  </si>
  <si>
    <t>Garantizar que la aplicación valide de forma rigurosa las entradas de datos en operaciones críticas, evitando que se procesen o almacenen valores incorrectos, malformados o inseguros que puedan comprometer la integridad del sistema o los datos.</t>
  </si>
  <si>
    <t>Escenario en el que un usuario (administrador o actor con permisos específicos) ejecuta una operación crítica, como la creación de un registro, actualización de configuración o ejecución de transacción. Antes de procesar la solicitud, el sistema aplica validaciones de formato, tipo, longitud, unicidad, y consistencia con las reglas de negocio. Solo los datos que cumplan completamente los criterios son aceptados.</t>
  </si>
  <si>
    <t>Las entradas correctas son procesadas y almacenadas exitosamente; las incorrectas son rechazadas con mensajes de error claros y no generan cambios en la base de datos ni afectaciones al sistema.</t>
  </si>
  <si>
    <t>Usuario autorizado que ingresa datos mediante formularios o solicitudes API.</t>
  </si>
  <si>
    <t>El usuario intenta ejecutar una operación crítica enviando datos de entrada.</t>
  </si>
  <si>
    <t>El sistema valida los datos antes de ejecutar la operación; si los datos son válidos, procede con el procesamiento; si son inválidos, rechaza la solicitud, informa al usuario con un mensaje comprensible y registra el intento fallido.</t>
  </si>
  <si>
    <t>Se asegura que el 100% de los datos sean validados antes del procesamiento, las respuestas se generen en menos de 2 segundos y no se produzcan operaciones incompletas o inconsistentes.</t>
  </si>
  <si>
    <t/>
  </si>
  <si>
    <t>ESC-CAL-CONFI-0014</t>
  </si>
  <si>
    <t>Manejo de validaciones fallidas con preservación de estado</t>
  </si>
  <si>
    <t>Evitar pérdida de información y mejorar la experiencia del usuario cuando una validación falla, permitiendo corregir los errores sin reiniciar el proceso ni perder los datos ya ingresados.</t>
  </si>
  <si>
    <t>Escenario donde un usuario intenta realizar una operación crítica, pero introduce uno o varios datos inválidos (por ejemplo: campo obligatorio vacío, valor fuera de rango, formato de fecha incorrecto). El sistema detecta el error, muestra mensajes detallados y mantiene los datos válidos para que el usuario corrija los campos erróneos sin repetir el proceso completo.</t>
  </si>
  <si>
    <t>El sistema impide el procesamiento, informa claramente al usuario de los campos inválidos, conserva los datos válidos y permite corregir los errores de manera inmediata sin pérdida de progreso.</t>
  </si>
  <si>
    <t>Usuario que introduce datos inválidos durante una operación crítica.</t>
  </si>
  <si>
    <t>El usuario envía un formulario o solicitud con datos que no cumplen las reglas de validación.</t>
  </si>
  <si>
    <t>El sistema muestra los mensajes de error asociados a cada campo, mantiene los datos válidos en el formulario, registra el intento fallido y evita cualquier cambio en la base de datos.</t>
  </si>
  <si>
    <t>Los mensajes de error se muestran en menos de 2 segundos, se mantiene la información previamente ingresada y no se producen registros incompletos o inconsistentes.</t>
  </si>
  <si>
    <t>Input Sanitization 100% en POST/PUT. Validación por JSON Schema. Mensajes de sistema informativos (Authoritative Backend Messaging). Preservación de estado en formularios Flutter.</t>
  </si>
  <si>
    <t>ESC-CAL-CONFO-0001</t>
  </si>
  <si>
    <t>Cumplimiento normativo integral del sistema</t>
  </si>
  <si>
    <t>Garantizar que la aplicación cumpla con todas las normativas nacionales e internacionales aplicables, operando dentro del marco legal vigente y asegurando la protección de los datos, la transparencia de los procesos y la responsabilidad organizacional.</t>
  </si>
  <si>
    <t>El sistema debe cumplir con las disposiciones legales y reglamentarias aplicables a su naturaleza, incluyendo leyes de protección de datos personales, propiedad intelectual, accesibilidad, ciberseguridad y transparencia. Se implementan mecanismos técnicos, administrativos y de auditoría que validan la conformidad legal antes, durante y después del despliegue del sistema.</t>
  </si>
  <si>
    <t>La aplicación mantiene su conformidad con el 100 % de las normas vigentes y supera satisfactoriamente todas las auditorías internas y externas sin registrar hallazgos críticos.</t>
  </si>
  <si>
    <t>Auditor interno o externo, entidad reguladora o área de cumplimiento normativo.</t>
  </si>
  <si>
    <t>Se realiza una revisión o auditoría del sistema para verificar el cumplimiento de las regulaciones aplicables.</t>
  </si>
  <si>
    <t>El sistema demuestra cumplimiento con las normas aplicables, proporciona la documentación requerida, evidencia trazabilidad de los procesos y garantiza que su operación se ajusta a las disposiciones legales vigentes.</t>
  </si>
  <si>
    <t>Se asegura que la aplicación cumple los requisitos legales y normativos aplicables, dispone de la documentación de soporte actualizada y mantiene trazabilidad verificable en auditorías internas o externas.</t>
  </si>
  <si>
    <t>Cumplimiento regulatorio: Ley 1581 de 2012 (protección de datos), control de accesos con JWT + RBAC, cifrado de contraseñas bcrypt. Versionamiento semántico con Git Flow. Documentación Swagger/OpenAPI (Documentation Parity).</t>
  </si>
  <si>
    <t>ESC-CAL-CONFO-0002</t>
  </si>
  <si>
    <t>Detección y manejo de incumplimientos normativos</t>
  </si>
  <si>
    <t>Detectar oportunamente cualquier incumplimiento o desviación respecto a las normativas nacionales e internacionales aplicables, permitiendo tomar acciones correctivas inmediatas para restablecer la conformidad legal y operativa del sistema.</t>
  </si>
  <si>
    <t>Escenario en el que se identifica una posible infracción o incumplimiento normativo (por ejemplo, tratamiento inadecuado de datos personales, falta de consentimiento, almacenamiento no autorizado de información sensible o ausencia de trazabilidad en las operaciones). El sistema o los mecanismos de auditoría detectan la desviación, notifican al responsable de cumplimiento y bloquean las operaciones que impliquen riesgo legal hasta su corrección. Se generan reportes detallados para las áreas técnicas y legales.</t>
  </si>
  <si>
    <t>Los incumplimientos normativos se detectan de forma temprana, las operaciones de riesgo son bloqueadas o suspendidas, y se activan los procedimientos de corrección sin afectar la integridad o disponibilidad del sistema.</t>
  </si>
  <si>
    <t>Se detecta un proceso o módulo que no cumple con la normativa vigente (por ejemplo, falta de consentimiento expreso del usuario o transferencia de datos a jurisdicciones no permitidas).</t>
  </si>
  <si>
    <t>El sistema genera una alerta, bloquea temporalmente la funcionalidad afectada, registra el evento en los logs con detalle (fecha, hora, responsable, causa), y notifica a los responsables legales y técnicos. Se inician procedimientos automáticos o manuales de mitigación y se actualiza el estado de cumplimiento tras la corrección.</t>
  </si>
  <si>
    <t>El tiempo de detección del incumplimiento no supera los 10 segundos desde su ocurrencia; la mitigación se inicia en menos de 1 hora; y el 100 % de los eventos quedan registrados con trazabilidad completa y evidencia de cierre.</t>
  </si>
  <si>
    <t>Auditorías periódicas de cumplimiento. Control de licencias de dependencias (go.mod). Trazabilidad de cambios con conventional commits y releases documentados.</t>
  </si>
  <si>
    <t>ESC-CAL-CONFO-0009</t>
  </si>
  <si>
    <t>Cumplimiento normativo en el tratamiento de datos personales</t>
  </si>
  <si>
    <t>Garantizar que la aplicación cumpla con las leyes y normativas vigentes sobre protección de datos personales (como la Ley 1581 de 2012 en Colombia o el RGPD en Europa), promoviendo el tratamiento ético, seguro y transparente de la información de los usuarios.</t>
  </si>
  <si>
    <t>Escenario donde la aplicación recolecta, almacena o procesa datos personales de usuarios. El sistema debe garantizar que dichos datos sean tratados conforme a los principios de legalidad, finalidad, libertad, veracidad, transparencia, acceso y seguridad. Cualquier operación sobre la información debe realizarse bajo consentimiento informado y mecanismos de protección adecuados, evitando accesos no autorizados o usos indebidos.</t>
  </si>
  <si>
    <t>El tratamiento de datos personales cumple con las normativas aplicables y las políticas internas de privacidad, sin que se presenten incidentes de uso indebido, filtración o pérdida de información.</t>
  </si>
  <si>
    <t>Autoridades regulatorias, área jurídica, usuarios finales o auditores internos.</t>
  </si>
  <si>
    <t>Solicitud de acceso, modificación o eliminación de datos personales, o auditoría de cumplimiento legal relacionada con la protección de información.</t>
  </si>
  <si>
    <t>El sistema gestiona los datos conforme a las leyes de protección de datos, garantizando mecanismos de consentimiento, rectificación, eliminación y acceso por parte del titular. Además, implementa controles de seguridad (encriptación, anonimización y auditoría) y genera evidencia verificable de cumplimiento.</t>
  </si>
  <si>
    <t>Se puede asegurar que el 100 % de los datos personales tratados cuentan con consentimiento documentado, que las solicitudes de los titulares se gestionan en un plazo máximo de 5 días hábiles, y que no se registran incidentes de seguridad o sanciones legales derivadas del incumplimiento de las normas de protección de datos.</t>
  </si>
  <si>
    <t>ESC-CAL-CONFO-0010</t>
  </si>
  <si>
    <t>Auditoría y trazabilidad de operaciones sensibles</t>
  </si>
  <si>
    <t>Garantizar que todas las operaciones críticas realizadas en la aplicación queden registradas de forma íntegra, verificable y accesible para auditoría, permitiendo la trazabilidad completa de acciones sobre los datos y configuraciones del sistema.</t>
  </si>
  <si>
    <t>Escenario donde la aplicación ejecuta operaciones sensibles, como modificaciones de información, cambios de configuración, o accesos privilegiados. El sistema debe generar registros detallados (logs) que incluyan usuario, acción, fecha, hora, resultado y contexto. Estos registros deben ser inmutables, protegidos contra alteraciones y disponibles para revisión durante auditorías internas o externas.</t>
  </si>
  <si>
    <t>Todas las operaciones sensibles se registran automáticamente con integridad comprobada y disponibilidad para consulta dentro de los periodos de retención definidos por la organización o la normativa aplicable.</t>
  </si>
  <si>
    <t>Auditores internos o externos, área de seguridad de la información, o responsables del cumplimiento normativo.</t>
  </si>
  <si>
    <t>Solicitud de revisión de trazabilidad, investigación de incidentes o auditoría de cumplimiento de seguridad.</t>
  </si>
  <si>
    <t>El sistema conserva y protege los registros de auditoría de todas las operaciones sensibles, permitiendo la trazabilidad completa de cada evento. Se implementan mecanismos de integridad, cifrado y retención conforme a políticas organizacionales y marcos regulatorios aplicables.</t>
  </si>
  <si>
    <t>Se puede asegurar que el 100 % de las operaciones críticas quedan registradas con su respectiva trazabilidad, que los registros son verificables y no alterables, y que están disponibles para consulta o auditoría durante el periodo mínimo definido de retención de datos.</t>
  </si>
  <si>
    <t>ESC-CAL-DISP-0001</t>
  </si>
  <si>
    <t>Mantenimiento de alta disponibilidad del sistema</t>
  </si>
  <si>
    <t>Garantizar que la aplicación mantenga un nivel de disponibilidad mínimo del 99 % durante los periodos de operación, asegurando el acceso continuo de los usuarios sin interrupciones significativas del servicio.</t>
  </si>
  <si>
    <t>Escenario donde la aplicación opera de manera estable en condiciones normales, soportando las solicitudes de los usuarios sin degradación del servicio. El sistema utiliza un servidor stateless basado en JWT que no almacena sesiones en memoria, facilitando la disponibilidad del servicio.</t>
  </si>
  <si>
    <t>La aplicación permanece disponible y funcional durante al menos el 99 % del tiempo de operación mensual, sin interrupciones críticas que impidan el acceso o uso normal por parte de los usuarios.</t>
  </si>
  <si>
    <t>Usuarios finales o sistemas dependientes que acceden a la aplicación.</t>
  </si>
  <si>
    <t>Solicitudes de acceso, consulta o interacción con el sistema durante su operación normal.</t>
  </si>
  <si>
    <t>El sistema procesa las solicitudes de los usuarios de forma continua, mantiene el servicio operativo mediante un esquema stateless con JWT, y verifica su estado a través del endpoint /health.</t>
  </si>
  <si>
    <t>Se puede asegurar que la aplicación mantiene una disponibilidad superior al 99 % en los periodos de operación, que las interrupciones no superan los 7 horas mensuales, y que los eventos de indisponibilidad se registran y analizan para mejora continua.</t>
  </si>
  <si>
    <t>Endpoint /health para verificación de estado del servicio. Servidor stateless con JWT que permite disponibilidad sin sesiones en memoria. Pruebas de carga y estrés con k6 para validar capacidad.</t>
  </si>
  <si>
    <t>Experiencia de Usuario</t>
  </si>
  <si>
    <t>ESC-CAL-EXPU-0001</t>
  </si>
  <si>
    <t>Interfaz intuitiva y fácil de usar</t>
  </si>
  <si>
    <t>Garantizar que los usuarios puedan entender y utilizar la aplicación fácilmente, sin necesidad de recibir capacitación o instrucciones adicionales.</t>
  </si>
  <si>
    <t>Escenario donde un usuario ingresa por primera vez a la aplicación para realizar una tarea (por ejemplo, registrar un dato, buscar información o usar una función principal). La interfaz presenta los elementos de forma clara, con botones, íconos y textos comprensibles. El usuario puede completar su tarea sin dificultad y sin requerir asistencia.</t>
  </si>
  <si>
    <t>El usuario logra realizar la tarea correctamente en su primer intento, sin confusión ni errores.</t>
  </si>
  <si>
    <t>Usuario nuevo o con poca experiencia.</t>
  </si>
  <si>
    <t>Interacción inicial del usuario con la aplicación.</t>
  </si>
  <si>
    <t>La aplicación guía al usuario de forma natural, mostrando instrucciones claras y retroalimentación inmediata ante cada acción.</t>
  </si>
  <si>
    <t>Se asegura que un usuario nuevo pueda completar una tarea básica sin ayuda y en menos de 3 minutos, demostrando comprensión del uso de la aplicación desde el primer intento.</t>
  </si>
  <si>
    <t>Flutter con Material Design 3 para interfaz clara e intuitiva. Zero Hardcoding Policy (Feature-Based Constants). One Event One Message para feedback claro. Adaptive Data Display Pattern (tabla/cards). Validaciones inline en formularios.</t>
  </si>
  <si>
    <t>ESC-CAL-EXPU-0002</t>
  </si>
  <si>
    <t>Prevención y corrección de errores por confusión en la interfaz</t>
  </si>
  <si>
    <t>Reducir los errores del usuario ocasionados por confusión o mala interpretación de los elementos visuales, proporcionando mensajes claros que lo ayuden a corregir sus acciones.</t>
  </si>
  <si>
    <t>Escenario donde un usuario intenta realizar una tarea y comete un error debido a una interpretación incorrecta de los botones, campos o mensajes en pantalla (por ejemplo, presionar el botón equivocado o ingresar información en el lugar incorrecto). El sistema detecta la acción, muestra una explicación clara del error y guía al usuario para corregirlo sin perder su progreso.</t>
  </si>
  <si>
    <t>El usuario comprende el motivo del error y logra completar la tarea después de recibir la orientación del sistema, sin necesitar asistencia externa.</t>
  </si>
  <si>
    <t>Usuario que comete un error durante la interacción con la aplicación.</t>
  </si>
  <si>
    <t>Acción incorrecta o incompleta realizada dentro de la aplicación (por ejemplo, dejar un campo vacío o usar un formato no válido).</t>
  </si>
  <si>
    <t>La aplicación muestra un mensaje claro indicando el error y cómo solucionarlo, mantiene los datos que el usuario ya ingresó y le permite continuar sin tener que empezar de nuevo.</t>
  </si>
  <si>
    <t>Se asegura que el mensaje de corrección aparece en menos de 2 segundos, que el usuario entiende cómo resolver el problema y logra completar la tarea sin repetir el error.</t>
  </si>
  <si>
    <t>Ciclos de mejora basados en retroalimentación UX. Standard/Destruction Guard Confirmation Dialogs. Post-Success Automatic Redirection. Corrección de inconsistencias visuales con hot reload.</t>
  </si>
  <si>
    <t>ESC-CAL-EXPU-0003</t>
  </si>
  <si>
    <t>Coherencia visual e interactiva en toda la aplicación</t>
  </si>
  <si>
    <t>Garantizar que la aplicación mantenga una apariencia uniforme y un comportamiento coherente en todas sus pantallas, facilitando la comprensión y el uso por parte del usuario.</t>
  </si>
  <si>
    <t>Escenario donde el usuario navega por diferentes secciones de la aplicación (inicio, perfil, ayuda, configuración) y encuentra los mismos estilos visuales, íconos, colores, tipografías y comportamientos en botones, menús o formularios. Esta coherencia permite que el usuario reconozca los elementos fácilmente y use la aplicación sin confusión.</t>
  </si>
  <si>
    <t>El usuario puede moverse entre distintas secciones sin notar cambios bruscos de diseño ni comportamiento, comprendiendo de inmediato cómo interactuar con cada parte.</t>
  </si>
  <si>
    <t>Usuario navegando por distintas secciones de la aplicación.</t>
  </si>
  <si>
    <t>Cambio de sección o función dentro de la aplicación.</t>
  </si>
  <si>
    <t>La aplicación mantiene una apariencia visual coherente y los mismos patrones de interacción en todas las pantallas, reforzando la experiencia del usuario.</t>
  </si>
  <si>
    <t>Se asegura que el diseño y el comportamiento de los elementos sean consistentes en el 100 % de las pantallas, sin variaciones que confundan al usuario.</t>
  </si>
  <si>
    <t>ESC-CAL-EXPU-0004</t>
  </si>
  <si>
    <t>Corrección de incoherencias visuales o de comportamiento</t>
  </si>
  <si>
    <t>Detectar y corregir posibles diferencias de diseño o comportamiento entre secciones, evitando que el usuario experimente confusión o errores de navegación.</t>
  </si>
  <si>
    <t>Escenario donde se detectan diferencias en los estilos visuales o en la forma en que ciertos elementos funcionan (por ejemplo, botones con distinto color o comportamiento en páginas similares). El equipo de diseño o soporte las identifica y aplica correcciones para unificar la apariencia y la experiencia de uso.</t>
  </si>
  <si>
    <t>Las incoherencias son detectadas y corregidas sin afectar la navegación ni generar errores en otras partes del sistema.</t>
  </si>
  <si>
    <t>Usuario, equipo de pruebas o soporte que identifica una inconsistencia visual o funcional.</t>
  </si>
  <si>
    <t>Reporte o detección de diferencias en el diseño o comportamiento de elementos en distintas pantallas.</t>
  </si>
  <si>
    <t>El equipo aplica las correcciones necesarias para mantener la coherencia visual y funcional, sin interrumpir el uso normal de la aplicación.</t>
  </si>
  <si>
    <t>Se asegura que las incoherencias se corrigen en el menor tiempo posible, sin afectar la estabilidad del sistema ni alterar el estilo definido en otras partes.</t>
  </si>
  <si>
    <t>ESC-CAL-EXPU-0005</t>
  </si>
  <si>
    <t>Respuesta rápida del sistema ante acciones del usuario</t>
  </si>
  <si>
    <t>Asegurar que la aplicación responda de manera ágil a las acciones del usuario, evitando esperas prolongadas y manteniendo una experiencia fluida.</t>
  </si>
  <si>
    <t>Escenario donde el usuario realiza diferentes acciones dentro de la aplicación, como abrir menús, cambiar de pantalla o enviar información. El sistema responde en menos de dos segundos, mostrando el resultado de forma clara y continua, sin pausas que afecten la interacción.</t>
  </si>
  <si>
    <t>El usuario percibe que la aplicación responde de forma inmediata, sin demoras ni bloqueos visibles.</t>
  </si>
  <si>
    <t>Usuario interactuando con la aplicación.</t>
  </si>
  <si>
    <t>Acción realizada por el usuario (clic, toque, envío de información o cambio de vista).</t>
  </si>
  <si>
    <t>La aplicación ejecuta la acción solicitada y muestra una respuesta visible o un cambio en la pantalla en menos de dos segundos.</t>
  </si>
  <si>
    <t>El 95 % de las acciones del usuario deben recibir una respuesta visible en menos de dos segundos.</t>
  </si>
  <si>
    <t>ESC-CAL-EXPU-0006</t>
  </si>
  <si>
    <t>Manejo de demoras en la respuesta del sistema</t>
  </si>
  <si>
    <t>Mantener informada a la persona usuaria cuando una acción tarda más de lo esperado, evitando frustración o confusión.</t>
  </si>
  <si>
    <t>Escenario donde, por problemas de conexión o carga del sistema, la respuesta supera los dos segundos. La aplicación muestra un indicador de espera (como un círculo de carga o mensaje de “procesando”) hasta que finalice la acción, asegurando que el usuario entienda que el sistema sigue funcionando.</t>
  </si>
  <si>
    <t>El usuario percibe que la aplicación está trabajando, sin pensar que se bloqueó o falló.</t>
  </si>
  <si>
    <t>Usuario realizando una acción que tarda más de lo normal.</t>
  </si>
  <si>
    <t>Demora en la ejecución de una acción dentro de la aplicación.</t>
  </si>
  <si>
    <t>La aplicación muestra un mensaje o animación de espera mientras se completa la acción, y luego presenta el resultado.</t>
  </si>
  <si>
    <t>El 100 % de las acciones que demoren más de dos segundos deben mostrar un mensaje o indicador antes de que se cumpla ese tiempo.</t>
  </si>
  <si>
    <t>ESC-CAL-EXPU-0007</t>
  </si>
  <si>
    <t>Mensajes claros y comprensibles ante acciones del usuario</t>
  </si>
  <si>
    <t>Garantizar que la aplicación comunique de forma clara el resultado de cada acción del usuario, evitando confusión o incertidumbre durante el uso.</t>
  </si>
  <si>
    <t>Escenario donde el usuario realiza distintas acciones dentro de la aplicación, como guardar información, eliminar un dato o enviar un formulario. El sistema muestra mensajes claros que confirman el resultado de la acción, advierten sobre posibles consecuencias o informan de errores cuando algo falla.</t>
  </si>
  <si>
    <t>El usuario entiende fácilmente qué ocurrió después de cada acción, sin necesidad de ayuda externa.</t>
  </si>
  <si>
    <t>Acción realizada dentro de la aplicación que requiere confirmación, advertencia o mensaje de error.</t>
  </si>
  <si>
    <t>El sistema muestra un mensaje visible, corto y comprensible que confirma, advierte o informa el resultado de la acción.</t>
  </si>
  <si>
    <t>El 100 % de las acciones del usuario generan un mensaje claro que confirma o explica su resultado.</t>
  </si>
  <si>
    <t>ESC-CAL-EXPU-0008</t>
  </si>
  <si>
    <t>Corrección de mensajes confusos o mal redactados</t>
  </si>
  <si>
    <t>Asegurar que los mensajes poco claros o ambiguos sean identificados y mejorados para brindar una comunicación efectiva al usuario.</t>
  </si>
  <si>
    <t>Escenario donde se detectan mensajes que causan confusión (por ejemplo, advertencias técnicas o textos poco comprensibles). El equipo de soporte o diseño revisa el contenido y lo reemplaza por uno más claro, manteniendo la coherencia con el resto de la aplicación.</t>
  </si>
  <si>
    <t>Los mensajes revisados son más fáciles de entender y ayudan al usuario a actuar correctamente.</t>
  </si>
  <si>
    <t>Usuario, equipo de soporte o pruebas que detecta mensajes confusos.</t>
  </si>
  <si>
    <t>Reporte o detección de mensajes difíciles de comprender o mal redactados.</t>
  </si>
  <si>
    <t>El equipo corrige los mensajes para que sean claros, breves y adecuados al contexto del usuario.</t>
  </si>
  <si>
    <t>El 100 % de los mensajes identificados como confusos deben ser corregidos antes de la siguiente actualización del sistema.</t>
  </si>
  <si>
    <t>ESC-CAL-EXPU-0009</t>
  </si>
  <si>
    <t>Adaptabilidad de la aplicación a diferentes dispositivos</t>
  </si>
  <si>
    <t>Garantizar que la aplicación funcione correctamente y mantenga una buena apariencia en distintos tamaños de pantalla y tipos de dispositivos (celulares, tabletas o computadores).</t>
  </si>
  <si>
    <t>Escenario donde un usuario accede a la aplicación desde varios dispositivos. En todos los casos, la interfaz se ajusta automáticamente al tamaño de la pantalla, mostrando los elementos de forma ordenada y sin perder funciones o legibilidad.</t>
  </si>
  <si>
    <t>El usuario puede usar todas las funciones sin dificultad ni deformaciones visuales, sin importar el dispositivo o resolución.</t>
  </si>
  <si>
    <t>Usuario accediendo desde diferentes dispositivos.</t>
  </si>
  <si>
    <t>Cambio de tamaño de pantalla o de tipo de dispositivo (por ejemplo, pasar de celular a computador).</t>
  </si>
  <si>
    <t>La aplicación se ajusta automáticamente al tamaño del dispositivo, conservando la funcionalidad y la estética del diseño original.</t>
  </si>
  <si>
    <t>El 100 % de las pantallas se visualizan correctamente en los principales tamaños de dispositivo, sin pérdida de funciones ni errores de visualización.</t>
  </si>
  <si>
    <t>ESC-CAL-EXPU-0010</t>
  </si>
  <si>
    <t>Corrección de errores de visualización en distintos dispositivos</t>
  </si>
  <si>
    <t>Identificar y solucionar problemas de visualización o funcionamiento que se presenten en algunos tamaños de pantalla o dispositivos específicos.</t>
  </si>
  <si>
    <t>Escenario donde el equipo detecta que ciertos elementos (como botones o textos) no se muestran correctamente en un dispositivo o pantalla. Se ajustan los estilos y proporciones para asegurar una experiencia uniforme y sin errores visuales.</t>
  </si>
  <si>
    <t>La aplicación muestra todos los elementos de forma correcta en cualquier tamaño o tipo de dispositivo.</t>
  </si>
  <si>
    <t>Equipo de pruebas o usuario que reporta un error de visualización.</t>
  </si>
  <si>
    <t>Falla visual o de funcionamiento en una resolución o dispositivo específico.</t>
  </si>
  <si>
    <t>El equipo realiza los ajustes necesarios para garantizar una correcta visualización y funcionalidad en todos los entornos.</t>
  </si>
  <si>
    <t>Los errores visuales o de adaptación se corrigen en el menor tiempo posible, asegurando una visualización estable y coherente en todos los dispositivos.</t>
  </si>
  <si>
    <t>ESC-CAL-EXPU-0011</t>
  </si>
  <si>
    <t>Prevención de errores durante la interacción del usuario</t>
  </si>
  <si>
    <t>Evitar que los usuarios cometan errores al usar la aplicación, guiándolos con validaciones, sugerencias y restricciones que los orienten hacia acciones correctas.</t>
  </si>
  <si>
    <t>Escenario donde el usuario llena formularios, sube archivos o realiza acciones dentro de la aplicación. El sistema verifica los datos ingresados y muestra advertencias o sugerencias si detecta un posible error, como campos vacíos, formatos incorrectos o acciones no permitidas. Esto ayuda a que el usuario corrija antes de continuar.</t>
  </si>
  <si>
    <t>El usuario puede completar sus tareas sin errores ni confusión, gracias a la orientación y validaciones preventivas de la aplicación.</t>
  </si>
  <si>
    <t>Usuario que realiza una acción dentro de la aplicación.</t>
  </si>
  <si>
    <t>Ingreso de datos o ejecución de una acción potencialmente incorrecta.</t>
  </si>
  <si>
    <t>La aplicación detecta el posible error, informa al usuario de forma clara y le ofrece una sugerencia o restricción para continuar correctamente.</t>
  </si>
  <si>
    <t>Se asegura que el sistema previene al menos el 95 % de los errores comunes de entrada o acción, mostrando mensajes claros en menos de 2 segundos.</t>
  </si>
  <si>
    <t>ESC-CAL-EXPU-0012</t>
  </si>
  <si>
    <t>Permitir que el usuario recupere fácilmente su acción o corriga un error que no fue detectado a tiempo, evitando la pérdida de información o frustración.</t>
  </si>
  <si>
    <t>Escenario donde el usuario comete un error que no fue prevenido por el sistema (por ejemplo, eliminar un registro por accidente o enviar un formulario con un dato equivocado). La aplicación ofrece opciones de corrección, como confirmaciones, avisos o posibilidad de deshacer la acción.</t>
  </si>
  <si>
    <t>El usuario puede identificar el error, comprender qué ocurrió y corregirlo sin afectar otras funciones del sistema.</t>
  </si>
  <si>
    <t>Usuario que realiza una acción errónea no anticipada.</t>
  </si>
  <si>
    <t>Error no detectado previamente, como una eliminación o modificación accidental.</t>
  </si>
  <si>
    <t>La aplicación muestra un mensaje claro con la opción de deshacer, corregir o confirmar la acción, ayudando al usuario a recuperarse del error.</t>
  </si>
  <si>
    <t>Se asegura que el usuario pueda corregir su error en menos de 5 segundos, sin pérdida de información ni interrupción de su tarea.</t>
  </si>
  <si>
    <t>ESC-CAL-EXPU-0013</t>
  </si>
  <si>
    <t>Cumplimiento de principios de accesibilidad digital</t>
  </si>
  <si>
    <t>Asegurar que la aplicación pueda ser utilizada por personas con diferentes niveles de habilidad o discapacidad, garantizando igualdad de acceso a sus funciones y contenidos.</t>
  </si>
  <si>
    <t>Escenario donde una persona con discapacidad visual, auditiva o motora utiliza la aplicación. Los elementos visuales cuentan con textos alternativos, los botones y campos son accesibles mediante teclado o lectores de pantalla, los colores tienen suficiente contraste, y los textos se presentan de forma clara y legible.</t>
  </si>
  <si>
    <t>El usuario puede navegar, leer la información y ejecutar las funciones principales de la aplicación sin obstáculos, usando las herramientas de asistencia disponibles.</t>
  </si>
  <si>
    <t>Usuario con discapacidad visual, auditiva o motora.</t>
  </si>
  <si>
    <t>Interacción del usuario con las distintas pantallas o funciones de la aplicación.</t>
  </si>
  <si>
    <t>La aplicación responde correctamente a los comandos de asistencia, mantiene un diseño legible y accesible, y permite completar las tareas sin barreras.</t>
  </si>
  <si>
    <t>Se asegura que el 100 % de las funciones esenciales pueden ser utilizadas por personas con discapacidad, cumpliendo con los principios básicos de accesibilidad digital (perceptible, operable, comprensible y robusto).</t>
  </si>
  <si>
    <t>ESC-CAL-EXPU-0014</t>
  </si>
  <si>
    <t>Corrección de barreras de accesibilidad detectadas en la aplicación</t>
  </si>
  <si>
    <t>Identificar y corregir problemas que impidan el uso adecuado de la aplicación por parte de personas con discapacidad o limitaciones sensoriales.</t>
  </si>
  <si>
    <t>Escenario donde se detectan fallas de accesibilidad, como falta de texto alternativo en imágenes, bajo contraste de colores o elementos no accesibles mediante teclado. El equipo de desarrollo o soporte analiza el problema y aplica los ajustes necesarios para garantizar el acceso equitativo.</t>
  </si>
  <si>
    <t>Las barreras de accesibilidad son detectadas y corregidas sin afectar la funcionalidad ni el diseño general de la aplicación.</t>
  </si>
  <si>
    <t>Usuario, evaluador de accesibilidad o herramienta de validación automática.</t>
  </si>
  <si>
    <t>Reporte o hallazgo de un problema de accesibilidad en la aplicación.</t>
  </si>
  <si>
    <t>El sistema o el equipo responsable aplica los cambios necesarios para cumplir con los principios de accesibilidad, manteniendo el diseño y la usabilidad general.</t>
  </si>
  <si>
    <t>Se asegura que los ajustes de accesibilidad se implementen en menos de una semana desde su detección y que las pruebas posteriores confirmen el acceso completo para los usuarios con discapacidad.</t>
  </si>
  <si>
    <t>ESC-CAL-EXPU-0015</t>
  </si>
  <si>
    <t>Diseño visual coherente con la identidad de la marca</t>
  </si>
  <si>
    <t>Mantener un diseño atractivo y consistente que refleje la identidad visual de la marca, generando confianza y una experiencia agradable para el usuario.</t>
  </si>
  <si>
    <t>Escenario donde el usuario navega por la aplicación y percibe un diseño armonioso: colores, tipografía, íconos e imágenes siguen la misma línea visual definida por la marca. Los elementos gráficos refuerzan la personalidad de la empresa, transmiten profesionalismo y hacen que la aplicación sea fácilmente reconocible.</t>
  </si>
  <si>
    <t>El usuario identifica visualmente la aplicación como parte de la marca, percibiendo coherencia, estética y confianza en todas las pantallas.</t>
  </si>
  <si>
    <t>Interacción visual del usuario con las distintas secciones o pantallas.</t>
  </si>
  <si>
    <t>Aplicación en funcionamiento, visible en diferentes dispositivos y resoluciones.</t>
  </si>
  <si>
    <t>La aplicación mantiene la misma línea visual en todas las secciones, utiliza los colores y estilos definidos por la marca y proyecta una imagen profesional y coherente.</t>
  </si>
  <si>
    <t>Se asegura que el 100 % de las pantallas cumplen con las guías de diseño de la marca y que los usuarios reconocen visualmente la identidad del producto sin confusión.</t>
  </si>
  <si>
    <t>ESC-CAL-EXPU-0016</t>
  </si>
  <si>
    <t>Ajuste del diseño visual ante inconsistencias con la identidad de marca</t>
  </si>
  <si>
    <t>Corregir elementos visuales que no se alinean con la identidad de la marca, asegurando que el diseño mantenga coherencia estética y transmita los valores de la empresa.</t>
  </si>
  <si>
    <t>Escenario donde se detectan inconsistencias visuales como colores incorrectos, tipografía distinta, íconos fuera del estilo o elementos gráficos que no representan adecuadamente la marca. El equipo de diseño realiza los ajustes necesarios para restaurar la coherencia visual sin alterar la funcionalidad.</t>
  </si>
  <si>
    <t>Equipo de diseño, usuario o revisión de control de calidad.</t>
  </si>
  <si>
    <t>Detección de elementos visuales fuera de las guías de marca o con errores de estilo.</t>
  </si>
  <si>
    <t>El equipo aplica las correcciones de estilo y color necesarias para restablecer la coherencia visual y fortalecer la identidad de la marca.</t>
  </si>
  <si>
    <t>Se asegura que los ajustes se implementan en menos de una semana y que, tras la corrección, las pantallas mantienen uniformidad visual y coherencia con la imagen corporativa.</t>
  </si>
  <si>
    <t>ESC-CAL-EXPU-0017</t>
  </si>
  <si>
    <t>Escenario en el que el usuario navega por la aplicación y percibe un diseño visualmente armonioso, donde los colores, tipografía, íconos e imágenes siguen la línea gráfica establecida por la marca. Los elementos visuales refuerzan la personalidad de la empresa, transmiten profesionalismo y permiten que la aplicación sea fácilmente reconocible.</t>
  </si>
  <si>
    <t>El usuario identifica la aplicación como parte de la marca, percibiendo coherencia, estética y confianza en todas las pantallas.</t>
  </si>
  <si>
    <t>Usuario navegando por la aplicación.</t>
  </si>
  <si>
    <t>La aplicación mantiene la línea visual definida, aplicando correctamente los colores, tipografías y estilos de la marca en todas sus secciones.</t>
  </si>
  <si>
    <t>El 100 % de las pantallas cumplen con las guías de diseño establecidas y los usuarios reconocen visualmente la aplicación como parte de la marca.</t>
  </si>
  <si>
    <t>ESC-CAL-EXPU-0018</t>
  </si>
  <si>
    <t>Corregir elementos visuales que no se alinean con la identidad de la marca, asegurando la coherencia estética y la correcta representación de los valores corporativos.</t>
  </si>
  <si>
    <t>Escenario en el que se detectan inconsistencias visuales, como el uso de colores inadecuados, tipografía incorrecta, íconos fuera de estilo o gráficos que no representan la identidad de la marca. El equipo de diseño realiza los ajustes pertinentes para restaurar la coherencia visual sin afectar la funcionalidad del sistema.</t>
  </si>
  <si>
    <t>Las inconsistencias visuales se corrigen de manera oportuna, garantizando armonía, profesionalismo y reconocimiento de marca en toda la aplicación.</t>
  </si>
  <si>
    <t>Equipo de diseño, usuarios o revisión de control de calidad.</t>
  </si>
  <si>
    <t>El equipo aplica las correcciones de diseño necesarias para restablecer la coherencia visual y fortalecer la identidad de la marca.</t>
  </si>
  <si>
    <t>Las correcciones se implementan en un plazo máximo de una semana, logrando uniformidad visual y consistencia con la imagen corporativa.</t>
  </si>
  <si>
    <t>ESC-CAL-EXPU-0019</t>
  </si>
  <si>
    <t>Medición de la satisfacción del usuario para mejora continua</t>
  </si>
  <si>
    <t>Evaluar periódicamente la satisfacción del usuario y utilizar los resultados para optimizar la experiencia general de la aplicación.</t>
  </si>
  <si>
    <t>Escenario en el que la aplicación recopila datos sobre la experiencia del usuario mediante encuestas, valoraciones o métricas de uso (como frecuencia de acceso, tiempo en pantalla o tasa de abandono). Estos resultados son analizados por el equipo de desarrollo para identificar oportunidades de mejora y aplicar ajustes orientados a incrementar la satisfacción del usuario.</t>
  </si>
  <si>
    <t>Se obtiene retroalimentación de los usuarios de forma periódica, y las mejoras implementadas generan un aumento medible en los niveles de satisfacción.</t>
  </si>
  <si>
    <t>Usuario o sistema de medición integrado.</t>
  </si>
  <si>
    <t>Recolección de datos de satisfacción o comportamiento de uso.</t>
  </si>
  <si>
    <t>La aplicación recopila y analiza la información de los usuarios, generando reportes que sirven como base para aplicar mejoras de diseño o funcionalidad.</t>
  </si>
  <si>
    <t>Se garantiza la aplicación de encuestas al menos una vez por trimestre y la implementación de mejoras que incrementen en un 10 % o más el índice de satisfacción del usuario respecto al periodo anterior.</t>
  </si>
  <si>
    <t>ESC-CAL-EXPU-0020</t>
  </si>
  <si>
    <t>Ajuste de la experiencia del usuario a partir de resultados de satisfacción</t>
  </si>
  <si>
    <t>Utilizar los resultados de encuestas o métricas de satisfacción para realizar mejoras concretas en la aplicación, fortaleciendo la experiencia de uso.</t>
  </si>
  <si>
    <t>Escenario donde se identifican puntos de insatisfacción o baja interacción del usuario a través de métricas o encuestas. El equipo analiza los resultados, prioriza las causas y aplica ajustes específicos en diseño, rendimiento o funcionalidades para optimizar la experiencia.</t>
  </si>
  <si>
    <t>Las acciones de mejora reducen los índices de insatisfacción y aumentan la interacción positiva del usuario con la aplicación.</t>
  </si>
  <si>
    <t>Equipo de experiencia de usuario, área de análisis o gestión de calidad.</t>
  </si>
  <si>
    <t>Resultados de encuestas o métricas de uso que evidencian oportunidades de mejora.</t>
  </si>
  <si>
    <t>El equipo implementa mejoras en diseño o comportamiento del sistema según los hallazgos de las mediciones, optimizando la experiencia del usuario.</t>
  </si>
  <si>
    <t>Las mejoras se implementan en un periodo no mayor a dos meses después del análisis, reflejándose en un aumento del nivel de satisfacción general superior al 10 %.</t>
  </si>
  <si>
    <t>ESC-CAL-REN-0001</t>
  </si>
  <si>
    <t>Tiempo de respuesta óptimo en la interacción del usuario</t>
  </si>
  <si>
    <t>Garantizar que la aplicación responda de forma rápida y fluida a las acciones del usuario, mejorando la experiencia de uso y evitando tiempos de espera perceptibles.</t>
  </si>
  <si>
    <t>Escenario donde el usuario realiza una acción dentro de la aplicación (por ejemplo, abrir una página, enviar un formulario o consultar datos). El sistema procesa la solicitud y muestra la respuesta en pantalla sin demoras notorias, manteniendo la fluidez en la interacción.</t>
  </si>
  <si>
    <t>El tiempo de carga o respuesta ante cualquier acción del usuario no supera los 2 segundos.</t>
  </si>
  <si>
    <t>Usuario final.</t>
  </si>
  <si>
    <t>Interacción directa del usuario con la interfaz (clic, toque, consulta o navegación).</t>
  </si>
  <si>
    <t>El sistema procesa la acción y muestra el resultado en pantalla sin retrasos perceptibles, garantizando una navegación fluida.</t>
  </si>
  <si>
    <t>Se asegura que el tiempo promedio de respuesta a las acciones del usuario sea menor o igual a 2 segundos en el 95 % de las operaciones realizadas bajo condiciones normales.</t>
  </si>
  <si>
    <t>Tiempo de respuesta API menor a 2 segundos. Queries SQL optimizadas con JOINs para evitar consultas N+1. In-Memory Caching Pattern en DataSources Flutter. Filtrado local en listados.</t>
  </si>
  <si>
    <t>ESC-CAL-REN-0002</t>
  </si>
  <si>
    <t>Manejo eficiente de demoras o sobrecarga en el tiempo de respuesta</t>
  </si>
  <si>
    <t>Minimizar el impacto en la experiencia del usuario cuando se presenten demoras ocasionales por alta carga del sistema o lentitud en la red.</t>
  </si>
  <si>
    <t>Escenario donde el usuario ejecuta una acción mientras el sistema experimenta un pico de carga o una conexión de red lenta. La aplicación gestiona la situación mostrando indicadores de progreso o mensajes informativos para mantener la percepción de fluidez.</t>
  </si>
  <si>
    <t>El sistema mantiene su estabilidad y comunica al usuario el estado de la acción sin generar frustración ni errores aparentes.</t>
  </si>
  <si>
    <t>Usuario final o condiciones de red adversas.</t>
  </si>
  <si>
    <t>Ejecución de acciones durante una sobrecarga del sistema o ralentización temporal.</t>
  </si>
  <si>
    <t>El sistema muestra mensajes de espera o carga visual, evita bloqueos y completa la acción tan pronto como los recursos lo permiten.</t>
  </si>
  <si>
    <t>Se asegura que ante demoras superiores a 2 segundos, el sistema notifique visualmente al usuario en menos de 1 segundo, manteniendo la estabilidad y sin pérdida de información.</t>
  </si>
  <si>
    <t>Queries SQL con JOINs para evitar consultas N+1. In-Memory Caching en Flutter para reducir llamadas de red. Pruebas de carga y estrés con k6.</t>
  </si>
  <si>
    <t>ESC-CAL-REN-0005</t>
  </si>
  <si>
    <t>Minimización del tiempo de espera entre pantallas o procesos</t>
  </si>
  <si>
    <t>Garantizar que las transiciones entre pantallas o procesos se realicen de manera ágil, reduciendo los tiempos de espera y mejorando la experiencia del usuario.</t>
  </si>
  <si>
    <t>Escenario donde el usuario navega entre diferentes pantallas o ejecuta procesos dentro de la aplicación (por ejemplo, carga de datos o consulta de información). El sistema optimiza el procesamiento y la transferencia de datos para que las transiciones sean rápidas y fluidas.</t>
  </si>
  <si>
    <t>El tiempo de carga o cambio entre pantallas no supera los 2 segundos bajo condiciones normales de operación.</t>
  </si>
  <si>
    <t>Interacción del usuario que desencadena una transición de pantalla o ejecución de un proceso.</t>
  </si>
  <si>
    <t>El sistema procesa la solicitud y muestra la nueva pantalla o resultado del proceso de forma fluida, sin interrupciones ni retardos perceptibles.</t>
  </si>
  <si>
    <t>Se asegura que el 95 % de las transiciones entre pantallas o procesos se ejecuten en menos de 2 segundos, manteniendo una experiencia fluida y continua para el usuario.</t>
  </si>
  <si>
    <t>ESC-CAL-REN-0006</t>
  </si>
  <si>
    <t>Gestión de demoras durante la carga de pantallas o procesos</t>
  </si>
  <si>
    <t>Evitar frustración o pérdida de interacción cuando se presenten tiempos de espera prolongados, mostrando indicadores visuales o mensajes informativos al usuario.</t>
  </si>
  <si>
    <t>Escenario donde la carga de una pantalla o proceso tarda más de lo esperado debido a una conexión lenta o alta demanda del sistema. La aplicación muestra un indicador de progreso o mensaje de espera que mantiene informado al usuario y evita cierres inesperados o reintentos innecesarios.</t>
  </si>
  <si>
    <t>El usuario comprende que el sistema sigue procesando su solicitud, sin percibir fallos ni pérdida de control.</t>
  </si>
  <si>
    <t>Retraso en la carga de pantallas o ejecución de procesos por causas externas (por ejemplo, red o servidor).</t>
  </si>
  <si>
    <t>El sistema muestra indicadores o mensajes de progreso, manteniendo la interacción y evitando la interrupción de la sesión del usuario.</t>
  </si>
  <si>
    <t>Se asegura que ante un retraso mayor a 3 segundos, el sistema informe al usuario del estado del proceso en menos de 1 segundo, preservando la percepción de control y confianza durante la espera.</t>
  </si>
  <si>
    <t>ESC-CAL-REN-0007</t>
  </si>
  <si>
    <t>Uso eficiente de los recursos del dispositivo</t>
  </si>
  <si>
    <t>Lograr que la aplicación funcione bien sin consumir demasiada memoria, batería o procesamiento del dispositivo, manteniendo un buen rendimiento.</t>
  </si>
  <si>
    <t>El usuario utiliza la aplicación durante un tiempo prolongado. El sistema administra los recursos del dispositivo (como la memoria y el procesador) de manera equilibrada, evitando que el teléfono se vuelva lento, se caliente o se descargue rápidamente.</t>
  </si>
  <si>
    <t>La aplicación funciona de manera fluida, sin ralentizar el dispositivo ni afectar su batería durante el uso normal.</t>
  </si>
  <si>
    <t>Uso constante de la aplicación, incluyendo navegación, carga de información o ejecución de funciones.</t>
  </si>
  <si>
    <t>La aplicación administra bien los recursos del dispositivo, mantiene un rendimiento estable y evita un consumo excesivo que afecte la experiencia del usuario.</t>
  </si>
  <si>
    <t>El uso de memoria y procesador no supera el 70 % de la capacidad disponible del dispositivo en condiciones normales, y el rendimiento se mantiene constante durante toda la sesión.</t>
  </si>
  <si>
    <t>ESC-CAL-REN-0008</t>
  </si>
  <si>
    <t>Gestión de alto consumo de recursos del dispositivo</t>
  </si>
  <si>
    <t>Evitar que la aplicación afecte el rendimiento del dispositivo cuando usa demasiada memoria o procesamiento, informando al usuario y ajustando su funcionamiento para mantenerse estable.</t>
  </si>
  <si>
    <t>En algunos casos, la aplicación puede comenzar a usar más recursos de lo normal, por ejemplo, al abrir muchos elementos o ejecutar varios procesos al mismo tiempo. Para evitar que el dispositivo se vuelva lento o se caliente, la aplicación detecta el aumento en el consumo y reduce tareas en segundo plano, o muestra un mensaje al usuario para que espere un momento mientras se estabiliza el sistema.</t>
  </si>
  <si>
    <t>El dispositivo sigue funcionando con normalidad y el usuario comprende que la aplicación está controlando el uso de recursos para mantener un buen desempeño.</t>
  </si>
  <si>
    <t>Aumento del consumo de memoria o procesador causado por tareas simultáneas o procesos exigentes dentro de la aplicación.</t>
  </si>
  <si>
    <t>El sistema detecta el alto consumo, ajusta su funcionamiento (pausando tareas no esenciales o liberando memoria) y muestra un aviso si es necesario, para mantener la aplicación estable.</t>
  </si>
  <si>
    <t>Cuando el consumo supera el 80 % de los recursos del dispositivo, la aplicación responde en menos de 2 segundos para reducir tareas o mostrar un mensaje, evitando bloqueos o cierres inesperados.</t>
  </si>
  <si>
    <t>ESC-CAL-REN-0009</t>
  </si>
  <si>
    <t>Manejo eficiente de grandes volúmenes de información</t>
  </si>
  <si>
    <t>Garantizar que la aplicación funcione con rapidez y sin pausas, incluso cuando maneja una gran cantidad de datos o registros.</t>
  </si>
  <si>
    <t>Escenario donde el usuario realiza acciones que implican el uso de mucha información, como buscar, cargar o mostrar datos dentro de la aplicación. El sistema organiza y procesa esos datos de forma eficiente para que la aplicación mantenga su velocidad y no se vuelva lenta o se bloquee.</t>
  </si>
  <si>
    <t>La aplicación mantiene su velocidad y estabilidad al trabajar con grandes cantidades de información.</t>
  </si>
  <si>
    <t>Solicitud del usuario que requiere procesar, cargar o visualizar una gran cantidad de datos.</t>
  </si>
  <si>
    <t>El sistema procesa la información de forma ordenada y rápida, permitiendo que el usuario continúe con sus tareas sin notar demoras o interrupciones.</t>
  </si>
  <si>
    <t>Se asegura que el tiempo de respuesta se mantenga por debajo de 3 segundos, incluso al manejar grandes volúmenes de información, garantizando una experiencia fluida y estable para el usuario.</t>
  </si>
  <si>
    <t>ESC-CAL-REN-0010</t>
  </si>
  <si>
    <t>Gestión de demoras al manejar grandes volúmenes de información</t>
  </si>
  <si>
    <t>Evitar que el usuario piense que la aplicación se bloqueó cuando tarda en procesar mucha información, mostrando mensajes o señales que indiquen que sigue trabajando.</t>
  </si>
  <si>
    <t>Escenario donde la aplicación debe manejar una gran cantidad de datos y el proceso de carga o visualización tarda más de lo normal. El sistema detecta la demora y muestra un mensaje o animación de progreso para que el usuario sepa que la información sigue cargando y no piense que la aplicación falló.</t>
  </si>
  <si>
    <t>El usuario comprende que la aplicación continúa procesando la información, sin percibir que se detuvo o presentó un error.</t>
  </si>
  <si>
    <t>Retraso en la carga o procesamiento de datos por la gran cantidad de información solicitada.</t>
  </si>
  <si>
    <t>El sistema muestra indicadores visuales o mensajes de progreso que mantienen informado al usuario mientras se completa la carga de los datos.</t>
  </si>
  <si>
    <t>Se asegura que, cuando el proceso de carga supera los 3 segundos, la aplicación muestre un mensaje o indicador en menos de 1 segundo, para mantener la confianza y la sensación de control del usuario.</t>
  </si>
  <si>
    <t>ESC-CAL-REN-0011</t>
  </si>
  <si>
    <t>Ejecución rápida de las operaciones más frecuentes</t>
  </si>
  <si>
    <t>Garantizar que las acciones que los usuarios realizan con mayor frecuencia se ejecuten en el menor tiempo posible, para ofrecer una experiencia ágil y satisfactoria.</t>
  </si>
  <si>
    <t>Escenario donde el usuario realiza operaciones comunes dentro de la aplicación, como iniciar sesión, realizar una búsqueda o cargar información. El sistema responde de forma rápida y eficiente para que el usuario no tenga que esperar más de lo necesario.</t>
  </si>
  <si>
    <t>Las operaciones más frecuentes se completan en menos de 5 segundos, manteniendo una experiencia fluida para el usuario.</t>
  </si>
  <si>
    <t>Ejecución de acciones frecuentes como inicio de sesión, búsqueda o carga de datos.</t>
  </si>
  <si>
    <t>El sistema procesa rápidamente las acciones solicitadas y muestra los resultados sin demoras perceptibles, permitiendo al usuario continuar con sus actividades sin interrupciones.</t>
  </si>
  <si>
    <t>Se asegura que el 95 % de las operaciones más utilizadas (inicio de sesión, búsqueda o carga de datos) se completen en menos de 5 segundos, garantizando un uso fluido y continuo de la aplicación.</t>
  </si>
  <si>
    <t>ESC-CAL-REN-0012</t>
  </si>
  <si>
    <t>Gestión de demoras en las operaciones más frecuentes</t>
  </si>
  <si>
    <t>Evitar que el usuario piense que la aplicación falló cuando una operación frecuente tarda más de lo esperado, mostrando mensajes o señales que indiquen que el proceso sigue en curso.</t>
  </si>
  <si>
    <t>Escenario donde el usuario realiza acciones habituales como iniciar sesión, buscar información o cargar datos, y el proceso tarda más de 5 segundos debido a factores como una conexión lenta o alta demanda del sistema. La aplicación muestra un mensaje o ícono de “cargando” para informar al usuario que su solicitud sigue siendo procesada.</t>
  </si>
  <si>
    <t>El usuario entiende que la aplicación continúa trabajando y no interpreta la demora como un error o un bloqueo.</t>
  </si>
  <si>
    <t>Retraso en la ejecución de operaciones frecuentes por causas externas como lentitud en la red o sobrecarga del sistema.</t>
  </si>
  <si>
    <t>El sistema detecta la demora y muestra indicadores visuales o mensajes informativos para mantener al usuario informado mientras se completa la acción solicitada.</t>
  </si>
  <si>
    <t>Se asegura que, cuando una operación frecuente supera los 5 segundos, la aplicación muestre un mensaje o indicador de carga en menos de 1 segundo, manteniendo la confianza del usuario y evitando que interrumpa el proceso.</t>
  </si>
  <si>
    <t>ESC-CAL-REN-0013</t>
  </si>
  <si>
    <t>Desempeño estable con diferentes tipos de conexión a internet</t>
  </si>
  <si>
    <t>Garantizar que la aplicación funcione correctamente y mantenga su rapidez, sin importar si el usuario tiene una conexión de alta o baja velocidad.</t>
  </si>
  <si>
    <t>Escenario donde el usuario utiliza la aplicación con distintos tipos de conexión a internet, como Wi-Fi, datos móviles o redes de baja velocidad. El sistema ajusta la forma en que envía y recibe la información para mantener un desempeño estable y una buena experiencia de uso.</t>
  </si>
  <si>
    <t>La aplicación funciona de manera fluida, sin errores ni interrupciones, sin importar la calidad de la conexión a internet.</t>
  </si>
  <si>
    <t>Uso de la aplicación con diferentes tipos de conexión (Wi-Fi, 4G, 5G o red lenta).</t>
  </si>
  <si>
    <t>El sistema ajusta la transferencia de información según la conexión disponible, manteniendo una navegación estable y sin interrupciones visibles para el usuario.</t>
  </si>
  <si>
    <t>Se asegura que la aplicación mantenga un desempeño constante, con tiempos de respuesta menores a 5 segundos, independientemente del tipo de conexión utilizada.</t>
  </si>
  <si>
    <t>ESC-CAL-REN-0014</t>
  </si>
  <si>
    <t>Gestión de conexión inestable o pérdida temporal de internet</t>
  </si>
  <si>
    <t>Evitar que el usuario pierda su información o piense que la aplicación falló cuando la conexión a internet es inestable o se interrumpe por unos segundos.</t>
  </si>
  <si>
    <t>Escenario donde el usuario usa la aplicación y la conexión a internet se vuelve lenta o se interrumpe momentáneamente. El sistema detecta la falta de conexión y muestra un mensaje claro que indica la situación, guardando los datos temporales para evitar que el usuario pierda su progreso.</t>
  </si>
  <si>
    <t>El usuario entiende que el problema está relacionado con la conexión y no con la aplicación, sin perder su información ni su avance.</t>
  </si>
  <si>
    <t>Interrupción o inestabilidad en la conexión a internet durante el uso de la aplicación.</t>
  </si>
  <si>
    <t>El sistema muestra un aviso de conexión inestable, guarda los datos y reintenta la conexión automáticamente cuando el servicio se restablece.</t>
  </si>
  <si>
    <t>Se asegura que, ante una desconexión o red inestable, la aplicación informe al usuario en menos de 2 segundos y conserve su información hasta que la conexión se recupere.</t>
  </si>
  <si>
    <t>ESC-CAL-REN-0019</t>
  </si>
  <si>
    <t>Uso eficiente de la memoria del dispositivo</t>
  </si>
  <si>
    <t>Garantizar que la aplicación utilice adecuadamente la memoria del dispositivo para funcionar sin bloqueos, cierres inesperados o pérdida de información.</t>
  </si>
  <si>
    <t>Escenario donde el usuario utiliza la aplicación por un tiempo prolongado o ejecuta varias funciones al mismo tiempo. El sistema gestiona de manera eficiente el uso de la memoria disponible, liberando recursos que no se necesitan y evitando sobrecargas que puedan afectar el funcionamiento.</t>
  </si>
  <si>
    <t>La aplicación se mantiene estable y fluida, sin fallos ni cierres automáticos durante su uso.</t>
  </si>
  <si>
    <t>Uso continuo de la aplicación o ejecución de varias tareas simultáneas.</t>
  </si>
  <si>
    <t>El sistema optimiza el uso de la memoria, libera espacio cuando es necesario y asegura que las funciones sigan activas sin interrupciones.</t>
  </si>
  <si>
    <t>Se asegura que el 95 % de las operaciones se ejecuten sin bloqueos ni cierres inesperados, incluso cuando la memoria disponible del dispositivo sea limitada.</t>
  </si>
  <si>
    <t>ESC-CAL-REN-0020</t>
  </si>
  <si>
    <t>Gestión de poca memoria disponible en el dispositivo</t>
  </si>
  <si>
    <t>Evitar bloqueos, lentitud o pérdida de información cuando el dispositivo tiene poca memoria disponible, manteniendo la estabilidad de la aplicación.</t>
  </si>
  <si>
    <t>Escenario donde el usuario utiliza la aplicación y el dispositivo tiene la memoria casi llena. El sistema detecta esta condición y toma medidas preventivas, como pausar tareas no esenciales, liberar recursos o mostrar un aviso para que el usuario cierre otras aplicaciones y continúe sin problemas.</t>
  </si>
  <si>
    <t>El usuario comprende la causa del problema y la aplicación continúa funcionando sin cierres inesperados ni pérdida de datos.</t>
  </si>
  <si>
    <t>Usuario final o sistema operativo del dispositivo.</t>
  </si>
  <si>
    <t>Reducción de la memoria disponible que pone en riesgo el funcionamiento fluido de la aplicación.</t>
  </si>
  <si>
    <t>El sistema detecta la baja memoria, libera recursos, muestra un mensaje claro al usuario y evita que la aplicación se cierre de forma inesperada.</t>
  </si>
  <si>
    <t>Se asegura que, ante una baja memoria, la aplicación avise al usuario en menos de 2 segundos y mantenga la estabilidad del sistema durante el 90 % de los casos detectados.</t>
  </si>
  <si>
    <t>ESC-CAL-REN-0021</t>
  </si>
  <si>
    <t>Actualizaciones y sincronizaciones sin afectar la fluidez del sistema</t>
  </si>
  <si>
    <t>Garantizar que las actualizaciones o sincronizaciones de información se realicen sin afectar la rapidez ni la estabilidad del sistema durante su uso.</t>
  </si>
  <si>
    <t>Escenario donde la aplicación descarga o envía datos al servidor (por ejemplo, al actualizar contenido o sincronizar información del usuario). El sistema realiza estas tareas en segundo plano, administrando los recursos del dispositivo para mantener la aplicación fluida y sin interrupciones visibles.</t>
  </si>
  <si>
    <t>El usuario puede continuar usando la aplicación normalmente mientras se ejecutan las actualizaciones o sincronizaciones.</t>
  </si>
  <si>
    <t>Ejecución de procesos automáticos de actualización o sincronización mientras el usuario interactúa con la aplicación.</t>
  </si>
  <si>
    <t>El sistema gestiona los procesos en segundo plano sin interferir en las acciones del usuario, priorizando la fluidez y el tiempo de respuesta.</t>
  </si>
  <si>
    <t>Se asegura que durante las actualizaciones o sincronizaciones, el tiempo de respuesta de la aplicación no aumente más de 1 segundo y se mantenga estable el 95 % del tiempo.</t>
  </si>
  <si>
    <t>ESC-CAL-REN-0022</t>
  </si>
  <si>
    <t>Gestión de lentitud durante actualizaciones o sincronizaciones</t>
  </si>
  <si>
    <t>Evitar que la aplicación se vuelva lenta o deje de responder cuando se realizan actualizaciones o sincronizaciones de datos que consumen muchos recursos.</t>
  </si>
  <si>
    <t>Escenario donde la aplicación está actualizando o sincronizando información y se presenta una disminución temporal en la velocidad. El sistema detecta esta situación y ajusta el ritmo de las tareas o muestra un aviso al usuario, asegurando que el funcionamiento general no se detenga ni se produzcan errores.</t>
  </si>
  <si>
    <t>El usuario comprende que el sistema está actualizando o sincronizando datos y puede seguir utilizando la aplicación sin interrupciones graves.</t>
  </si>
  <si>
    <t>Lentitud causada por una actualización o sincronización en curso.</t>
  </si>
  <si>
    <t>El sistema identifica la lentitud, reduce temporalmente la carga de las tareas de sincronización y muestra un mensaje informativo al usuario para mantener la confianza y el control.</t>
  </si>
  <si>
    <t>Se asegura que, ante una lentitud por sincronización, el sistema recupere su velocidad normal en menos de 5 segundos y mantenga la estabilidad sin bloqueos ni cierres inesperados.</t>
  </si>
  <si>
    <t>ESC-CAL-REN-0023</t>
  </si>
  <si>
    <t>Carga rápida y estable de imágenes, videos o documentos</t>
  </si>
  <si>
    <t>Garantizar que los archivos multimedia (imágenes, videos o documentos) se carguen de forma rápida y constante, ofreciendo una experiencia fluida al usuario.</t>
  </si>
  <si>
    <t>Escenario donde el usuario visualiza, descarga o sube imágenes, videos o documentos dentro de la aplicación. El sistema optimiza la carga de estos archivos utilizando métodos que reduzcan el tiempo de espera, evitando pausas o interrupciones durante el proceso.</t>
  </si>
  <si>
    <t>El usuario puede cargar y visualizar los archivos sin demoras notorias ni interrupciones.</t>
  </si>
  <si>
    <t>Acción del usuario para cargar, ver o subir archivos multimedia.</t>
  </si>
  <si>
    <t>El sistema optimiza el envío y la descarga de los archivos, manteniendo la fluidez en la visualización o carga sin afectar el rendimiento general de la aplicación.</t>
  </si>
  <si>
    <t>Se asegura que el 95 % de las cargas de imágenes, videos o documentos se realicen en menos de 3 segundos, garantizando estabilidad y continuidad en la experiencia del usuario.</t>
  </si>
  <si>
    <t>ESC-CAL-REN-0024</t>
  </si>
  <si>
    <t>Gestión de lentitud o fallos durante la carga de imágenes, videos o documentos</t>
  </si>
  <si>
    <t>Evitar frustración o pérdida de información cuando los archivos multimedia tardan en cargarse o no se completan correctamente.</t>
  </si>
  <si>
    <t>Escenario donde el usuario intenta cargar, ver o subir imágenes, videos o documentos, pero la conexión es lenta o se presenta un error temporal. El sistema detecta la demora o el fallo y muestra un mensaje informativo o un indicador de progreso, permitiendo reintentar la carga sin que el usuario pierda su avance.</t>
  </si>
  <si>
    <t>El usuario comprende que el proceso continúa o puede reintentarlo, sin pensar que la aplicación falló ni perder su información.</t>
  </si>
  <si>
    <t>Demora o interrupción en la carga de archivos multimedia por causas de red o disponibilidad del servidor.</t>
  </si>
  <si>
    <t>El sistema muestra un mensaje claro sobre el estado del proceso, permite reintentar la carga o reanudarla automáticamente cuando la conexión se estabiliza.</t>
  </si>
  <si>
    <t>Se asegura que, ante una demora o fallo de carga, la aplicación informe al usuario en menos de 2 segundos y recupere el proceso en un máximo de 5 segundos tras restablecer la conexión.</t>
  </si>
  <si>
    <t>ESC-CAL-REN-0027</t>
  </si>
  <si>
    <t>Adaptación a distintos niveles de rendimiento del dispositivo</t>
  </si>
  <si>
    <t>Garantizar que la aplicación funcione correctamente en dispositivos de distintas gamas, ajustando su comportamiento para mantener un rendimiento fluido y estable.</t>
  </si>
  <si>
    <t>Escenario en el que el usuario ejecuta la aplicación desde dispositivos de diferentes niveles de capacidad (gama alta, media o baja). El sistema identifica los recursos disponibles, como memoria, procesador y capacidad gráfica, y adapta automáticamente la calidad visual, los efectos o las tareas paralelas para mantener una experiencia uniforme en todos los dispositivos.</t>
  </si>
  <si>
    <t>La aplicación funciona de manera fluida y sin bloqueos en al menos el 95 % de los dispositivos compatibles.</t>
  </si>
  <si>
    <t>Uso de la aplicación en dispositivos con diferentes niveles de potencia y rendimiento.</t>
  </si>
  <si>
    <t>El sistema detecta las capacidades del dispositivo y ajusta automáticamente los parámetros de ejecución (resolución, efectos o frecuencia de actualización) para mantener la fluidez y estabilidad.</t>
  </si>
  <si>
    <t>Se asegura que la aplicación mantenga un tiempo de respuesta menor a  3 segundos en el 95 % de los dispositivos, ajustando dinámicamente su rendimiento sin generar cierres inesperados ni degradación notable de la experiencia.</t>
  </si>
  <si>
    <t>ESC-CAL-REN-0028</t>
  </si>
  <si>
    <t>Gestión ante sobrecarga en dispositivos de baja gama</t>
  </si>
  <si>
    <t>Evitar bloqueos, cierres inesperados o caídas de rendimiento cuando la aplicación se ejecuta en dispositivos con recursos limitados.</t>
  </si>
  <si>
    <t>Escenario en el que el usuario utiliza la aplicación en un dispositivo de baja gama con poca memoria o procesador limitado. El sistema detecta una sobrecarga o lentitud en el rendimiento y responde reduciendo la calidad visual, desactivando animaciones no esenciales o limitando procesos simultáneos, para evitar cierres o bloqueos.</t>
  </si>
  <si>
    <t>La aplicación continúa funcionando correctamente, aun con rendimiento reducido, sin cerrarse ni perder datos.</t>
  </si>
  <si>
    <t>Usuario final o sistema de monitoreo.</t>
  </si>
  <si>
    <t>Ejecución de la aplicación en un dispositivo con recursos insuficientes o alto consumo de memoria.</t>
  </si>
  <si>
    <t>El sistema detecta la sobrecarga de recursos y ajusta su modo de operación para mantener la estabilidad, priorizando la funcionalidad sobre los elementos gráficos o secundarios.</t>
  </si>
  <si>
    <t>Se asegura que, ante una sobrecarga, la aplicación reduzca el uso de CPU y memoria en al menos 25 %, mantenga tiempos de respuesta inferiores a 5 segundos y evite cierres inesperados en el 98 % de los casos.</t>
  </si>
  <si>
    <t>ESC-CAL-SEG-0001</t>
  </si>
  <si>
    <t>Protección de la información personal frente a accesos no autorizados</t>
  </si>
  <si>
    <t>Garantizar que la información personal de los usuarios esté protegida y solo pueda ser vista o modificada por quienes tengan permiso.</t>
  </si>
  <si>
    <t>Escenario donde un usuario accede a la aplicación e ingresa datos personales como nombre, correo o contraseña. El sistema guarda esta información de manera segura y verifica que solo el propio usuario o personal autorizado puedan consultarla o modificarla, evitando que terceros accedan sin permiso.</t>
  </si>
  <si>
    <t>La información personal se mantiene segura y solo es accesible mediante credenciales válidas.</t>
  </si>
  <si>
    <t>Intento de acceso o consulta de información personal del usuario.</t>
  </si>
  <si>
    <t>El sistema valida la identidad del usuario antes de permitir el acceso y protege los datos mediante mecanismos seguros, impidiendo accesos no autorizados.</t>
  </si>
  <si>
    <t>Se asegura que el 100 % de los accesos a información personal se realicen solo tras una verificación válida de identidad, manteniendo los datos cifrados y protegidos en todo momento.</t>
  </si>
  <si>
    <t>Autenticación JWT con JWKS validation + RBAC (RequireRole middleware). Contraseñas cifradas con bcrypt. HTTPS obligatorio. Input Sanitization 100% (string trimming). Session timeout automático (Atomic Refresh pattern).</t>
  </si>
  <si>
    <t>ESC-CAL-SEG-0002</t>
  </si>
  <si>
    <t>Gestión ante intento de acceso no autorizado a información personal</t>
  </si>
  <si>
    <t>Evitar que la información personal se vea comprometida en caso de que alguien intente acceder sin permiso.</t>
  </si>
  <si>
    <t>Escenario donde un tercero intenta ingresar a una cuenta o consultar información privada sin autorización. El sistema detecta el intento sospechoso, bloquea el acceso y alerta al usuario o al sistema de seguridad para prevenir cualquier riesgo.</t>
  </si>
  <si>
    <t>El intento de acceso no autorizado es bloqueado y la información del usuario se mantiene protegida.</t>
  </si>
  <si>
    <t>Usuario externo o intento de ingreso no permitido.</t>
  </si>
  <si>
    <t>Acceso sospechoso o intento fallido de inicio de sesión.</t>
  </si>
  <si>
    <t>El sistema bloquea la solicitud, registra el intento de acceso no autorizado y notifica al usuario o administrador, sin comprometer los datos personales.</t>
  </si>
  <si>
    <t>Se asegura que el sistema bloquee el acceso en menos de 2 segundos, registre el intento fallido en un 100 % de los casos, y notifique al usuario dentro de los 5 segundos posteriores al evento.</t>
  </si>
  <si>
    <t>Bloqueo de cuenta tras intentos fallidos. Logging de accesos sospechosos. Confirmación de acciones destructivas (Destruction Guard Dialogs). Validación de archivos subidos. Principio de mínimo privilegio en permisos.</t>
  </si>
  <si>
    <t>ESC-CAL-SEG-0003</t>
  </si>
  <si>
    <t>Acceso controlado a funciones y datos confidenciales</t>
  </si>
  <si>
    <t>Garantizar que solo las personas con los permisos adecuados puedan acceder o modificar información y funciones sensibles dentro de la aplicación.</t>
  </si>
  <si>
    <t>Escenario donde un usuario intenta acceder a una parte de la aplicación que contiene datos o funciones confidenciales, como información de otros usuarios o configuraciones del sistema. El sistema verifica los permisos del usuario antes de permitir el acceso, asegurando que solo los perfiles autorizados puedan entrar o realizar cambios.</t>
  </si>
  <si>
    <t>Solo los usuarios con permisos válidos pueden acceder a la información o funciones protegidas.</t>
  </si>
  <si>
    <t>Intento de acceder a una sección o función restringida de la aplicación.</t>
  </si>
  <si>
    <t>El sistema valida los permisos del usuario y permite el acceso únicamente si este cuenta con la autorización correspondiente. En caso contrario, muestra un mensaje de acceso restringido.</t>
  </si>
  <si>
    <t>Se asegura que el 100 % de las funciones o datos confidenciales solo puedan ser consultados o modificados por usuarios con permisos válidos, sin filtraciones ni accesos indebidos.</t>
  </si>
  <si>
    <t>ESC-CAL-SEG-0004</t>
  </si>
  <si>
    <t>Gestión ante intento de acceso sin permisos adecuados</t>
  </si>
  <si>
    <t>Evitar el uso indebido de funciones o la exposición de datos cuando un usuario intenta acceder sin autorización.</t>
  </si>
  <si>
    <t>Escenario donde un usuario sin los permisos necesarios intenta ingresar a una función o ver información confidencial. El sistema detecta que no tiene los privilegios requeridos, bloquea el acceso y muestra un mensaje informativo que explica que el contenido está restringido, sin revelar ningún dato sensible.</t>
  </si>
  <si>
    <t>El sistema bloquea correctamente los intentos no autorizados sin comprometer la información ni afectar el funcionamiento general.</t>
  </si>
  <si>
    <t>Usuario final o visitante sin permisos suficientes.</t>
  </si>
  <si>
    <t>Intento de acceder o ejecutar una función restringida.</t>
  </si>
  <si>
    <t>El sistema bloquea el acceso, registra el intento no autorizado y mantiene protegidos los datos confidenciales.</t>
  </si>
  <si>
    <t>Se asegura que el 100 % de los intentos no autorizados sean bloqueados en menos de 2 segundos, se registren en el sistema y no generen exposición de información sensible en ningún caso.</t>
  </si>
  <si>
    <t>ESC-CAL-SEG-0007</t>
  </si>
  <si>
    <t>Cierre automático de sesión por inactividad prolongada</t>
  </si>
  <si>
    <t>Garantizar la seguridad de la información del usuario cerrando la sesión de manera automática cuando no hay actividad durante un tiempo determinado.</t>
  </si>
  <si>
    <t>Escenario donde un usuario inicia sesión en la aplicación y deja de usarla por un periodo prolongado. El sistema detecta que no se ha realizado ninguna acción y, para evitar que otras personas accedan sin permiso, cierra automáticamente la sesión y redirige al usuario a la pantalla de inicio de sesión.</t>
  </si>
  <si>
    <t>La sesión se cierra de forma automática después del tiempo de inactividad definido, sin afectar la seguridad ni la experiencia del usuario.</t>
  </si>
  <si>
    <t>Periodo prolongado sin actividad en la aplicación.</t>
  </si>
  <si>
    <t>El sistema detecta la inactividad, cierra la sesión de manera automática y muestra un mensaje informativo al usuario indicando el motivo del cierre.</t>
  </si>
  <si>
    <t>Se asegura que la sesión se cierre automáticamente después de un máximo de 10 minutos sin actividad, protegiendo la información y evitando accesos no autorizados.</t>
  </si>
  <si>
    <t>ESC-CAL-SEG-0008</t>
  </si>
  <si>
    <t>Gestión del cierre automático con información sin guardar</t>
  </si>
  <si>
    <t>Evitar la pérdida de información cuando la sesión se cierra por inactividad mientras el usuario tiene datos sin guardar.</t>
  </si>
  <si>
    <t>Escenario donde el usuario está trabajando en la aplicación, pero se ausenta y deja datos o formularios incompletos. Antes de cerrar la sesión por inactividad, el sistema detecta que hay información pendiente y guarda automáticamente los datos o muestra un aviso de advertencia, evitando la pérdida del trabajo realizado.</t>
  </si>
  <si>
    <t>El usuario no pierde información al producirse el cierre automático por inactividad.</t>
  </si>
  <si>
    <t>Cierre automático de sesión con datos sin guardar.</t>
  </si>
  <si>
    <t>El sistema guarda temporalmente la información pendiente o advierte al usuario antes de cerrar la sesión, garantizando la conservación de los datos.</t>
  </si>
  <si>
    <t>Se asegura que el 100 % de los cierres automáticos con datos sin guardar activen una advertencia o guardado temporal, evitando la pérdida de información en todos los casos.</t>
  </si>
  <si>
    <t>ESC-CAL-SEG-0011</t>
  </si>
  <si>
    <t>Cambio seguro de contraseña por parte del usuario</t>
  </si>
  <si>
    <t>Permitir que los usuarios actualicen su contraseña de manera sencilla y segura, protegiendo su cuenta ante accesos no autorizados.</t>
  </si>
  <si>
    <t>Escenario donde el usuario accede a la opción de cambio de contraseña desde el perfil o configuración. El sistema solicita la contraseña actual, valida la identidad del usuario y permite ingresar una nueva contraseña que cumpla con los requisitos de seguridad establecidos.</t>
  </si>
  <si>
    <t>El usuario cambia su contraseña correctamente y esta queda almacenada de forma segura en el sistema.</t>
  </si>
  <si>
    <t>Solicitud de cambio de contraseña.</t>
  </si>
  <si>
    <t>El sistema verifica la contraseña actual, valida la nueva según las políticas de seguridad (longitud, caracteres, historial) y la actualiza en la base de datos de forma cifrada.</t>
  </si>
  <si>
    <t>Se asegura que el cambio de contraseña se realice correctamente en el 100 % de los casos y que el almacenamiento de la nueva contraseña se mantenga cifrado bajo estándares de seguridad (hash + salt).</t>
  </si>
  <si>
    <t>ESC-CAL-SEG-0012</t>
  </si>
  <si>
    <t>Gestión ante intento de cambio de contraseña no válido</t>
  </si>
  <si>
    <t>Evitar cambios de contraseña no autorizados o con datos inválidos, manteniendo la seguridad de la cuenta.</t>
  </si>
  <si>
    <t>Escenario donde el usuario intenta cambiar su contraseña, pero ingresa una contraseña actual incorrecta o una nueva que no cumple las políticas de seguridad (por ejemplo, demasiado corta o repetida). El sistema bloquea el cambio, muestra un mensaje de error y solicita la corrección.</t>
  </si>
  <si>
    <t>El sistema evita cualquier cambio no autorizado y notifica adecuadamente al usuario.</t>
  </si>
  <si>
    <t>Intento de cambio de contraseña con datos erróneos o no válidos.</t>
  </si>
  <si>
    <t>El sistema rechaza el cambio, muestra un mensaje informando la causa (contraseña incorrecta o no válida) y mantiene la contraseña anterior sin modificaciones.</t>
  </si>
  <si>
    <t>Se asegura que el sistema bloquee el 100 % de los intentos fallidos de cambio de contraseña y muestre la notificación correspondiente en menos de 2 segundos.</t>
  </si>
  <si>
    <t>ESC-CAL-SEG-0017</t>
  </si>
  <si>
    <t>Bloqueo temporal de cuenta por intentos fallidos de inicio de sesión</t>
  </si>
  <si>
    <t>Proteger las cuentas de los usuarios evitando accesos no autorizados mediante el bloqueo temporal tras varios intentos fallidos de inicio de sesión.</t>
  </si>
  <si>
    <t>Escenario: El usuario o una persona no autorizada intenta iniciar sesión varias veces con una contraseña incorrecta. El sistema detecta los intentos consecutivos fallidos y bloquea temporalmente la cuenta para evitar posibles ataques o accesos indebidos.</t>
  </si>
  <si>
    <t>La cuenta se bloquea automáticamente después de un número determinado de intentos fallidos y el usuario legítimo recibe una notificación informativa.</t>
  </si>
  <si>
    <t>Usuario final o actor no autorizado.</t>
  </si>
  <si>
    <t>Varios intentos consecutivos de ingreso con credenciales incorrectas.</t>
  </si>
  <si>
    <t>El sistema bloquea temporalmente la cuenta afectada, impidiendo nuevos intentos durante un tiempo establecido y notificando al usuario sobre la medida de seguridad aplicada.</t>
  </si>
  <si>
    <t>Se asegura que, tras tres intentos fallidos consecutivos, la cuenta quede bloqueada durante al menos 5 minutos y que el usuario sea informado inmediatamente del bloqueo mediante mensaje o correo electrónico.</t>
  </si>
  <si>
    <t>ESC-CAL-SEG-0018</t>
  </si>
  <si>
    <t>Desbloqueo de cuenta y restablecimiento del acceso seguro</t>
  </si>
  <si>
    <t>Permitir que el usuario recupere el acceso a su cuenta de forma segura después de un bloqueo temporal por intentos fallidos.</t>
  </si>
  <si>
    <t>Escenario: La cuenta del usuario ha sido bloqueada temporalmente tras superar el número máximo de intentos fallidos. El usuario espera el tiempo de bloqueo o solicita restablecer su contraseña mediante el proceso de recuperación. El sistema verifica la identidad del usuario y restablece el acceso de manera segura.</t>
  </si>
  <si>
    <t>El usuario recupera el acceso legítimamente sin comprometer la seguridad del sistema.</t>
  </si>
  <si>
    <t>Solicitud de desbloqueo de cuenta o restablecimiento de contraseña.</t>
  </si>
  <si>
    <t>El sistema verifica la identidad del usuario mediante correo o código de confirmación, restablece el acceso y registra el evento como parte del historial de seguridad.</t>
  </si>
  <si>
    <t>Se asegura que el usuario pueda recuperar su acceso en menos de 10 minutos tras la verificación de su identidad, garantizando la protección total de la cuenta.</t>
  </si>
  <si>
    <t>ESC-CAL-SEG-0021</t>
  </si>
  <si>
    <t>Confirmación antes de realizar acciones que afecten datos del usuario</t>
  </si>
  <si>
    <t>Evitar que el usuario realice cambios o eliminaciones de datos por error, solicitando su confirmación antes de ejecutar la acción.</t>
  </si>
  <si>
    <t>Escenario: El usuario intenta eliminar, modificar o enviar información sensible dentro de la aplicación. Antes de completar la acción, el sistema muestra un mensaje de confirmación solicitando que el usuario confirme su decisión. Esto garantiza que los datos solo se modifiquen con consentimiento explícito.</t>
  </si>
  <si>
    <t>Las acciones críticas solo se ejecutan cuando el usuario confirma la operación.</t>
  </si>
  <si>
    <t>Solicitud de realizar una acción que modifique, elimine o afecte datos importantes.</t>
  </si>
  <si>
    <t>El sistema muestra un mensaje de confirmación claro y espera la respuesta del usuario antes de ejecutar la acción solicitada.</t>
  </si>
  <si>
    <t>Se asegura que el 100 % de las acciones críticas requieran la confirmación del usuario antes de realizar cualquier cambio en los datos.</t>
  </si>
  <si>
    <t>ESC-CAL-SEG-0022</t>
  </si>
  <si>
    <t>Prevención de ejecución accidental de acciones críticas</t>
  </si>
  <si>
    <t>Proteger los datos del usuario cuando se detecta un intento de realizar una acción crítica sin confirmación o de manera inadvertida.</t>
  </si>
  <si>
    <t>Escenario: El usuario hace clic accidentalmente en una acción que podría afectar información importante (por ejemplo, eliminar un archivo). El sistema detecta que no se ha dado confirmación explícita y bloquea temporalmente la acción, mostrando un aviso sobre los posibles riesgos y solicitando confirmación.</t>
  </si>
  <si>
    <t>No se realizan cambios en los datos sin el consentimiento explícito del usuario.</t>
  </si>
  <si>
    <t>Intento de ejecutar una acción crítica sin confirmación previa.</t>
  </si>
  <si>
    <t>El sistema bloquea la ejecución hasta que el usuario confirme la acción y muestra un mensaje que detalla las consecuencias de la operación.</t>
  </si>
  <si>
    <t>Se asegura que ninguna acción crítica se ejecute sin confirmación y que el usuario reciba la alerta en menos de 2 segundos, evitando la pérdida de información o cambios no deseados.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</si>
</sst>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1"/>
      <color theme="1"/>
      <name val="Calibri"/>
      <scheme val="minor"/>
    </font>
    <font>
      <sz val="11"/>
      <color theme="1"/>
      <name val="Calibri"/>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1"/>
      <name val="Calibri Light"/>
      <family val="2"/>
      <scheme val="major"/>
    </font>
    <font>
      <b/>
      <sz val="11"/>
      <color theme="1"/>
      <name val="Calibri Light"/>
      <family val="2"/>
      <scheme val="major"/>
    </font>
    <font>
      <b/>
      <sz val="11"/>
      <color rgb="FF000000"/>
      <name val="Calibri Light"/>
      <family val="2"/>
      <scheme val="major"/>
    </font>
    <font>
      <sz val="11"/>
      <color theme="1"/>
      <name val="Calibri Light"/>
      <scheme val="major"/>
    </font>
    <font>
      <sz val="11"/>
      <color rgb="FF000000"/>
      <name val="Calibri"/>
      <scheme val="minor"/>
    </font>
    <font>
      <b/>
      <sz val="11"/>
      <color theme="1"/>
      <name val="Calibri"/>
      <scheme val="minor"/>
    </font>
    <font>
      <u/>
      <sz val="11"/>
      <color theme="10"/>
      <name val="Calibri"/>
      <scheme val="minor"/>
    </font>
    <font>
      <u val="double"/>
      <sz val="11"/>
      <color theme="1"/>
      <name val="Calibri Light"/>
      <family val="2"/>
      <scheme val="major"/>
    </font>
    <font>
      <sz val="11"/>
      <color theme="1"/>
      <name val="Calibri Light"/>
    </font>
  </fonts>
  <fills count="8">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7" tint="0.59999389629810485"/>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indexed="64"/>
      </right>
      <top/>
      <bottom style="thin">
        <color indexed="64"/>
      </bottom>
      <diagonal/>
    </border>
    <border>
      <left/>
      <right style="thin">
        <color rgb="FF000000"/>
      </right>
      <top style="thin">
        <color rgb="FF000000"/>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bottom style="thin">
        <color indexed="64"/>
      </bottom>
      <diagonal/>
    </border>
    <border>
      <left/>
      <right/>
      <top style="thin">
        <color rgb="FF000000"/>
      </top>
      <bottom style="thin">
        <color rgb="FF000000"/>
      </bottom>
      <diagonal/>
    </border>
    <border>
      <left/>
      <right/>
      <top style="medium">
        <color indexed="64"/>
      </top>
      <bottom style="medium">
        <color indexed="64"/>
      </bottom>
      <diagonal/>
    </border>
    <border>
      <left/>
      <right style="thin">
        <color rgb="FF000000"/>
      </right>
      <top style="medium">
        <color indexed="64"/>
      </top>
      <bottom style="medium">
        <color indexed="64"/>
      </bottom>
      <diagonal/>
    </border>
    <border>
      <left/>
      <right style="thin">
        <color rgb="FF000000"/>
      </right>
      <top style="thin">
        <color indexed="64"/>
      </top>
      <bottom style="thin">
        <color indexed="64"/>
      </bottom>
      <diagonal/>
    </border>
    <border>
      <left/>
      <right style="thin">
        <color rgb="FF000000"/>
      </right>
      <top style="medium">
        <color indexed="64"/>
      </top>
      <bottom style="thin">
        <color indexed="64"/>
      </bottom>
      <diagonal/>
    </border>
    <border>
      <left/>
      <right style="thin">
        <color rgb="FF000000"/>
      </right>
      <top style="thin">
        <color indexed="64"/>
      </top>
      <bottom/>
      <diagonal/>
    </border>
    <border>
      <left/>
      <right/>
      <top style="thin">
        <color rgb="FF000000"/>
      </top>
      <bottom/>
      <diagonal/>
    </border>
    <border>
      <left/>
      <right/>
      <top style="thin">
        <color indexed="64"/>
      </top>
      <bottom/>
      <diagonal/>
    </border>
    <border>
      <left/>
      <right/>
      <top/>
      <bottom style="thin">
        <color indexed="64"/>
      </bottom>
      <diagonal/>
    </border>
    <border>
      <left style="thin">
        <color rgb="FF000000"/>
      </left>
      <right style="thin">
        <color rgb="FF000000"/>
      </right>
      <top/>
      <bottom/>
      <diagonal/>
    </border>
    <border>
      <left style="medium">
        <color indexed="64"/>
      </left>
      <right style="thin">
        <color rgb="FF000000"/>
      </right>
      <top style="thin">
        <color indexed="64"/>
      </top>
      <bottom style="thin">
        <color indexed="64"/>
      </bottom>
      <diagonal/>
    </border>
    <border>
      <left style="medium">
        <color indexed="64"/>
      </left>
      <right style="thin">
        <color rgb="FF000000"/>
      </right>
      <top style="medium">
        <color indexed="64"/>
      </top>
      <bottom style="thin">
        <color indexed="64"/>
      </bottom>
      <diagonal/>
    </border>
    <border>
      <left style="medium">
        <color indexed="64"/>
      </left>
      <right style="thin">
        <color rgb="FF000000"/>
      </right>
      <top style="thin">
        <color indexed="64"/>
      </top>
      <bottom/>
      <diagonal/>
    </border>
    <border>
      <left style="medium">
        <color indexed="64"/>
      </left>
      <right style="thin">
        <color rgb="FF000000"/>
      </right>
      <top style="medium">
        <color indexed="64"/>
      </top>
      <bottom style="medium">
        <color indexed="64"/>
      </bottom>
      <diagonal/>
    </border>
  </borders>
  <cellStyleXfs count="4">
    <xf numFmtId="0" fontId="0" fillId="0" borderId="0"/>
    <xf numFmtId="9" fontId="3" fillId="0" borderId="0"/>
    <xf numFmtId="0" fontId="5" fillId="0" borderId="0"/>
    <xf numFmtId="0" fontId="5" fillId="0" borderId="0"/>
  </cellStyleXfs>
  <cellXfs count="134">
    <xf numFmtId="0" fontId="0" fillId="0" borderId="0" xfId="0"/>
    <xf numFmtId="9" fontId="0" fillId="0" borderId="0" xfId="1" applyFont="1"/>
    <xf numFmtId="0" fontId="0" fillId="0" borderId="0" xfId="0" applyAlignment="1">
      <alignment wrapText="1"/>
    </xf>
    <xf numFmtId="0" fontId="0" fillId="4" borderId="1" xfId="0" applyFill="1" applyBorder="1"/>
    <xf numFmtId="0" fontId="0" fillId="4" borderId="1" xfId="0" applyFill="1" applyBorder="1" applyAlignment="1">
      <alignment horizontal="center"/>
    </xf>
    <xf numFmtId="0" fontId="0" fillId="0" borderId="0" xfId="0" applyAlignment="1">
      <alignment horizontal="center"/>
    </xf>
    <xf numFmtId="0" fontId="6" fillId="0" borderId="1" xfId="0" applyFont="1" applyBorder="1" applyAlignment="1">
      <alignment wrapText="1"/>
    </xf>
    <xf numFmtId="0" fontId="6" fillId="0" borderId="1" xfId="0" applyFont="1" applyBorder="1" applyAlignment="1">
      <alignment horizont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9" fontId="4" fillId="0" borderId="1" xfId="1"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6" fillId="0" borderId="9" xfId="0" applyFont="1" applyBorder="1" applyAlignment="1">
      <alignment horizontal="left" wrapText="1"/>
    </xf>
    <xf numFmtId="0" fontId="5" fillId="0" borderId="9" xfId="2" applyBorder="1"/>
    <xf numFmtId="0" fontId="6" fillId="0" borderId="9" xfId="0" applyFont="1" applyBorder="1" applyAlignment="1">
      <alignment horizontal="center"/>
    </xf>
    <xf numFmtId="0" fontId="0" fillId="0" borderId="1" xfId="0" applyBorder="1" applyAlignment="1">
      <alignment horizontal="center"/>
    </xf>
    <xf numFmtId="0" fontId="0" fillId="0" borderId="1" xfId="0" applyBorder="1"/>
    <xf numFmtId="0" fontId="0" fillId="0" borderId="9" xfId="0" applyBorder="1" applyAlignment="1">
      <alignment horizontal="center" vertical="center"/>
    </xf>
    <xf numFmtId="0" fontId="0" fillId="0" borderId="6" xfId="0" applyBorder="1" applyAlignment="1">
      <alignment horizontal="center"/>
    </xf>
    <xf numFmtId="0" fontId="0" fillId="0" borderId="13" xfId="0" applyBorder="1" applyAlignment="1">
      <alignment horizontal="center" vertical="center"/>
    </xf>
    <xf numFmtId="10" fontId="0" fillId="0" borderId="4" xfId="1" applyNumberFormat="1" applyFont="1" applyBorder="1" applyAlignment="1">
      <alignment horizontal="center"/>
    </xf>
    <xf numFmtId="0" fontId="0" fillId="4" borderId="12" xfId="0" applyFill="1" applyBorder="1" applyAlignment="1">
      <alignment horizontal="center"/>
    </xf>
    <xf numFmtId="0" fontId="0" fillId="0" borderId="15" xfId="0" applyBorder="1" applyAlignment="1">
      <alignment horizontal="center" vertical="center"/>
    </xf>
    <xf numFmtId="0" fontId="0" fillId="4" borderId="9" xfId="0" applyFill="1" applyBorder="1"/>
    <xf numFmtId="0" fontId="0" fillId="4" borderId="10" xfId="0" applyFill="1" applyBorder="1"/>
    <xf numFmtId="0" fontId="0" fillId="0" borderId="17" xfId="0" applyBorder="1" applyAlignment="1">
      <alignment horizontal="center" vertical="center"/>
    </xf>
    <xf numFmtId="10" fontId="0" fillId="0" borderId="4" xfId="0" applyNumberFormat="1" applyBorder="1" applyAlignment="1">
      <alignment horizontal="center"/>
    </xf>
    <xf numFmtId="0" fontId="6" fillId="0" borderId="9" xfId="0" applyFont="1" applyBorder="1" applyAlignment="1">
      <alignment wrapText="1"/>
    </xf>
    <xf numFmtId="0" fontId="0" fillId="0" borderId="9" xfId="0" applyBorder="1" applyAlignment="1">
      <alignment horizontal="center"/>
    </xf>
    <xf numFmtId="0" fontId="0" fillId="0" borderId="15" xfId="0" applyBorder="1" applyAlignment="1">
      <alignment horizontal="center"/>
    </xf>
    <xf numFmtId="0" fontId="6" fillId="0" borderId="15" xfId="0" applyFont="1" applyBorder="1" applyAlignment="1">
      <alignment horizontal="center"/>
    </xf>
    <xf numFmtId="0" fontId="6" fillId="0" borderId="6" xfId="0" applyFont="1" applyBorder="1" applyAlignment="1">
      <alignment horizontal="center"/>
    </xf>
    <xf numFmtId="0" fontId="6" fillId="0" borderId="10" xfId="0" applyFont="1" applyBorder="1" applyAlignment="1">
      <alignment horizontal="center"/>
    </xf>
    <xf numFmtId="0" fontId="9" fillId="0" borderId="9" xfId="0" applyFont="1" applyBorder="1" applyAlignment="1">
      <alignment wrapText="1"/>
    </xf>
    <xf numFmtId="0" fontId="0" fillId="0" borderId="0" xfId="0" applyAlignment="1">
      <alignment horizontal="center" vertical="center" wrapText="1"/>
    </xf>
    <xf numFmtId="0" fontId="5" fillId="0" borderId="6" xfId="3" applyBorder="1"/>
    <xf numFmtId="0" fontId="5" fillId="0" borderId="9" xfId="3" applyBorder="1"/>
    <xf numFmtId="0" fontId="5" fillId="0" borderId="5" xfId="3" applyBorder="1"/>
    <xf numFmtId="0" fontId="6" fillId="0" borderId="12" xfId="0" applyFont="1" applyBorder="1" applyAlignment="1">
      <alignment wrapText="1"/>
    </xf>
    <xf numFmtId="0" fontId="9" fillId="0" borderId="12" xfId="0" applyFont="1" applyBorder="1" applyAlignment="1">
      <alignment wrapText="1"/>
    </xf>
    <xf numFmtId="0" fontId="5" fillId="0" borderId="1" xfId="3" applyBorder="1"/>
    <xf numFmtId="0" fontId="12" fillId="0" borderId="0" xfId="3" applyFont="1"/>
    <xf numFmtId="0" fontId="2" fillId="0" borderId="0" xfId="0" applyFont="1"/>
    <xf numFmtId="0" fontId="12" fillId="0" borderId="0" xfId="2" applyFont="1"/>
    <xf numFmtId="0" fontId="11" fillId="2" borderId="9" xfId="0" applyFont="1" applyFill="1" applyBorder="1" applyAlignment="1">
      <alignment horizontal="center" vertical="center"/>
    </xf>
    <xf numFmtId="0" fontId="11" fillId="2" borderId="9" xfId="0" applyFont="1" applyFill="1" applyBorder="1" applyAlignment="1">
      <alignment horizontal="center" vertical="center" wrapText="1"/>
    </xf>
    <xf numFmtId="0" fontId="11" fillId="2" borderId="22" xfId="0" applyFont="1" applyFill="1" applyBorder="1" applyAlignment="1">
      <alignment horizontal="center" vertical="center"/>
    </xf>
    <xf numFmtId="0" fontId="11" fillId="2" borderId="22" xfId="0" applyFont="1" applyFill="1" applyBorder="1" applyAlignment="1">
      <alignment horizontal="center" vertical="center" wrapText="1"/>
    </xf>
    <xf numFmtId="0" fontId="11" fillId="2" borderId="3" xfId="0" applyFont="1" applyFill="1" applyBorder="1" applyAlignment="1">
      <alignment horizontal="center" vertical="center"/>
    </xf>
    <xf numFmtId="0" fontId="0" fillId="5" borderId="12" xfId="0" applyFill="1" applyBorder="1" applyAlignment="1">
      <alignment horizontal="center"/>
    </xf>
    <xf numFmtId="0" fontId="4" fillId="5" borderId="10" xfId="0" applyFont="1" applyFill="1" applyBorder="1" applyAlignment="1">
      <alignment horizontal="center" vertical="center"/>
    </xf>
    <xf numFmtId="0" fontId="0" fillId="6" borderId="16" xfId="0" applyFill="1" applyBorder="1" applyAlignment="1">
      <alignment horizontal="center"/>
    </xf>
    <xf numFmtId="0" fontId="0" fillId="6" borderId="11" xfId="0" applyFill="1" applyBorder="1" applyAlignment="1">
      <alignment horizontal="center"/>
    </xf>
    <xf numFmtId="0" fontId="7" fillId="5" borderId="19" xfId="0" applyFont="1" applyFill="1" applyBorder="1"/>
    <xf numFmtId="0" fontId="7" fillId="5" borderId="0" xfId="0" applyFont="1" applyFill="1"/>
    <xf numFmtId="0" fontId="7" fillId="5" borderId="10" xfId="0" applyFont="1" applyFill="1" applyBorder="1"/>
    <xf numFmtId="0" fontId="4" fillId="5" borderId="1" xfId="0" applyFont="1" applyFill="1" applyBorder="1" applyAlignment="1">
      <alignment horizontal="center"/>
    </xf>
    <xf numFmtId="0" fontId="4" fillId="5" borderId="10" xfId="0" applyFont="1" applyFill="1" applyBorder="1" applyAlignment="1">
      <alignment horizontal="center"/>
    </xf>
    <xf numFmtId="0" fontId="8" fillId="5" borderId="10" xfId="0" applyFont="1" applyFill="1" applyBorder="1"/>
    <xf numFmtId="0" fontId="7" fillId="5" borderId="10" xfId="0" applyFont="1" applyFill="1" applyBorder="1" applyAlignment="1">
      <alignment wrapText="1"/>
    </xf>
    <xf numFmtId="0" fontId="7" fillId="5" borderId="1" xfId="0" applyFont="1" applyFill="1" applyBorder="1"/>
    <xf numFmtId="0" fontId="4" fillId="5" borderId="18" xfId="0" applyFont="1" applyFill="1" applyBorder="1" applyAlignment="1">
      <alignment horizontal="center"/>
    </xf>
    <xf numFmtId="0" fontId="5" fillId="0" borderId="23" xfId="3" applyBorder="1"/>
    <xf numFmtId="0" fontId="5" fillId="0" borderId="31" xfId="3" applyBorder="1"/>
    <xf numFmtId="0" fontId="4" fillId="5" borderId="17" xfId="0" applyFont="1" applyFill="1" applyBorder="1" applyAlignment="1">
      <alignment horizontal="center"/>
    </xf>
    <xf numFmtId="0" fontId="4" fillId="5" borderId="13" xfId="0" applyFont="1" applyFill="1" applyBorder="1" applyAlignment="1">
      <alignment horizontal="center"/>
    </xf>
    <xf numFmtId="0" fontId="6" fillId="7" borderId="9" xfId="0" applyFont="1" applyFill="1" applyBorder="1" applyAlignment="1">
      <alignment horizontal="center"/>
    </xf>
    <xf numFmtId="0" fontId="6" fillId="7" borderId="11" xfId="0" applyFont="1" applyFill="1" applyBorder="1" applyAlignment="1">
      <alignment horizontal="center"/>
    </xf>
    <xf numFmtId="0" fontId="6" fillId="0" borderId="13" xfId="0" applyFont="1" applyBorder="1" applyAlignment="1">
      <alignment horizontal="center"/>
    </xf>
    <xf numFmtId="0" fontId="0" fillId="0" borderId="9" xfId="0" applyBorder="1" applyAlignment="1">
      <alignment horizontal="center" wrapText="1"/>
    </xf>
    <xf numFmtId="0" fontId="6" fillId="7" borderId="14" xfId="0" applyFont="1" applyFill="1" applyBorder="1" applyAlignment="1">
      <alignment horizontal="center"/>
    </xf>
    <xf numFmtId="0" fontId="13" fillId="0" borderId="9" xfId="0" applyFont="1" applyBorder="1" applyAlignment="1">
      <alignment horizontal="center"/>
    </xf>
    <xf numFmtId="0" fontId="0" fillId="0" borderId="13" xfId="0" applyBorder="1" applyAlignment="1">
      <alignment horizontal="center"/>
    </xf>
    <xf numFmtId="0" fontId="6" fillId="0" borderId="10" xfId="0" applyFont="1" applyBorder="1" applyAlignment="1">
      <alignment wrapText="1"/>
    </xf>
    <xf numFmtId="0" fontId="5" fillId="0" borderId="10" xfId="3" applyBorder="1"/>
    <xf numFmtId="0" fontId="6" fillId="0" borderId="8" xfId="0" applyFont="1" applyBorder="1" applyAlignment="1">
      <alignment wrapText="1"/>
    </xf>
    <xf numFmtId="0" fontId="6" fillId="4" borderId="9" xfId="0" applyFont="1" applyFill="1" applyBorder="1" applyAlignment="1">
      <alignment wrapText="1"/>
    </xf>
    <xf numFmtId="0" fontId="14" fillId="0" borderId="9" xfId="0" applyFont="1" applyBorder="1" applyAlignment="1">
      <alignment wrapText="1"/>
    </xf>
    <xf numFmtId="0" fontId="0" fillId="7" borderId="14" xfId="0" applyFill="1" applyBorder="1" applyAlignment="1">
      <alignment horizontal="center"/>
    </xf>
    <xf numFmtId="0" fontId="0" fillId="7" borderId="16" xfId="0" applyFill="1" applyBorder="1" applyAlignment="1">
      <alignment horizontal="center"/>
    </xf>
    <xf numFmtId="0" fontId="0" fillId="0" borderId="0" xfId="0" applyAlignment="1">
      <alignment horizontal="center" wrapText="1"/>
    </xf>
    <xf numFmtId="0" fontId="10" fillId="3" borderId="0" xfId="0" applyFont="1" applyFill="1" applyAlignment="1">
      <alignment horizontal="center" vertical="center" wrapText="1"/>
    </xf>
    <xf numFmtId="0" fontId="0" fillId="0" borderId="9" xfId="0" applyBorder="1" applyAlignment="1">
      <alignment horizontal="center" vertical="center" wrapText="1"/>
    </xf>
    <xf numFmtId="0" fontId="0" fillId="0" borderId="0" xfId="0" applyAlignment="1">
      <alignment horizontal="center" vertical="center" wrapText="1"/>
    </xf>
    <xf numFmtId="0" fontId="11" fillId="3" borderId="20" xfId="0" applyFont="1" applyFill="1" applyBorder="1" applyAlignment="1">
      <alignment horizontal="left" vertical="center"/>
    </xf>
    <xf numFmtId="0" fontId="11" fillId="2" borderId="2" xfId="0" applyFont="1" applyFill="1" applyBorder="1" applyAlignment="1">
      <alignment horizontal="center" vertical="center"/>
    </xf>
    <xf numFmtId="0" fontId="11" fillId="3" borderId="2" xfId="0" applyFont="1" applyFill="1" applyBorder="1" applyAlignment="1">
      <alignment horizontal="left" vertical="center"/>
    </xf>
    <xf numFmtId="0" fontId="11" fillId="2" borderId="1" xfId="0" applyFont="1" applyFill="1" applyBorder="1" applyAlignment="1">
      <alignment horizontal="center" vertical="center"/>
    </xf>
    <xf numFmtId="0" fontId="11" fillId="2" borderId="11" xfId="0" applyFont="1" applyFill="1" applyBorder="1" applyAlignment="1">
      <alignment horizontal="center" vertical="center"/>
    </xf>
    <xf numFmtId="0" fontId="11" fillId="3" borderId="35" xfId="0" applyFont="1" applyFill="1" applyBorder="1" applyAlignment="1">
      <alignment horizontal="left" vertical="center"/>
    </xf>
    <xf numFmtId="0" fontId="11" fillId="2" borderId="9" xfId="0" applyFont="1" applyFill="1" applyBorder="1" applyAlignment="1">
      <alignment horizontal="center" vertical="center"/>
    </xf>
    <xf numFmtId="0" fontId="11" fillId="3" borderId="9" xfId="0" applyFont="1" applyFill="1" applyBorder="1" applyAlignment="1">
      <alignment horizontal="left" vertical="center"/>
    </xf>
    <xf numFmtId="0" fontId="11" fillId="3" borderId="33" xfId="0" applyFont="1" applyFill="1" applyBorder="1" applyAlignment="1">
      <alignment horizontal="left" vertical="center"/>
    </xf>
    <xf numFmtId="0" fontId="11" fillId="3" borderId="36" xfId="0" applyFont="1" applyFill="1" applyBorder="1" applyAlignment="1">
      <alignment horizontal="left" vertical="center"/>
    </xf>
    <xf numFmtId="0" fontId="11" fillId="3" borderId="34" xfId="0" applyFont="1" applyFill="1" applyBorder="1" applyAlignment="1">
      <alignment horizontal="left" vertical="center"/>
    </xf>
    <xf numFmtId="0" fontId="11" fillId="2" borderId="11" xfId="0" applyFont="1" applyFill="1" applyBorder="1" applyAlignment="1">
      <alignment horizontal="center" vertical="center" wrapText="1"/>
    </xf>
    <xf numFmtId="0" fontId="11" fillId="3" borderId="2" xfId="0" applyFont="1" applyFill="1" applyBorder="1" applyAlignment="1">
      <alignment horizontal="left" vertical="center" wrapText="1"/>
    </xf>
    <xf numFmtId="0" fontId="11" fillId="3" borderId="20" xfId="0" applyFont="1" applyFill="1" applyBorder="1" applyAlignment="1">
      <alignment horizontal="left" vertical="center" wrapText="1"/>
    </xf>
    <xf numFmtId="0" fontId="11"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0" fillId="0" borderId="32" xfId="0" applyBorder="1" applyAlignment="1"/>
    <xf numFmtId="0" fontId="0" fillId="0" borderId="14" xfId="0" applyBorder="1" applyAlignment="1"/>
    <xf numFmtId="0" fontId="0" fillId="0" borderId="0" xfId="0" applyAlignment="1"/>
    <xf numFmtId="0" fontId="1" fillId="0" borderId="9" xfId="0" applyFont="1" applyBorder="1" applyAlignment="1">
      <alignment horizontal="center"/>
    </xf>
    <xf numFmtId="0" fontId="1" fillId="0" borderId="0" xfId="0" applyFont="1"/>
    <xf numFmtId="0" fontId="0" fillId="0" borderId="21" xfId="0" applyBorder="1" applyAlignment="1"/>
    <xf numFmtId="0" fontId="1" fillId="3" borderId="9" xfId="0" applyFont="1" applyFill="1" applyBorder="1" applyAlignment="1">
      <alignment vertical="center"/>
    </xf>
    <xf numFmtId="0" fontId="0" fillId="0" borderId="23" xfId="0" applyBorder="1" applyAlignment="1"/>
    <xf numFmtId="0" fontId="0" fillId="0" borderId="15" xfId="0" applyBorder="1" applyAlignment="1"/>
    <xf numFmtId="0" fontId="0" fillId="0" borderId="5" xfId="0" applyBorder="1" applyAlignment="1"/>
    <xf numFmtId="0" fontId="0" fillId="0" borderId="6" xfId="0" applyBorder="1" applyAlignment="1"/>
    <xf numFmtId="0" fontId="1" fillId="3" borderId="9" xfId="0" applyFont="1" applyFill="1" applyBorder="1" applyAlignment="1">
      <alignment vertical="center" wrapText="1"/>
    </xf>
    <xf numFmtId="0" fontId="0" fillId="0" borderId="16" xfId="0" applyBorder="1" applyAlignment="1"/>
    <xf numFmtId="0" fontId="1" fillId="2" borderId="2"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wrapText="1"/>
    </xf>
    <xf numFmtId="0" fontId="1" fillId="3" borderId="13" xfId="0" applyFont="1" applyFill="1" applyBorder="1" applyAlignment="1">
      <alignment vertical="center"/>
    </xf>
    <xf numFmtId="0" fontId="0" fillId="0" borderId="29" xfId="0" applyBorder="1" applyAlignment="1"/>
    <xf numFmtId="0" fontId="0" fillId="0" borderId="17" xfId="0" applyBorder="1" applyAlignment="1"/>
    <xf numFmtId="0" fontId="1" fillId="0" borderId="0" xfId="0" applyFont="1" applyAlignment="1"/>
    <xf numFmtId="0" fontId="0" fillId="0" borderId="24" xfId="0" applyBorder="1" applyAlignment="1"/>
    <xf numFmtId="0" fontId="0" fillId="0" borderId="25" xfId="0" applyBorder="1" applyAlignment="1"/>
    <xf numFmtId="0" fontId="0" fillId="0" borderId="27" xfId="0" applyBorder="1" applyAlignment="1"/>
    <xf numFmtId="0" fontId="0" fillId="0" borderId="26" xfId="0" applyBorder="1" applyAlignment="1"/>
    <xf numFmtId="0" fontId="0" fillId="0" borderId="30" xfId="0" applyBorder="1" applyAlignment="1"/>
    <xf numFmtId="0" fontId="0" fillId="0" borderId="28" xfId="0" applyBorder="1" applyAlignment="1"/>
    <xf numFmtId="0" fontId="1" fillId="3" borderId="13" xfId="0" applyFont="1" applyFill="1" applyBorder="1" applyAlignment="1">
      <alignment vertical="center" wrapText="1"/>
    </xf>
    <xf numFmtId="0" fontId="1" fillId="2" borderId="9" xfId="0" applyFont="1" applyFill="1" applyBorder="1" applyAlignment="1">
      <alignment horizontal="center" vertical="center" wrapText="1"/>
    </xf>
    <xf numFmtId="0" fontId="1" fillId="2" borderId="9" xfId="0" applyFont="1" applyFill="1" applyBorder="1" applyAlignment="1">
      <alignment horizontal="center" vertical="center"/>
    </xf>
    <xf numFmtId="0" fontId="1" fillId="2" borderId="3" xfId="0" applyFont="1" applyFill="1" applyBorder="1" applyAlignment="1">
      <alignment horizontal="center" vertical="center" wrapText="1"/>
    </xf>
    <xf numFmtId="0" fontId="1" fillId="2" borderId="1" xfId="0" applyFont="1" applyFill="1" applyBorder="1" applyAlignment="1">
      <alignment horizontal="left" vertical="center" wrapText="1"/>
    </xf>
  </cellXfs>
  <cellStyles count="4">
    <cellStyle name="Hipervínculo" xfId="2" builtinId="8"/>
    <cellStyle name="Hyperlink" xfId="3" xr:uid="{00000000-0005-0000-0000-000003000000}"/>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s-CO"/>
              <a:t>Mapa </a:t>
            </a:r>
            <a:r>
              <a:rPr lang="es-CO" baseline="0"/>
              <a:t>de Empatía</a:t>
            </a:r>
            <a:endParaRPr lang="es-CO"/>
          </a:p>
        </c:rich>
      </c:tx>
      <c:overlay val="0"/>
      <c:spPr>
        <a:noFill/>
        <a:ln>
          <a:noFill/>
          <a:prstDash val="solid"/>
        </a:ln>
      </c:spPr>
    </c:title>
    <c:autoTitleDeleted val="0"/>
    <c:plotArea>
      <c:layout/>
      <c:radarChart>
        <c:radarStyle val="marker"/>
        <c:varyColors val="0"/>
        <c:ser>
          <c:idx val="0"/>
          <c:order val="0"/>
          <c:tx>
            <c:strRef>
              <c:f>'Mapa empatía'!$B$1</c:f>
              <c:strCache>
                <c:ptCount val="1"/>
                <c:pt idx="0">
                  <c:v> Administrador</c:v>
                </c:pt>
              </c:strCache>
            </c:strRef>
          </c:tx>
          <c:spPr>
            <a:ln w="28575" cap="rnd">
              <a:solidFill>
                <a:schemeClr val="accent1"/>
              </a:solidFill>
              <a:prstDash val="solid"/>
              <a:round/>
            </a:ln>
          </c:spPr>
          <c:marker>
            <c:symbol val="circle"/>
            <c:size val="5"/>
            <c:spPr>
              <a:solidFill>
                <a:schemeClr val="accent1"/>
              </a:solidFill>
              <a:ln w="9525">
                <a:solidFill>
                  <a:schemeClr val="accent1"/>
                </a:solidFill>
                <a:prstDash val="solid"/>
              </a:ln>
            </c:spPr>
          </c:marker>
          <c:cat>
            <c:strRef>
              <c:f>'Mapa empatía'!$A$2:$A$16</c:f>
              <c:strCache>
                <c:ptCount val="15"/>
                <c:pt idx="0">
                  <c:v>Disponibilidad</c:v>
                </c:pt>
                <c:pt idx="1">
                  <c:v>Confiabilidad</c:v>
                </c:pt>
                <c:pt idx="2">
                  <c:v>Seguridad</c:v>
                </c:pt>
                <c:pt idx="3">
                  <c:v>Rendimiento</c:v>
                </c:pt>
                <c:pt idx="4">
                  <c:v>Experiencia de usuario</c:v>
                </c:pt>
                <c:pt idx="5">
                  <c:v>Accesibilidad</c:v>
                </c:pt>
                <c:pt idx="6">
                  <c:v>Capacidad de ser administrado</c:v>
                </c:pt>
                <c:pt idx="7">
                  <c:v>Conformidad</c:v>
                </c:pt>
                <c:pt idx="8">
                  <c:v>Capacidad para ser probado</c:v>
                </c:pt>
                <c:pt idx="9">
                  <c:v>Mantenibilidad</c:v>
                </c:pt>
                <c:pt idx="10">
                  <c:v>Interoperabilidad</c:v>
                </c:pt>
                <c:pt idx="11">
                  <c:v>Escalabilidad</c:v>
                </c:pt>
                <c:pt idx="12">
                  <c:v>Capacidad para ser soportado</c:v>
                </c:pt>
                <c:pt idx="13">
                  <c:v>Flexibilidad</c:v>
                </c:pt>
                <c:pt idx="14">
                  <c:v>Internacionalización</c:v>
                </c:pt>
              </c:strCache>
            </c:strRef>
          </c:cat>
          <c:val>
            <c:numRef>
              <c:f>'Mapa empatía'!$B$2:$B$16</c:f>
              <c:numCache>
                <c:formatCode>General</c:formatCode>
                <c:ptCount val="15"/>
                <c:pt idx="0">
                  <c:v>9</c:v>
                </c:pt>
                <c:pt idx="1">
                  <c:v>7</c:v>
                </c:pt>
                <c:pt idx="2">
                  <c:v>11</c:v>
                </c:pt>
                <c:pt idx="3">
                  <c:v>12</c:v>
                </c:pt>
                <c:pt idx="4">
                  <c:v>2</c:v>
                </c:pt>
                <c:pt idx="5">
                  <c:v>3</c:v>
                </c:pt>
                <c:pt idx="6">
                  <c:v>15</c:v>
                </c:pt>
                <c:pt idx="7">
                  <c:v>5</c:v>
                </c:pt>
                <c:pt idx="8">
                  <c:v>14</c:v>
                </c:pt>
                <c:pt idx="9">
                  <c:v>6</c:v>
                </c:pt>
                <c:pt idx="10">
                  <c:v>8</c:v>
                </c:pt>
                <c:pt idx="11">
                  <c:v>4</c:v>
                </c:pt>
                <c:pt idx="12">
                  <c:v>13</c:v>
                </c:pt>
                <c:pt idx="13">
                  <c:v>10</c:v>
                </c:pt>
                <c:pt idx="14">
                  <c:v>1</c:v>
                </c:pt>
              </c:numCache>
            </c:numRef>
          </c:val>
          <c:extLst>
            <c:ext xmlns:c16="http://schemas.microsoft.com/office/drawing/2014/chart" uri="{C3380CC4-5D6E-409C-BE32-E72D297353CC}">
              <c16:uniqueId val="{00000000-B64B-4321-B889-DC8D2A0EB360}"/>
            </c:ext>
          </c:extLst>
        </c:ser>
        <c:ser>
          <c:idx val="1"/>
          <c:order val="1"/>
          <c:tx>
            <c:strRef>
              <c:f>'Mapa empatía'!$D$1</c:f>
              <c:strCache>
                <c:ptCount val="1"/>
                <c:pt idx="0">
                  <c:v>Usuario</c:v>
                </c:pt>
              </c:strCache>
            </c:strRef>
          </c:tx>
          <c:spPr>
            <a:ln w="28575" cap="rnd">
              <a:solidFill>
                <a:schemeClr val="accent2"/>
              </a:solidFill>
              <a:prstDash val="solid"/>
              <a:round/>
            </a:ln>
          </c:spPr>
          <c:marker>
            <c:symbol val="circle"/>
            <c:size val="5"/>
            <c:spPr>
              <a:solidFill>
                <a:schemeClr val="accent2"/>
              </a:solidFill>
              <a:ln w="9525">
                <a:solidFill>
                  <a:schemeClr val="accent2"/>
                </a:solidFill>
                <a:prstDash val="solid"/>
              </a:ln>
            </c:spPr>
          </c:marker>
          <c:cat>
            <c:strRef>
              <c:f>'Mapa empatía'!$A$2:$A$16</c:f>
              <c:strCache>
                <c:ptCount val="15"/>
                <c:pt idx="0">
                  <c:v>Disponibilidad</c:v>
                </c:pt>
                <c:pt idx="1">
                  <c:v>Confiabilidad</c:v>
                </c:pt>
                <c:pt idx="2">
                  <c:v>Seguridad</c:v>
                </c:pt>
                <c:pt idx="3">
                  <c:v>Rendimiento</c:v>
                </c:pt>
                <c:pt idx="4">
                  <c:v>Experiencia de usuario</c:v>
                </c:pt>
                <c:pt idx="5">
                  <c:v>Accesibilidad</c:v>
                </c:pt>
                <c:pt idx="6">
                  <c:v>Capacidad de ser administrado</c:v>
                </c:pt>
                <c:pt idx="7">
                  <c:v>Conformidad</c:v>
                </c:pt>
                <c:pt idx="8">
                  <c:v>Capacidad para ser probado</c:v>
                </c:pt>
                <c:pt idx="9">
                  <c:v>Mantenibilidad</c:v>
                </c:pt>
                <c:pt idx="10">
                  <c:v>Interoperabilidad</c:v>
                </c:pt>
                <c:pt idx="11">
                  <c:v>Escalabilidad</c:v>
                </c:pt>
                <c:pt idx="12">
                  <c:v>Capacidad para ser soportado</c:v>
                </c:pt>
                <c:pt idx="13">
                  <c:v>Flexibilidad</c:v>
                </c:pt>
                <c:pt idx="14">
                  <c:v>Internacionalización</c:v>
                </c:pt>
              </c:strCache>
            </c:strRef>
          </c:cat>
          <c:val>
            <c:numRef>
              <c:f>'Mapa empatía'!$D$2:$D$16</c:f>
              <c:numCache>
                <c:formatCode>General</c:formatCode>
                <c:ptCount val="15"/>
                <c:pt idx="0">
                  <c:v>14</c:v>
                </c:pt>
                <c:pt idx="1">
                  <c:v>15</c:v>
                </c:pt>
                <c:pt idx="2">
                  <c:v>11</c:v>
                </c:pt>
                <c:pt idx="3">
                  <c:v>10</c:v>
                </c:pt>
                <c:pt idx="4">
                  <c:v>13</c:v>
                </c:pt>
                <c:pt idx="5">
                  <c:v>12</c:v>
                </c:pt>
                <c:pt idx="6">
                  <c:v>5</c:v>
                </c:pt>
                <c:pt idx="7">
                  <c:v>9</c:v>
                </c:pt>
                <c:pt idx="8">
                  <c:v>4</c:v>
                </c:pt>
                <c:pt idx="9">
                  <c:v>7</c:v>
                </c:pt>
                <c:pt idx="10">
                  <c:v>6</c:v>
                </c:pt>
                <c:pt idx="11">
                  <c:v>8</c:v>
                </c:pt>
                <c:pt idx="12">
                  <c:v>3</c:v>
                </c:pt>
                <c:pt idx="13">
                  <c:v>2</c:v>
                </c:pt>
                <c:pt idx="14">
                  <c:v>1</c:v>
                </c:pt>
              </c:numCache>
            </c:numRef>
          </c:val>
          <c:extLst>
            <c:ext xmlns:c16="http://schemas.microsoft.com/office/drawing/2014/chart" uri="{C3380CC4-5D6E-409C-BE32-E72D297353CC}">
              <c16:uniqueId val="{00000001-B64B-4321-B889-DC8D2A0EB360}"/>
            </c:ext>
          </c:extLst>
        </c:ser>
        <c:dLbls>
          <c:showLegendKey val="0"/>
          <c:showVal val="0"/>
          <c:showCatName val="0"/>
          <c:showSerName val="0"/>
          <c:showPercent val="0"/>
          <c:showBubbleSize val="0"/>
        </c:dLbls>
        <c:axId val="203474048"/>
        <c:axId val="203475968"/>
      </c:radarChart>
      <c:catAx>
        <c:axId val="20347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203475968"/>
        <c:crosses val="autoZero"/>
        <c:auto val="1"/>
        <c:lblAlgn val="ctr"/>
        <c:lblOffset val="100"/>
        <c:noMultiLvlLbl val="0"/>
      </c:catAx>
      <c:valAx>
        <c:axId val="203475968"/>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203474048"/>
        <c:crosses val="autoZero"/>
        <c:crossBetween val="between"/>
      </c:valAx>
    </c:plotArea>
    <c:legend>
      <c:legendPos val="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23</xdr:row>
      <xdr:rowOff>79061</xdr:rowOff>
    </xdr:from>
    <xdr:to>
      <xdr:col>7</xdr:col>
      <xdr:colOff>447539</xdr:colOff>
      <xdr:row>48</xdr:row>
      <xdr:rowOff>14683</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7"/>
  <sheetViews>
    <sheetView tabSelected="1" topLeftCell="A12" zoomScaleNormal="100" workbookViewId="0">
      <selection activeCell="N17" sqref="N17"/>
    </sheetView>
  </sheetViews>
  <sheetFormatPr defaultColWidth="11.42578125" defaultRowHeight="15"/>
  <cols>
    <col min="1" max="1" width="30" bestFit="1" customWidth="1"/>
    <col min="2" max="2" width="18.42578125" customWidth="1"/>
    <col min="3" max="3" width="27.85546875" customWidth="1"/>
    <col min="4" max="4" width="19.42578125" customWidth="1"/>
    <col min="5" max="5" width="14.7109375" customWidth="1"/>
    <col min="6" max="6" width="11.42578125" style="1" customWidth="1"/>
    <col min="7" max="7" width="20.42578125" customWidth="1"/>
    <col min="8" max="8" width="14.140625" customWidth="1"/>
    <col min="9" max="10" width="18.42578125" customWidth="1"/>
    <col min="11" max="11" width="15.85546875" customWidth="1"/>
  </cols>
  <sheetData>
    <row r="1" spans="1:16" ht="15.95" customHeight="1">
      <c r="A1" s="8" t="s">
        <v>0</v>
      </c>
      <c r="B1" s="9" t="s">
        <v>1</v>
      </c>
      <c r="C1" s="9" t="s">
        <v>2</v>
      </c>
      <c r="D1" s="8" t="s">
        <v>3</v>
      </c>
      <c r="E1" s="8" t="s">
        <v>4</v>
      </c>
      <c r="F1" s="10" t="s">
        <v>5</v>
      </c>
      <c r="G1" s="11" t="s">
        <v>6</v>
      </c>
      <c r="H1" s="12" t="s">
        <v>7</v>
      </c>
      <c r="I1" s="51" t="s">
        <v>8</v>
      </c>
      <c r="J1" s="51" t="s">
        <v>9</v>
      </c>
      <c r="K1" s="51" t="s">
        <v>10</v>
      </c>
    </row>
    <row r="2" spans="1:16" ht="15" customHeight="1">
      <c r="A2" s="17" t="s">
        <v>11</v>
      </c>
      <c r="B2" s="16">
        <v>9</v>
      </c>
      <c r="C2" s="16">
        <v>14</v>
      </c>
      <c r="D2" s="16">
        <v>14</v>
      </c>
      <c r="E2" s="16">
        <f>B2+C2+D2</f>
        <v>37</v>
      </c>
      <c r="F2" s="21">
        <f>E2/$E$17</f>
        <v>0.10277777777777777</v>
      </c>
      <c r="G2" s="50">
        <f>COUNTA(Disponibilidad!A2:A3)</f>
        <v>1</v>
      </c>
      <c r="H2" s="83">
        <f>G17/2+1</f>
        <v>19</v>
      </c>
      <c r="I2" s="23">
        <f>SUM(Disponibilidad!C2:C3)</f>
        <v>2</v>
      </c>
      <c r="J2" s="23">
        <f>SUM(Disponibilidad!D2:D3)</f>
        <v>2</v>
      </c>
      <c r="K2" s="18">
        <f>SUM(Disponibilidad!E2:E3)</f>
        <v>2</v>
      </c>
    </row>
    <row r="3" spans="1:16" ht="15" customHeight="1">
      <c r="A3" s="17" t="s">
        <v>12</v>
      </c>
      <c r="B3" s="16">
        <v>7</v>
      </c>
      <c r="C3" s="16">
        <v>15</v>
      </c>
      <c r="D3" s="16">
        <v>15</v>
      </c>
      <c r="E3" s="16">
        <f>B3+C3+D3</f>
        <v>37</v>
      </c>
      <c r="F3" s="21">
        <f>E3/$E$17</f>
        <v>0.10277777777777777</v>
      </c>
      <c r="G3" s="50">
        <f>COUNTA(Confiabilidad!A2:A6)</f>
        <v>4</v>
      </c>
      <c r="H3" s="101"/>
      <c r="I3" s="23">
        <f>SUM(Confiabilidad!C2:C6)</f>
        <v>4</v>
      </c>
      <c r="J3" s="23">
        <f>SUM(Confiabilidad!D2:D6)</f>
        <v>4</v>
      </c>
      <c r="K3" s="18">
        <f>SUM(Confiabilidad!E2:E6)</f>
        <v>4</v>
      </c>
    </row>
    <row r="4" spans="1:16" ht="15" customHeight="1">
      <c r="A4" s="17" t="s">
        <v>13</v>
      </c>
      <c r="B4" s="16">
        <v>11</v>
      </c>
      <c r="C4" s="16">
        <v>11</v>
      </c>
      <c r="D4" s="16">
        <v>11</v>
      </c>
      <c r="E4" s="16">
        <f>B4+C4+D4</f>
        <v>33</v>
      </c>
      <c r="F4" s="21">
        <f>E4/$E$17</f>
        <v>9.166666666666666E-2</v>
      </c>
      <c r="G4" s="50">
        <f>COUNTA(Seguridad!A2:A8)</f>
        <v>6</v>
      </c>
      <c r="H4" s="101"/>
      <c r="I4" s="23">
        <f>SUM(Seguridad!C2:C8)</f>
        <v>8</v>
      </c>
      <c r="J4" s="23">
        <f>SUM(Seguridad!D2:D8)</f>
        <v>12</v>
      </c>
      <c r="K4" s="18">
        <f>SUM(Seguridad!E2:E8)</f>
        <v>12</v>
      </c>
    </row>
    <row r="5" spans="1:16" ht="15" customHeight="1">
      <c r="A5" s="17" t="s">
        <v>14</v>
      </c>
      <c r="B5" s="16">
        <v>12</v>
      </c>
      <c r="C5" s="16">
        <v>10</v>
      </c>
      <c r="D5" s="16">
        <v>10</v>
      </c>
      <c r="E5" s="16">
        <f>B5+C5+D5</f>
        <v>32</v>
      </c>
      <c r="F5" s="21">
        <f>E5/$E$17</f>
        <v>8.8888888888888892E-2</v>
      </c>
      <c r="G5" s="50">
        <f>COUNTA(Rendimiento!A2:A12)</f>
        <v>10</v>
      </c>
      <c r="H5" s="101"/>
      <c r="I5" s="26">
        <f>SUM(Rendimiento!C2:C12)</f>
        <v>14</v>
      </c>
      <c r="J5" s="26">
        <f>SUM(Rendimiento!D2:D12)</f>
        <v>8</v>
      </c>
      <c r="K5" s="20">
        <f>SUM(Rendimiento!E2:E12)</f>
        <v>8</v>
      </c>
      <c r="M5" s="82" t="s">
        <v>15</v>
      </c>
      <c r="N5" s="82"/>
      <c r="O5" s="82"/>
      <c r="P5" s="82"/>
    </row>
    <row r="6" spans="1:16" ht="15" customHeight="1">
      <c r="A6" t="s">
        <v>16</v>
      </c>
      <c r="B6" s="16">
        <v>2</v>
      </c>
      <c r="C6" s="16">
        <v>13</v>
      </c>
      <c r="D6" s="16">
        <v>13</v>
      </c>
      <c r="E6" s="16">
        <f>B6+C6+D6</f>
        <v>28</v>
      </c>
      <c r="F6" s="21">
        <f>E6/$E$17</f>
        <v>7.7777777777777779E-2</v>
      </c>
      <c r="G6" s="50">
        <f>COUNTA('Experiencia de usuario'!A2:A12)</f>
        <v>10</v>
      </c>
      <c r="H6" s="101"/>
      <c r="I6" s="18">
        <f>SUM('Experiencia de usuario'!C2:C12)</f>
        <v>2</v>
      </c>
      <c r="J6" s="18">
        <f>SUM('Experiencia de usuario'!D2:D12)</f>
        <v>20</v>
      </c>
      <c r="K6" s="18">
        <f>SUM('Experiencia de usuario'!E2:E12)</f>
        <v>20</v>
      </c>
      <c r="L6" s="5"/>
      <c r="M6" s="82"/>
      <c r="N6" s="82"/>
      <c r="O6" s="82"/>
      <c r="P6" s="82"/>
    </row>
    <row r="7" spans="1:16" ht="15" customHeight="1">
      <c r="A7" s="17" t="s">
        <v>17</v>
      </c>
      <c r="B7" s="16">
        <v>3</v>
      </c>
      <c r="C7" s="16">
        <v>12</v>
      </c>
      <c r="D7" s="16">
        <v>12</v>
      </c>
      <c r="E7" s="16">
        <f>B7+C7+D7</f>
        <v>27</v>
      </c>
      <c r="F7" s="21">
        <f>E7/$E$17</f>
        <v>7.4999999999999997E-2</v>
      </c>
      <c r="G7" s="50">
        <f>COUNTA(Accesibilidad!A2:A5)</f>
        <v>3</v>
      </c>
      <c r="H7" s="101"/>
      <c r="I7" s="18">
        <f>SUM(Accesibilidad!C2:C5)</f>
        <v>0</v>
      </c>
      <c r="J7" s="18">
        <f>SUM(Accesibilidad!D2:D5)</f>
        <v>6</v>
      </c>
      <c r="K7" s="18">
        <f>SUM(Accesibilidad!E2:E5)</f>
        <v>6</v>
      </c>
      <c r="M7" s="82"/>
      <c r="N7" s="82"/>
      <c r="O7" s="82"/>
      <c r="P7" s="82"/>
    </row>
    <row r="8" spans="1:16" ht="15" customHeight="1">
      <c r="A8" s="3" t="s">
        <v>18</v>
      </c>
      <c r="B8" s="4">
        <v>15</v>
      </c>
      <c r="C8" s="4">
        <v>5</v>
      </c>
      <c r="D8" s="4">
        <v>5</v>
      </c>
      <c r="E8" s="16">
        <f>B8+C8+D8</f>
        <v>25</v>
      </c>
      <c r="F8" s="21">
        <f>E8/$E$17</f>
        <v>6.9444444444444448E-2</v>
      </c>
      <c r="G8" s="50">
        <v>0</v>
      </c>
      <c r="H8" s="101"/>
      <c r="I8" s="18">
        <v>0</v>
      </c>
      <c r="J8" s="18">
        <v>0</v>
      </c>
      <c r="K8" s="18">
        <v>0</v>
      </c>
      <c r="M8" s="82"/>
      <c r="N8" s="82"/>
      <c r="O8" s="82"/>
      <c r="P8" s="82"/>
    </row>
    <row r="9" spans="1:16" ht="15" customHeight="1">
      <c r="A9" s="3" t="s">
        <v>19</v>
      </c>
      <c r="B9" s="4">
        <v>5</v>
      </c>
      <c r="C9" s="4">
        <v>9</v>
      </c>
      <c r="D9" s="4">
        <v>9</v>
      </c>
      <c r="E9" s="16">
        <f>B9+C9+D9</f>
        <v>23</v>
      </c>
      <c r="F9" s="21">
        <f>E9/$E$17</f>
        <v>6.3888888888888884E-2</v>
      </c>
      <c r="G9" s="50">
        <f>COUNTA(Conformidad!A2:A4)</f>
        <v>2</v>
      </c>
      <c r="H9" s="101"/>
      <c r="I9" s="18">
        <f>SUM(Conformidad!C2:C4)</f>
        <v>4</v>
      </c>
      <c r="J9" s="18">
        <f>SUM(Conformidad!D2:D4)</f>
        <v>0</v>
      </c>
      <c r="K9" s="18">
        <f>SUM(Conformidad!E2:E4)</f>
        <v>2</v>
      </c>
    </row>
    <row r="10" spans="1:16" ht="15" customHeight="1">
      <c r="A10" s="3" t="s">
        <v>20</v>
      </c>
      <c r="B10" s="4">
        <v>14</v>
      </c>
      <c r="C10" s="4">
        <v>4</v>
      </c>
      <c r="D10" s="4">
        <v>4</v>
      </c>
      <c r="E10" s="16">
        <f>B10+C10+D10</f>
        <v>22</v>
      </c>
      <c r="F10" s="21">
        <f>E10/$E$17</f>
        <v>6.1111111111111109E-2</v>
      </c>
      <c r="G10" s="50">
        <v>0</v>
      </c>
      <c r="H10" s="101"/>
      <c r="I10" s="18">
        <v>0</v>
      </c>
      <c r="J10" s="18">
        <v>0</v>
      </c>
      <c r="K10" s="18">
        <v>0</v>
      </c>
    </row>
    <row r="11" spans="1:16" ht="15" customHeight="1">
      <c r="A11" s="3" t="s">
        <v>21</v>
      </c>
      <c r="B11" s="4">
        <v>6</v>
      </c>
      <c r="C11" s="4">
        <v>7</v>
      </c>
      <c r="D11" s="4">
        <v>7</v>
      </c>
      <c r="E11" s="16">
        <f>B11+C11+D11</f>
        <v>20</v>
      </c>
      <c r="F11" s="21">
        <f>E11/$E$17</f>
        <v>5.5555555555555552E-2</v>
      </c>
      <c r="G11" s="50">
        <v>0</v>
      </c>
      <c r="H11" s="101"/>
      <c r="I11" s="18">
        <v>0</v>
      </c>
      <c r="J11" s="18">
        <v>0</v>
      </c>
      <c r="K11" s="18">
        <v>0</v>
      </c>
    </row>
    <row r="12" spans="1:16" ht="15" customHeight="1">
      <c r="A12" s="3" t="s">
        <v>22</v>
      </c>
      <c r="B12" s="4">
        <v>8</v>
      </c>
      <c r="C12" s="4">
        <v>6</v>
      </c>
      <c r="D12" s="4">
        <v>6</v>
      </c>
      <c r="E12" s="16">
        <f>B12+C12+D12</f>
        <v>20</v>
      </c>
      <c r="F12" s="21">
        <f>E12/$E$17</f>
        <v>5.5555555555555552E-2</v>
      </c>
      <c r="G12" s="50">
        <v>0</v>
      </c>
      <c r="H12" s="101"/>
      <c r="I12" s="18">
        <v>0</v>
      </c>
      <c r="J12" s="18">
        <v>0</v>
      </c>
      <c r="K12" s="18">
        <v>0</v>
      </c>
    </row>
    <row r="13" spans="1:16" ht="15" customHeight="1">
      <c r="A13" s="3" t="s">
        <v>23</v>
      </c>
      <c r="B13" s="4">
        <v>4</v>
      </c>
      <c r="C13" s="4">
        <v>8</v>
      </c>
      <c r="D13" s="4">
        <v>8</v>
      </c>
      <c r="E13" s="16">
        <f>B13+C13+D13</f>
        <v>20</v>
      </c>
      <c r="F13" s="21">
        <f>E13/$E$17</f>
        <v>5.5555555555555552E-2</v>
      </c>
      <c r="G13" s="50">
        <v>0</v>
      </c>
      <c r="H13" s="101"/>
      <c r="I13" s="18">
        <v>0</v>
      </c>
      <c r="J13" s="18">
        <v>0</v>
      </c>
      <c r="K13" s="18">
        <v>0</v>
      </c>
    </row>
    <row r="14" spans="1:16" ht="15" customHeight="1">
      <c r="A14" s="3" t="s">
        <v>24</v>
      </c>
      <c r="B14" s="4">
        <v>13</v>
      </c>
      <c r="C14" s="4">
        <v>3</v>
      </c>
      <c r="D14" s="4">
        <v>3</v>
      </c>
      <c r="E14" s="16">
        <f>B14+C14+D14</f>
        <v>19</v>
      </c>
      <c r="F14" s="21">
        <f>E14/$E$17</f>
        <v>5.2777777777777778E-2</v>
      </c>
      <c r="G14" s="50">
        <v>0</v>
      </c>
      <c r="H14" s="101"/>
      <c r="I14" s="18">
        <v>0</v>
      </c>
      <c r="J14" s="18">
        <v>0</v>
      </c>
      <c r="K14" s="18">
        <v>0</v>
      </c>
      <c r="L14" s="5"/>
      <c r="M14" s="5"/>
    </row>
    <row r="15" spans="1:16" ht="15" customHeight="1">
      <c r="A15" s="3" t="s">
        <v>25</v>
      </c>
      <c r="B15" s="4">
        <v>10</v>
      </c>
      <c r="C15" s="4">
        <v>2</v>
      </c>
      <c r="D15" s="4">
        <v>2</v>
      </c>
      <c r="E15" s="16">
        <f>B15+C15+D15</f>
        <v>14</v>
      </c>
      <c r="F15" s="21">
        <f>E15/$E$17</f>
        <v>3.888888888888889E-2</v>
      </c>
      <c r="G15" s="50">
        <v>0</v>
      </c>
      <c r="H15" s="101"/>
      <c r="I15" s="18">
        <v>0</v>
      </c>
      <c r="J15" s="18">
        <v>0</v>
      </c>
      <c r="K15" s="18">
        <v>0</v>
      </c>
    </row>
    <row r="16" spans="1:16">
      <c r="A16" s="25" t="s">
        <v>26</v>
      </c>
      <c r="B16" s="4">
        <v>1</v>
      </c>
      <c r="C16" s="4">
        <v>1</v>
      </c>
      <c r="D16" s="4">
        <v>1</v>
      </c>
      <c r="E16" s="16">
        <f>B16+C16+D16</f>
        <v>3</v>
      </c>
      <c r="F16" s="21">
        <f>E16/$E$17</f>
        <v>8.3333333333333332E-3</v>
      </c>
      <c r="G16" s="50">
        <v>0</v>
      </c>
      <c r="H16" s="101"/>
      <c r="I16" s="18">
        <v>0</v>
      </c>
      <c r="J16" s="18">
        <v>0</v>
      </c>
      <c r="K16" s="18">
        <v>0</v>
      </c>
    </row>
    <row r="17" spans="1:11" ht="15" customHeight="1">
      <c r="A17" s="24" t="s">
        <v>4</v>
      </c>
      <c r="B17" s="19">
        <f>SUM(B2:B16)</f>
        <v>120</v>
      </c>
      <c r="C17" s="19">
        <f>SUM(C2:C16)</f>
        <v>120</v>
      </c>
      <c r="D17" s="16">
        <f>SUM(D2:D16)</f>
        <v>120</v>
      </c>
      <c r="E17" s="16">
        <f>SUM(E2:E16)</f>
        <v>360</v>
      </c>
      <c r="F17" s="27">
        <f>SUM(F2:F16)</f>
        <v>1</v>
      </c>
      <c r="G17" s="22">
        <f>SUM(G2:G16)</f>
        <v>36</v>
      </c>
      <c r="H17" s="102"/>
      <c r="I17" s="52">
        <f>SUM(I2:I16)</f>
        <v>34</v>
      </c>
      <c r="J17" s="52">
        <f>SUM(J2:J16)</f>
        <v>52</v>
      </c>
      <c r="K17" s="53">
        <f>SUM(K2:K16)</f>
        <v>54</v>
      </c>
    </row>
  </sheetData>
  <autoFilter ref="A1:F16" xr:uid="{00000000-0009-0000-0000-000000000000}">
    <sortState xmlns:xlrd2="http://schemas.microsoft.com/office/spreadsheetml/2017/richdata2" ref="A2:F17">
      <sortCondition descending="1" ref="E1:E16"/>
    </sortState>
  </autoFilter>
  <mergeCells count="2">
    <mergeCell ref="M5:P8"/>
    <mergeCell ref="H2:H17"/>
  </mergeCells>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0">
    <tabColor theme="9" tint="0.59999389629810485"/>
  </sheetPr>
  <dimension ref="A1:F6"/>
  <sheetViews>
    <sheetView workbookViewId="0">
      <selection activeCell="B2" sqref="B2"/>
    </sheetView>
  </sheetViews>
  <sheetFormatPr defaultColWidth="11.42578125" defaultRowHeight="15" customHeight="1"/>
  <cols>
    <col min="1" max="1" width="74.42578125" customWidth="1"/>
    <col min="2" max="2" width="12.140625" customWidth="1"/>
    <col min="3" max="3" width="15.140625" customWidth="1"/>
    <col min="4" max="4" width="18.85546875" customWidth="1"/>
  </cols>
  <sheetData>
    <row r="1" spans="1:6">
      <c r="A1" s="54" t="s">
        <v>27</v>
      </c>
      <c r="B1" s="55"/>
      <c r="C1" s="65" t="s">
        <v>8</v>
      </c>
      <c r="D1" s="66" t="s">
        <v>9</v>
      </c>
      <c r="E1" s="66" t="s">
        <v>3</v>
      </c>
      <c r="F1" s="66" t="s">
        <v>28</v>
      </c>
    </row>
    <row r="2" spans="1:6" ht="32.1" customHeight="1">
      <c r="A2" s="28" t="s">
        <v>29</v>
      </c>
      <c r="B2" s="63" t="s">
        <v>30</v>
      </c>
      <c r="C2" s="15">
        <v>0</v>
      </c>
      <c r="D2" s="15">
        <v>1</v>
      </c>
      <c r="E2" s="15">
        <v>1</v>
      </c>
      <c r="F2" s="29">
        <f>SUM(C2:E2)</f>
        <v>2</v>
      </c>
    </row>
    <row r="3" spans="1:6" ht="32.1" customHeight="1">
      <c r="A3" s="28" t="s">
        <v>31</v>
      </c>
      <c r="B3" s="64" t="s">
        <v>30</v>
      </c>
      <c r="C3" s="73">
        <v>0</v>
      </c>
      <c r="D3" s="69">
        <v>1</v>
      </c>
      <c r="E3" s="69">
        <v>1</v>
      </c>
      <c r="F3" s="29">
        <f>SUM(C3:E3)</f>
        <v>2</v>
      </c>
    </row>
    <row r="4" spans="1:6" ht="45.75" customHeight="1">
      <c r="A4" s="28" t="s">
        <v>32</v>
      </c>
      <c r="B4" s="64" t="s">
        <v>30</v>
      </c>
      <c r="C4" s="29">
        <v>0</v>
      </c>
      <c r="D4" s="29">
        <v>1</v>
      </c>
      <c r="E4" s="29">
        <v>1</v>
      </c>
      <c r="F4" s="29">
        <f>SUM(C4:E4)</f>
        <v>2</v>
      </c>
    </row>
    <row r="5" spans="1:6" ht="37.5" customHeight="1">
      <c r="A5" s="2"/>
      <c r="C5" s="71">
        <f>SUM(C2:C4)</f>
        <v>0</v>
      </c>
      <c r="D5" s="71">
        <f>SUM(D2:D4)</f>
        <v>3</v>
      </c>
      <c r="E5" s="71">
        <f>SUM(E2:E4)</f>
        <v>3</v>
      </c>
      <c r="F5" s="71">
        <f>SUM(F2:F4)</f>
        <v>6</v>
      </c>
    </row>
    <row r="6" spans="1:6" ht="29.25" customHeight="1"/>
  </sheetData>
  <hyperlinks>
    <hyperlink ref="B2" location="'ESC-CAL-ACCESIBILIDAD'!D5" display="Escenarios" xr:uid="{00000000-0004-0000-0100-000000000000}"/>
    <hyperlink ref="B3" location="'ESC-CAL-ACCESIBILIDAD'!D27" display="Escenarios" xr:uid="{00000000-0004-0000-0100-000001000000}"/>
    <hyperlink ref="B4" location="'ESC-CAL-ACCESIBILIDAD'!D49" display="Escenarios" xr:uid="{00000000-0004-0000-0100-00000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8">
    <tabColor theme="9" tint="0.59999389629810485"/>
  </sheetPr>
  <dimension ref="A1:J15"/>
  <sheetViews>
    <sheetView workbookViewId="0">
      <selection activeCell="F9" sqref="F9"/>
    </sheetView>
  </sheetViews>
  <sheetFormatPr defaultColWidth="11.42578125" defaultRowHeight="15" customHeight="1"/>
  <cols>
    <col min="1" max="1" width="79" customWidth="1"/>
    <col min="2" max="2" width="14" customWidth="1"/>
    <col min="3" max="3" width="16.42578125" customWidth="1"/>
    <col min="4" max="4" width="20.28515625" customWidth="1"/>
    <col min="5" max="5" width="23.28515625" customWidth="1"/>
  </cols>
  <sheetData>
    <row r="1" spans="1:10">
      <c r="A1" s="56" t="s">
        <v>27</v>
      </c>
      <c r="B1" s="57" t="s">
        <v>30</v>
      </c>
      <c r="C1" s="57" t="s">
        <v>8</v>
      </c>
      <c r="D1" s="57" t="s">
        <v>9</v>
      </c>
      <c r="E1" s="57" t="s">
        <v>3</v>
      </c>
      <c r="F1" s="57" t="s">
        <v>33</v>
      </c>
    </row>
    <row r="2" spans="1:10" ht="32.1" customHeight="1">
      <c r="A2" s="28" t="s">
        <v>34</v>
      </c>
      <c r="B2" s="36" t="s">
        <v>30</v>
      </c>
      <c r="C2" s="7">
        <v>0</v>
      </c>
      <c r="D2" s="7">
        <v>1</v>
      </c>
      <c r="E2" s="7">
        <v>1</v>
      </c>
      <c r="F2" s="7">
        <f>SUM(C2:E2)</f>
        <v>2</v>
      </c>
    </row>
    <row r="3" spans="1:10" ht="59.25" customHeight="1">
      <c r="A3" s="28" t="s">
        <v>35</v>
      </c>
      <c r="B3" s="36" t="s">
        <v>30</v>
      </c>
      <c r="C3" s="7">
        <v>0</v>
      </c>
      <c r="D3" s="7">
        <v>0</v>
      </c>
      <c r="E3" s="7">
        <v>0</v>
      </c>
      <c r="F3" s="7">
        <f>SUM(C3:E3)</f>
        <v>0</v>
      </c>
    </row>
    <row r="4" spans="1:10" ht="40.5" customHeight="1">
      <c r="A4" s="34" t="s">
        <v>36</v>
      </c>
      <c r="B4" s="38" t="s">
        <v>30</v>
      </c>
      <c r="C4" s="29">
        <v>1</v>
      </c>
      <c r="D4" s="29">
        <v>1</v>
      </c>
      <c r="E4" s="29">
        <v>1</v>
      </c>
      <c r="F4" s="32">
        <f>SUM(C4:E4)</f>
        <v>3</v>
      </c>
    </row>
    <row r="5" spans="1:10" ht="32.1" customHeight="1">
      <c r="A5" s="34" t="s">
        <v>37</v>
      </c>
      <c r="B5" s="38" t="s">
        <v>30</v>
      </c>
      <c r="C5" s="29">
        <v>1</v>
      </c>
      <c r="D5" s="29">
        <v>0</v>
      </c>
      <c r="E5" s="29">
        <v>0</v>
      </c>
      <c r="F5" s="32">
        <f>SUM(C5:E5)</f>
        <v>1</v>
      </c>
      <c r="H5" s="81" t="s">
        <v>38</v>
      </c>
    </row>
    <row r="6" spans="1:10" ht="48.75" customHeight="1">
      <c r="C6" s="68">
        <f>SUM(C2:C5)</f>
        <v>2</v>
      </c>
      <c r="D6" s="68">
        <f>SUM(D2:D5)</f>
        <v>2</v>
      </c>
      <c r="E6" s="68">
        <f>SUM(E2:E5)</f>
        <v>2</v>
      </c>
      <c r="F6" s="68">
        <f>SUM(F2:F5)</f>
        <v>6</v>
      </c>
    </row>
    <row r="7" spans="1:10" ht="32.1" customHeight="1"/>
    <row r="8" spans="1:10" ht="32.1" customHeight="1">
      <c r="H8" s="103"/>
      <c r="I8" s="103"/>
      <c r="J8" s="103"/>
    </row>
    <row r="9" spans="1:10" ht="15" customHeight="1">
      <c r="H9" s="103"/>
      <c r="I9" s="103"/>
      <c r="J9" s="103"/>
    </row>
    <row r="10" spans="1:10" ht="15" customHeight="1">
      <c r="H10" s="103"/>
      <c r="I10" s="103"/>
      <c r="J10" s="103"/>
    </row>
    <row r="11" spans="1:10" ht="15" customHeight="1">
      <c r="H11" s="103"/>
      <c r="I11" s="103"/>
      <c r="J11" s="103"/>
    </row>
    <row r="12" spans="1:10" ht="15" customHeight="1">
      <c r="H12" s="103"/>
      <c r="I12" s="103"/>
      <c r="J12" s="103"/>
    </row>
    <row r="13" spans="1:10" ht="15" customHeight="1">
      <c r="H13" s="103"/>
      <c r="I13" s="103"/>
      <c r="J13" s="103"/>
    </row>
    <row r="14" spans="1:10" ht="15" customHeight="1">
      <c r="H14" s="103"/>
      <c r="I14" s="103"/>
      <c r="J14" s="103"/>
    </row>
    <row r="15" spans="1:10" ht="15" customHeight="1">
      <c r="H15" s="103"/>
      <c r="I15" s="103"/>
      <c r="J15" s="103"/>
    </row>
  </sheetData>
  <mergeCells count="1">
    <mergeCell ref="H8:J15"/>
  </mergeCells>
  <hyperlinks>
    <hyperlink ref="B2" location="'ESC-CAL-CONFIABILIDAD'!D5" display="Escenarios" xr:uid="{00000000-0004-0000-0200-000000000000}"/>
    <hyperlink ref="B3" location="'ESC-CAL-CONFIABILIDAD'!D27" display="Escenarios" xr:uid="{00000000-0004-0000-0200-000001000000}"/>
    <hyperlink ref="B4" location="'ESC-CAL-CONFIABILIDAD'!D49" display="Escenarios" xr:uid="{00000000-0004-0000-0200-000002000000}"/>
    <hyperlink ref="B5" location="'ESC-CAL-CONFIABILIDAD'!D71" display="Escenarios" xr:uid="{00000000-0004-0000-0200-000003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9">
    <tabColor theme="9" tint="0.59999389629810485"/>
  </sheetPr>
  <dimension ref="A1:I12"/>
  <sheetViews>
    <sheetView workbookViewId="0">
      <selection activeCell="B9" activeCellId="1" sqref="B1 B9"/>
    </sheetView>
  </sheetViews>
  <sheetFormatPr defaultColWidth="11.42578125" defaultRowHeight="15" customHeight="1"/>
  <cols>
    <col min="1" max="1" width="69.42578125" customWidth="1"/>
    <col min="3" max="4" width="19" customWidth="1"/>
    <col min="5" max="5" width="9.85546875" customWidth="1"/>
    <col min="6" max="6" width="13.7109375" customWidth="1"/>
  </cols>
  <sheetData>
    <row r="1" spans="1:9">
      <c r="A1" s="59" t="s">
        <v>27</v>
      </c>
      <c r="B1" s="58" t="s">
        <v>39</v>
      </c>
      <c r="C1" s="58" t="s">
        <v>8</v>
      </c>
      <c r="D1" s="58" t="s">
        <v>9</v>
      </c>
      <c r="E1" s="58" t="s">
        <v>10</v>
      </c>
      <c r="F1" s="58" t="s">
        <v>33</v>
      </c>
    </row>
    <row r="2" spans="1:9" ht="32.1" customHeight="1">
      <c r="A2" s="28" t="s">
        <v>40</v>
      </c>
      <c r="B2" s="37" t="s">
        <v>30</v>
      </c>
      <c r="C2" s="15">
        <v>1</v>
      </c>
      <c r="D2" s="72">
        <v>0</v>
      </c>
      <c r="E2" s="15">
        <v>1</v>
      </c>
      <c r="F2" s="15">
        <f>SUM(C2:E2)</f>
        <v>2</v>
      </c>
    </row>
    <row r="3" spans="1:9" ht="48" customHeight="1">
      <c r="A3" s="34" t="s">
        <v>41</v>
      </c>
      <c r="B3" s="37" t="s">
        <v>30</v>
      </c>
      <c r="C3" s="70">
        <v>1</v>
      </c>
      <c r="D3" s="70">
        <v>0</v>
      </c>
      <c r="E3" s="70">
        <v>0</v>
      </c>
      <c r="F3" s="15">
        <f>SUM(C3:E3)</f>
        <v>1</v>
      </c>
    </row>
    <row r="4" spans="1:9" ht="32.1" customHeight="1">
      <c r="A4" s="2"/>
      <c r="C4" s="68">
        <f>SUM(C2:C3)</f>
        <v>2</v>
      </c>
      <c r="D4" s="68">
        <f>SUM(D2:D3)</f>
        <v>0</v>
      </c>
      <c r="E4" s="68">
        <f>SUM(E2:E3)</f>
        <v>1</v>
      </c>
      <c r="F4" s="68">
        <f>SUM(F2:F3)</f>
        <v>3</v>
      </c>
    </row>
    <row r="5" spans="1:9" ht="32.1" customHeight="1"/>
    <row r="6" spans="1:9" ht="48" customHeight="1"/>
    <row r="7" spans="1:9" ht="32.1" customHeight="1">
      <c r="G7" s="103"/>
      <c r="H7" s="103"/>
      <c r="I7" s="103"/>
    </row>
    <row r="8" spans="1:9" ht="32.1" customHeight="1">
      <c r="G8" s="103"/>
      <c r="H8" s="103"/>
      <c r="I8" s="103"/>
    </row>
    <row r="9" spans="1:9" ht="32.1" customHeight="1">
      <c r="G9" s="103"/>
      <c r="H9" s="103"/>
      <c r="I9" s="103"/>
    </row>
    <row r="10" spans="1:9" ht="15" customHeight="1">
      <c r="G10" s="103"/>
      <c r="H10" s="103"/>
      <c r="I10" s="103"/>
    </row>
    <row r="11" spans="1:9" ht="15" customHeight="1">
      <c r="G11" s="103"/>
      <c r="H11" s="103"/>
      <c r="I11" s="103"/>
    </row>
    <row r="12" spans="1:9" ht="15" customHeight="1">
      <c r="G12" s="103"/>
      <c r="H12" s="103"/>
      <c r="I12" s="103"/>
    </row>
  </sheetData>
  <mergeCells count="1">
    <mergeCell ref="G7:I12"/>
  </mergeCells>
  <hyperlinks>
    <hyperlink ref="B2" location="'ESC-CAL-CONFORMIDAD'!D5" display="Escenarios" xr:uid="{00000000-0004-0000-0300-000000000000}"/>
    <hyperlink ref="B3" location="'ESC-CAL-CONFORMIDAD'!D27" display="Escenarios" xr:uid="{00000000-0004-0000-0300-00000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3">
    <tabColor theme="9" tint="0.59999389629810485"/>
  </sheetPr>
  <dimension ref="A1:I11"/>
  <sheetViews>
    <sheetView workbookViewId="0">
      <selection activeCell="H7" sqref="H7"/>
    </sheetView>
  </sheetViews>
  <sheetFormatPr defaultColWidth="11.42578125" defaultRowHeight="15" customHeight="1"/>
  <cols>
    <col min="1" max="1" width="74.28515625" customWidth="1"/>
    <col min="3" max="4" width="22.28515625" customWidth="1"/>
    <col min="5" max="5" width="15.28515625" customWidth="1"/>
  </cols>
  <sheetData>
    <row r="1" spans="1:9" ht="15.95" customHeight="1">
      <c r="A1" s="60" t="s">
        <v>42</v>
      </c>
      <c r="B1" s="58" t="s">
        <v>30</v>
      </c>
      <c r="C1" s="58" t="s">
        <v>8</v>
      </c>
      <c r="D1" s="58" t="s">
        <v>9</v>
      </c>
      <c r="E1" s="58" t="s">
        <v>3</v>
      </c>
      <c r="F1" s="58" t="s">
        <v>33</v>
      </c>
    </row>
    <row r="2" spans="1:9" ht="32.1" customHeight="1">
      <c r="A2" s="28" t="s">
        <v>43</v>
      </c>
      <c r="B2" s="37" t="s">
        <v>30</v>
      </c>
      <c r="C2" s="104">
        <v>1</v>
      </c>
      <c r="D2" s="104">
        <v>1</v>
      </c>
      <c r="E2" s="104">
        <v>1</v>
      </c>
      <c r="F2" s="15">
        <f>SUM(C2:E2)</f>
        <v>3</v>
      </c>
    </row>
    <row r="3" spans="1:9" ht="32.1" customHeight="1">
      <c r="C3" s="68">
        <f>SUM(C2:C2)</f>
        <v>1</v>
      </c>
      <c r="D3" s="68">
        <f>SUM(D2:D2)</f>
        <v>1</v>
      </c>
      <c r="E3" s="68">
        <f>SUM(E2:E2)</f>
        <v>1</v>
      </c>
      <c r="F3" s="68">
        <f>SUM(F2:F2)</f>
        <v>3</v>
      </c>
    </row>
    <row r="4" spans="1:9" ht="32.1" customHeight="1"/>
    <row r="5" spans="1:9" ht="32.1" customHeight="1"/>
    <row r="6" spans="1:9" ht="32.1" customHeight="1"/>
    <row r="7" spans="1:9" ht="32.1" customHeight="1"/>
    <row r="8" spans="1:9" ht="32.1" customHeight="1"/>
    <row r="9" spans="1:9" ht="27" customHeight="1">
      <c r="H9" s="103"/>
      <c r="I9" s="103"/>
    </row>
    <row r="10" spans="1:9" ht="20.45" customHeight="1">
      <c r="H10" s="103"/>
      <c r="I10" s="103"/>
    </row>
    <row r="11" spans="1:9" ht="27" customHeight="1">
      <c r="H11" s="103"/>
      <c r="I11" s="103"/>
    </row>
  </sheetData>
  <mergeCells count="1">
    <mergeCell ref="H9:I11"/>
  </mergeCells>
  <hyperlinks>
    <hyperlink ref="B2" location="'ESC-CAL-DISPONIBILIDAD'!D5" display="Escenarios" xr:uid="{00000000-0004-0000-0400-000000000000}"/>
  </hyperlink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tabColor theme="9" tint="0.59999389629810485"/>
  </sheetPr>
  <dimension ref="A1:K12"/>
  <sheetViews>
    <sheetView workbookViewId="0">
      <selection activeCell="E15" sqref="E15"/>
    </sheetView>
  </sheetViews>
  <sheetFormatPr defaultColWidth="11.42578125" defaultRowHeight="15" customHeight="1"/>
  <cols>
    <col min="1" max="1" width="74.42578125" customWidth="1"/>
    <col min="3" max="4" width="19.140625" customWidth="1"/>
    <col min="5" max="5" width="17.42578125" customWidth="1"/>
    <col min="6" max="6" width="13.28515625" customWidth="1"/>
  </cols>
  <sheetData>
    <row r="1" spans="1:11" ht="21" customHeight="1">
      <c r="A1" s="61" t="s">
        <v>27</v>
      </c>
      <c r="B1" s="57" t="s">
        <v>30</v>
      </c>
      <c r="C1" s="57" t="s">
        <v>8</v>
      </c>
      <c r="D1" s="57" t="s">
        <v>9</v>
      </c>
      <c r="E1" s="57" t="s">
        <v>3</v>
      </c>
      <c r="F1" s="57" t="s">
        <v>33</v>
      </c>
      <c r="H1" s="84" t="s">
        <v>44</v>
      </c>
      <c r="I1" s="103"/>
      <c r="J1" s="103"/>
      <c r="K1" s="35"/>
    </row>
    <row r="2" spans="1:11" ht="61.5" customHeight="1">
      <c r="A2" s="6" t="s">
        <v>45</v>
      </c>
      <c r="B2" s="41" t="s">
        <v>30</v>
      </c>
      <c r="C2" s="7">
        <v>1</v>
      </c>
      <c r="D2" s="7">
        <v>1</v>
      </c>
      <c r="E2" s="7">
        <v>1</v>
      </c>
      <c r="F2" s="7">
        <f>SUM(C2:E2)</f>
        <v>3</v>
      </c>
      <c r="H2" s="103"/>
      <c r="I2" s="103"/>
      <c r="J2" s="103"/>
      <c r="K2" s="35"/>
    </row>
    <row r="3" spans="1:11" ht="32.1" customHeight="1">
      <c r="A3" s="6" t="s">
        <v>46</v>
      </c>
      <c r="B3" s="41" t="s">
        <v>30</v>
      </c>
      <c r="C3" s="7">
        <v>0</v>
      </c>
      <c r="D3" s="7">
        <v>1</v>
      </c>
      <c r="E3" s="7">
        <v>1</v>
      </c>
      <c r="F3" s="7">
        <f>SUM(C3:E3)</f>
        <v>2</v>
      </c>
      <c r="H3" s="103"/>
      <c r="I3" s="103"/>
      <c r="J3" s="103"/>
      <c r="K3" s="35"/>
    </row>
    <row r="4" spans="1:11" ht="32.1" customHeight="1">
      <c r="A4" s="6" t="s">
        <v>47</v>
      </c>
      <c r="B4" s="41" t="s">
        <v>30</v>
      </c>
      <c r="C4" s="7">
        <v>0</v>
      </c>
      <c r="D4" s="7">
        <v>1</v>
      </c>
      <c r="E4" s="7">
        <v>1</v>
      </c>
      <c r="F4" s="7">
        <f>SUM(C4:E4)</f>
        <v>2</v>
      </c>
      <c r="H4" s="35"/>
      <c r="I4" s="35"/>
      <c r="J4" s="35"/>
      <c r="K4" s="35"/>
    </row>
    <row r="5" spans="1:11" ht="50.25" customHeight="1">
      <c r="A5" s="74" t="s">
        <v>48</v>
      </c>
      <c r="B5" s="75" t="s">
        <v>30</v>
      </c>
      <c r="C5" s="33">
        <v>0</v>
      </c>
      <c r="D5" s="33">
        <v>1</v>
      </c>
      <c r="E5" s="33">
        <v>1</v>
      </c>
      <c r="F5" s="7">
        <f>SUM(C5:E5)</f>
        <v>2</v>
      </c>
      <c r="H5" s="35"/>
      <c r="I5" s="35"/>
      <c r="J5" s="35"/>
      <c r="K5" s="35"/>
    </row>
    <row r="6" spans="1:11" ht="32.1" customHeight="1">
      <c r="A6" s="28" t="s">
        <v>49</v>
      </c>
      <c r="B6" s="37" t="s">
        <v>30</v>
      </c>
      <c r="C6" s="15">
        <v>0</v>
      </c>
      <c r="D6" s="15">
        <v>1</v>
      </c>
      <c r="E6" s="15">
        <v>1</v>
      </c>
      <c r="F6" s="7">
        <f>SUM(C6:E6)</f>
        <v>2</v>
      </c>
      <c r="H6" s="35"/>
      <c r="I6" s="35"/>
      <c r="J6" s="35"/>
      <c r="K6" s="35"/>
    </row>
    <row r="7" spans="1:11" ht="32.1" customHeight="1">
      <c r="A7" s="28" t="s">
        <v>50</v>
      </c>
      <c r="B7" s="37" t="s">
        <v>30</v>
      </c>
      <c r="C7" s="29">
        <v>0</v>
      </c>
      <c r="D7" s="29">
        <v>1</v>
      </c>
      <c r="E7" s="29">
        <v>1</v>
      </c>
      <c r="F7" s="7">
        <f>SUM(C7:E7)</f>
        <v>2</v>
      </c>
      <c r="H7" s="35"/>
      <c r="I7" s="35"/>
      <c r="J7" s="35"/>
      <c r="K7" s="35"/>
    </row>
    <row r="8" spans="1:11" ht="33" customHeight="1">
      <c r="A8" s="28" t="s">
        <v>51</v>
      </c>
      <c r="B8" s="37" t="s">
        <v>30</v>
      </c>
      <c r="C8" s="29">
        <v>0</v>
      </c>
      <c r="D8" s="29">
        <v>1</v>
      </c>
      <c r="E8" s="29">
        <v>1</v>
      </c>
      <c r="F8" s="7">
        <f>SUM(C8:E8)</f>
        <v>2</v>
      </c>
    </row>
    <row r="9" spans="1:11" ht="35.25" customHeight="1">
      <c r="A9" s="28" t="s">
        <v>52</v>
      </c>
      <c r="B9" s="37" t="s">
        <v>30</v>
      </c>
      <c r="C9" s="29">
        <v>0</v>
      </c>
      <c r="D9" s="29">
        <v>1</v>
      </c>
      <c r="E9" s="29">
        <v>1</v>
      </c>
      <c r="F9" s="7">
        <f>SUM(C9:E9)</f>
        <v>2</v>
      </c>
    </row>
    <row r="10" spans="1:11" ht="32.1" customHeight="1">
      <c r="A10" s="28" t="s">
        <v>53</v>
      </c>
      <c r="B10" s="37" t="s">
        <v>30</v>
      </c>
      <c r="C10" s="29">
        <v>0</v>
      </c>
      <c r="D10" s="29">
        <v>1</v>
      </c>
      <c r="E10" s="29">
        <v>1</v>
      </c>
      <c r="F10" s="7">
        <f>SUM(C10:E10)</f>
        <v>2</v>
      </c>
    </row>
    <row r="11" spans="1:11" ht="32.1" customHeight="1">
      <c r="A11" s="28" t="s">
        <v>54</v>
      </c>
      <c r="B11" s="37" t="s">
        <v>30</v>
      </c>
      <c r="C11" s="29">
        <v>0</v>
      </c>
      <c r="D11" s="29">
        <v>1</v>
      </c>
      <c r="E11" s="29">
        <v>1</v>
      </c>
      <c r="F11" s="7">
        <f>SUM(C11:E11)</f>
        <v>2</v>
      </c>
    </row>
    <row r="12" spans="1:11">
      <c r="A12" s="76"/>
      <c r="C12" s="71">
        <f>SUM(C2:C11)</f>
        <v>1</v>
      </c>
      <c r="D12" s="71">
        <f>SUM(D2:D11)</f>
        <v>10</v>
      </c>
      <c r="E12" s="71">
        <f>SUM(E2:E11)</f>
        <v>10</v>
      </c>
      <c r="F12" s="71">
        <f>SUM(F2:F11)</f>
        <v>21</v>
      </c>
    </row>
  </sheetData>
  <mergeCells count="1">
    <mergeCell ref="H1:J3"/>
  </mergeCells>
  <hyperlinks>
    <hyperlink ref="B2" location="'ESC-CAL-EXPERIENCIA DE USUARIO'!D5" display="Escenarios" xr:uid="{00000000-0004-0000-0500-000000000000}"/>
    <hyperlink ref="B3" location="'ESC-CAL-EXPERIENCIA DE USUARIO'!D27" display="Escenarios" xr:uid="{00000000-0004-0000-0500-000001000000}"/>
    <hyperlink ref="B4" location="'ESC-CAL-EXPERIENCIA DE USUARIO'!D49" display="Escenarios" xr:uid="{00000000-0004-0000-0500-000002000000}"/>
    <hyperlink ref="B5" location="'ESC-CAL-EXPERIENCIA DE USUARIO'!D71" display="Escenarios" xr:uid="{00000000-0004-0000-0500-000003000000}"/>
    <hyperlink ref="B6" location="'ESC-CAL-EXPERIENCIA DE USUARIO'!D93" display="Escenarios" xr:uid="{00000000-0004-0000-0500-000004000000}"/>
    <hyperlink ref="B7" location="'ESC-CAL-EXPERIENCIA DE USUARIO'!D115" display="Escenarios" xr:uid="{00000000-0004-0000-0500-000005000000}"/>
    <hyperlink ref="B8" location="'ESC-CAL-EXPERIENCIA DE USUARIO'!D137" display="Escenarios" xr:uid="{00000000-0004-0000-0500-000006000000}"/>
    <hyperlink ref="B9" location="'ESC-CAL-EXPERIENCIA DE USUARIO'!D159" display="Escenarios" xr:uid="{00000000-0004-0000-0500-000007000000}"/>
    <hyperlink ref="B10" location="'ESC-CAL-EXPERIENCIA DE USUARIO'!D181" display="Escenarios" xr:uid="{00000000-0004-0000-0500-000008000000}"/>
    <hyperlink ref="B11" location="'ESC-CAL-EXPERIENCIA DE USUARIO'!D203" display="Escenarios" xr:uid="{00000000-0004-0000-0500-000009000000}"/>
  </hyperlink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4">
    <tabColor theme="9" tint="0.59999389629810485"/>
  </sheetPr>
  <dimension ref="A1:J16"/>
  <sheetViews>
    <sheetView workbookViewId="0">
      <selection activeCell="A2" sqref="A2"/>
    </sheetView>
  </sheetViews>
  <sheetFormatPr defaultColWidth="11.42578125" defaultRowHeight="15" customHeight="1"/>
  <cols>
    <col min="1" max="1" width="64.42578125" customWidth="1"/>
    <col min="3" max="3" width="15.42578125" customWidth="1"/>
    <col min="4" max="5" width="23" customWidth="1"/>
  </cols>
  <sheetData>
    <row r="1" spans="1:10">
      <c r="A1" s="54" t="s">
        <v>27</v>
      </c>
      <c r="B1" s="62" t="s">
        <v>39</v>
      </c>
      <c r="C1" s="62" t="s">
        <v>8</v>
      </c>
      <c r="D1" s="62" t="s">
        <v>9</v>
      </c>
      <c r="E1" s="62" t="s">
        <v>3</v>
      </c>
      <c r="F1" s="58" t="s">
        <v>33</v>
      </c>
    </row>
    <row r="2" spans="1:10" ht="32.1" customHeight="1">
      <c r="A2" s="39" t="s">
        <v>55</v>
      </c>
      <c r="B2" s="14" t="s">
        <v>30</v>
      </c>
      <c r="C2" s="31">
        <v>1</v>
      </c>
      <c r="D2" s="15">
        <v>1</v>
      </c>
      <c r="E2" s="15">
        <v>1</v>
      </c>
      <c r="F2" s="15">
        <f>SUM(C2:E2)</f>
        <v>3</v>
      </c>
    </row>
    <row r="3" spans="1:10" ht="32.1" customHeight="1">
      <c r="A3" s="40" t="s">
        <v>56</v>
      </c>
      <c r="B3" s="14" t="s">
        <v>30</v>
      </c>
      <c r="C3" s="30">
        <v>0</v>
      </c>
      <c r="D3" s="29">
        <v>1</v>
      </c>
      <c r="E3" s="29">
        <v>1</v>
      </c>
      <c r="F3" s="15">
        <f>SUM(C3:E3)</f>
        <v>2</v>
      </c>
    </row>
    <row r="4" spans="1:10" ht="32.1" customHeight="1">
      <c r="A4" s="40" t="s">
        <v>57</v>
      </c>
      <c r="B4" s="14" t="s">
        <v>30</v>
      </c>
      <c r="C4" s="30">
        <v>1</v>
      </c>
      <c r="D4" s="29">
        <v>0</v>
      </c>
      <c r="E4" s="29">
        <v>0</v>
      </c>
      <c r="F4" s="15">
        <f>SUM(C4:E4)</f>
        <v>1</v>
      </c>
      <c r="H4" s="81" t="s">
        <v>58</v>
      </c>
    </row>
    <row r="5" spans="1:10" ht="32.1" customHeight="1">
      <c r="A5" s="40" t="s">
        <v>59</v>
      </c>
      <c r="B5" s="14" t="s">
        <v>30</v>
      </c>
      <c r="C5" s="30">
        <v>1</v>
      </c>
      <c r="D5" s="29">
        <v>0</v>
      </c>
      <c r="E5" s="29">
        <v>0</v>
      </c>
      <c r="F5" s="15">
        <f>SUM(C5:E5)</f>
        <v>1</v>
      </c>
      <c r="H5" s="103"/>
      <c r="I5" s="103"/>
      <c r="J5" s="103"/>
    </row>
    <row r="6" spans="1:10" ht="32.1" customHeight="1">
      <c r="A6" s="40" t="s">
        <v>60</v>
      </c>
      <c r="B6" s="14" t="s">
        <v>30</v>
      </c>
      <c r="C6" s="30">
        <v>0</v>
      </c>
      <c r="D6" s="29">
        <v>1</v>
      </c>
      <c r="E6" s="29">
        <v>1</v>
      </c>
      <c r="F6" s="15">
        <f>SUM(C6:E6)</f>
        <v>2</v>
      </c>
      <c r="H6" s="103"/>
      <c r="I6" s="103"/>
      <c r="J6" s="103"/>
    </row>
    <row r="7" spans="1:10" ht="32.1" customHeight="1">
      <c r="A7" s="40" t="s">
        <v>61</v>
      </c>
      <c r="B7" s="14" t="s">
        <v>30</v>
      </c>
      <c r="C7" s="30">
        <v>0</v>
      </c>
      <c r="D7" s="29">
        <v>1</v>
      </c>
      <c r="E7" s="29">
        <v>1</v>
      </c>
      <c r="F7" s="15">
        <f>SUM(C7:E7)</f>
        <v>2</v>
      </c>
      <c r="H7" s="103"/>
      <c r="I7" s="103"/>
      <c r="J7" s="103"/>
    </row>
    <row r="8" spans="1:10" ht="32.1" customHeight="1">
      <c r="A8" s="40" t="s">
        <v>62</v>
      </c>
      <c r="B8" s="14" t="s">
        <v>30</v>
      </c>
      <c r="C8" s="30">
        <v>1</v>
      </c>
      <c r="D8" s="29">
        <v>0</v>
      </c>
      <c r="E8" s="29">
        <v>0</v>
      </c>
      <c r="F8" s="15">
        <f>SUM(C8:E8)</f>
        <v>1</v>
      </c>
      <c r="H8" s="103"/>
      <c r="I8" s="103"/>
      <c r="J8" s="103"/>
    </row>
    <row r="9" spans="1:10" ht="32.1" customHeight="1">
      <c r="A9" s="40" t="s">
        <v>63</v>
      </c>
      <c r="B9" s="14" t="s">
        <v>30</v>
      </c>
      <c r="C9" s="30">
        <v>1</v>
      </c>
      <c r="D9" s="29">
        <v>0</v>
      </c>
      <c r="E9" s="29">
        <v>0</v>
      </c>
      <c r="F9" s="15">
        <f>SUM(C9:E9)</f>
        <v>1</v>
      </c>
      <c r="H9" s="103"/>
      <c r="I9" s="103"/>
      <c r="J9" s="103"/>
    </row>
    <row r="10" spans="1:10" ht="32.1" customHeight="1">
      <c r="A10" s="40" t="s">
        <v>64</v>
      </c>
      <c r="B10" s="14" t="s">
        <v>30</v>
      </c>
      <c r="C10" s="30">
        <v>1</v>
      </c>
      <c r="D10" s="29">
        <v>0</v>
      </c>
      <c r="E10" s="29">
        <v>0</v>
      </c>
      <c r="F10" s="15">
        <f>SUM(C10:E10)</f>
        <v>1</v>
      </c>
    </row>
    <row r="11" spans="1:10" ht="32.1" customHeight="1">
      <c r="A11" s="40" t="s">
        <v>65</v>
      </c>
      <c r="B11" s="14" t="s">
        <v>30</v>
      </c>
      <c r="C11" s="30">
        <v>1</v>
      </c>
      <c r="D11" s="29">
        <v>0</v>
      </c>
      <c r="E11" s="29">
        <v>0</v>
      </c>
      <c r="F11" s="15">
        <f>SUM(C11:E11)</f>
        <v>1</v>
      </c>
    </row>
    <row r="12" spans="1:10" ht="32.1" customHeight="1">
      <c r="C12" s="67">
        <f>SUM(C2:C11)</f>
        <v>7</v>
      </c>
      <c r="D12" s="67">
        <f>SUM(D2:D11)</f>
        <v>4</v>
      </c>
      <c r="E12" s="67">
        <f>SUM(E2:E11)</f>
        <v>4</v>
      </c>
      <c r="F12" s="67">
        <f>SUM(F2:F11)</f>
        <v>15</v>
      </c>
    </row>
    <row r="13" spans="1:10" ht="32.1" customHeight="1"/>
    <row r="14" spans="1:10" ht="32.1" customHeight="1"/>
    <row r="15" spans="1:10" ht="32.1" customHeight="1"/>
    <row r="16" spans="1:10" ht="32.1" customHeight="1"/>
  </sheetData>
  <mergeCells count="1">
    <mergeCell ref="H5:J9"/>
  </mergeCells>
  <hyperlinks>
    <hyperlink ref="B2" location="'ESC-CAL-RENDIMIENTO'!D4" display="Escenarios" xr:uid="{00000000-0004-0000-0600-000000000000}"/>
    <hyperlink ref="B3" location="'ESC-CAL-RENDIMIENTO'!D26" display="Escenarios" xr:uid="{00000000-0004-0000-0600-000001000000}"/>
    <hyperlink ref="B4" location="'ESC-CAL-RENDIMIENTO'!D48" display="Escenarios" xr:uid="{00000000-0004-0000-0600-000002000000}"/>
    <hyperlink ref="B5" location="'ESC-CAL-RENDIMIENTO'!D70" display="Escenarios" xr:uid="{00000000-0004-0000-0600-000003000000}"/>
    <hyperlink ref="B6" location="'ESC-CAL-RENDIMIENTO'!D92" display="Escenarios" xr:uid="{00000000-0004-0000-0600-000004000000}"/>
    <hyperlink ref="B7" location="'ESC-CAL-RENDIMIENTO'!D114" display="Escenarios" xr:uid="{00000000-0004-0000-0600-000005000000}"/>
    <hyperlink ref="B8" location="'ESC-CAL-RENDIMIENTO'!D136" display="Escenarios" xr:uid="{00000000-0004-0000-0600-000006000000}"/>
    <hyperlink ref="B9" location="'ESC-CAL-RENDIMIENTO'!D158" display="Escenarios" xr:uid="{00000000-0004-0000-0600-000007000000}"/>
    <hyperlink ref="B10" location="'ESC-CAL-RENDIMIENTO'!D180" display="Escenarios" xr:uid="{00000000-0004-0000-0600-000008000000}"/>
    <hyperlink ref="B11" location="'ESC-CAL-RENDIMIENTO'!D202" display="Escenarios" xr:uid="{00000000-0004-0000-0600-000009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2">
    <tabColor theme="9" tint="0.59999389629810485"/>
  </sheetPr>
  <dimension ref="A1:F21"/>
  <sheetViews>
    <sheetView zoomScaleNormal="100" workbookViewId="0">
      <selection activeCell="B1" sqref="B1"/>
    </sheetView>
  </sheetViews>
  <sheetFormatPr defaultColWidth="11.42578125" defaultRowHeight="15" customHeight="1"/>
  <cols>
    <col min="1" max="1" width="73.85546875" style="2" customWidth="1"/>
    <col min="3" max="3" width="15.7109375" customWidth="1"/>
    <col min="4" max="4" width="18.85546875" customWidth="1"/>
    <col min="5" max="5" width="19.140625" customWidth="1"/>
  </cols>
  <sheetData>
    <row r="1" spans="1:6" ht="15.95" customHeight="1">
      <c r="A1" s="60" t="s">
        <v>42</v>
      </c>
      <c r="B1" s="58" t="s">
        <v>30</v>
      </c>
      <c r="C1" s="58" t="s">
        <v>8</v>
      </c>
      <c r="D1" s="58" t="s">
        <v>9</v>
      </c>
      <c r="E1" s="58" t="s">
        <v>10</v>
      </c>
      <c r="F1" s="58" t="s">
        <v>33</v>
      </c>
    </row>
    <row r="2" spans="1:6" ht="32.1" customHeight="1">
      <c r="A2" s="77" t="s">
        <v>66</v>
      </c>
      <c r="B2" s="37" t="s">
        <v>30</v>
      </c>
      <c r="C2" s="29">
        <v>1</v>
      </c>
      <c r="D2" s="29">
        <v>1</v>
      </c>
      <c r="E2" s="29">
        <v>1</v>
      </c>
      <c r="F2" s="29">
        <f>SUM(C2:E2)</f>
        <v>3</v>
      </c>
    </row>
    <row r="3" spans="1:6" ht="30" customHeight="1">
      <c r="A3" s="13" t="s">
        <v>67</v>
      </c>
      <c r="B3" s="37" t="s">
        <v>30</v>
      </c>
      <c r="C3" s="29">
        <v>1</v>
      </c>
      <c r="D3" s="29">
        <v>1</v>
      </c>
      <c r="E3" s="29">
        <v>1</v>
      </c>
      <c r="F3" s="29">
        <f>SUM(C3:E3)</f>
        <v>3</v>
      </c>
    </row>
    <row r="4" spans="1:6" ht="33" customHeight="1">
      <c r="A4" s="78" t="s">
        <v>68</v>
      </c>
      <c r="B4" s="37" t="s">
        <v>30</v>
      </c>
      <c r="C4" s="29">
        <v>1</v>
      </c>
      <c r="D4" s="29">
        <v>1</v>
      </c>
      <c r="E4" s="29">
        <v>1</v>
      </c>
      <c r="F4" s="29">
        <f>SUM(C4:E4)</f>
        <v>3</v>
      </c>
    </row>
    <row r="5" spans="1:6" ht="36.75" customHeight="1">
      <c r="A5" s="78" t="s">
        <v>69</v>
      </c>
      <c r="B5" s="37" t="s">
        <v>30</v>
      </c>
      <c r="C5" s="29">
        <v>0</v>
      </c>
      <c r="D5" s="29">
        <v>1</v>
      </c>
      <c r="E5" s="29">
        <v>1</v>
      </c>
      <c r="F5" s="29">
        <f>SUM(C5:E5)</f>
        <v>2</v>
      </c>
    </row>
    <row r="6" spans="1:6" ht="32.1" customHeight="1">
      <c r="A6" s="78" t="s">
        <v>70</v>
      </c>
      <c r="B6" s="37" t="s">
        <v>30</v>
      </c>
      <c r="C6" s="29">
        <v>0</v>
      </c>
      <c r="D6" s="29">
        <v>1</v>
      </c>
      <c r="E6" s="29">
        <v>1</v>
      </c>
      <c r="F6" s="29">
        <f>SUM(C6:E6)</f>
        <v>2</v>
      </c>
    </row>
    <row r="7" spans="1:6" ht="17.25" customHeight="1">
      <c r="A7" s="13" t="s">
        <v>71</v>
      </c>
      <c r="B7" s="37" t="s">
        <v>30</v>
      </c>
      <c r="C7" s="29">
        <v>1</v>
      </c>
      <c r="D7" s="29">
        <v>1</v>
      </c>
      <c r="E7" s="29">
        <v>1</v>
      </c>
      <c r="F7" s="29">
        <f>SUM(C7:E7)</f>
        <v>3</v>
      </c>
    </row>
    <row r="8" spans="1:6" ht="32.1" customHeight="1">
      <c r="C8" s="79">
        <f>SUM(C2:C7)</f>
        <v>4</v>
      </c>
      <c r="D8" s="79">
        <f>SUM(D2:D7)</f>
        <v>6</v>
      </c>
      <c r="E8" s="79">
        <f>SUM(E2:E7)</f>
        <v>6</v>
      </c>
      <c r="F8" s="80">
        <f>SUM(F2:F7)</f>
        <v>16</v>
      </c>
    </row>
    <row r="9" spans="1:6" ht="32.1" customHeight="1"/>
    <row r="10" spans="1:6" ht="32.1" customHeight="1"/>
    <row r="11" spans="1:6" ht="15.95" customHeight="1"/>
    <row r="12" spans="1:6" ht="32.1" customHeight="1"/>
    <row r="13" spans="1:6" ht="33.75" customHeight="1"/>
    <row r="14" spans="1:6" ht="32.25" customHeight="1"/>
    <row r="15" spans="1:6" ht="36.75" customHeight="1"/>
    <row r="16" spans="1:6" ht="32.25" customHeight="1"/>
    <row r="17" ht="36" customHeight="1"/>
    <row r="18" ht="33.75" customHeight="1"/>
    <row r="19" ht="28.5" customHeight="1"/>
    <row r="20" ht="33" customHeight="1"/>
    <row r="21" ht="36.75" customHeight="1"/>
  </sheetData>
  <hyperlinks>
    <hyperlink ref="B2" location="'ESC-CAL-SEGURIDAD'!D5" display="Escenarios" xr:uid="{00000000-0004-0000-0700-000000000000}"/>
    <hyperlink ref="B3" location="'ESC-CAL-SEGURIDAD'!D27" display="Escenarios" xr:uid="{00000000-0004-0000-0700-000001000000}"/>
    <hyperlink ref="B4" location="'ESC-CAL-SEGURIDAD'!D49" display="Escenarios" xr:uid="{00000000-0004-0000-0700-000002000000}"/>
    <hyperlink ref="B5" location="'ESC-CAL-SEGURIDAD'!D71" display="Escenarios" xr:uid="{00000000-0004-0000-0700-000003000000}"/>
    <hyperlink ref="B6" location="'ESC-CAL-SEGURIDAD'!D93" display="Escenarios" xr:uid="{00000000-0004-0000-0700-000004000000}"/>
    <hyperlink ref="B7" location="'ESC-CAL-SEGURIDAD'!D115" display="Escenarios" xr:uid="{00000000-0004-0000-0700-000005000000}"/>
  </hyperlink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9">
    <tabColor theme="9" tint="0.59999389629810485"/>
  </sheetPr>
  <dimension ref="A1:N177"/>
  <sheetViews>
    <sheetView topLeftCell="N12" workbookViewId="0">
      <selection activeCell="D19" sqref="D19"/>
    </sheetView>
  </sheetViews>
  <sheetFormatPr defaultColWidth="11.42578125" defaultRowHeight="15"/>
  <cols>
    <col min="1" max="1" width="12.140625" style="43" bestFit="1" customWidth="1"/>
    <col min="2" max="8" width="11.42578125" style="43" customWidth="1"/>
    <col min="9" max="9" width="21.85546875" style="43" customWidth="1"/>
    <col min="10" max="10" width="24" style="43" customWidth="1"/>
    <col min="11" max="11" width="22.85546875" style="43" customWidth="1"/>
    <col min="12" max="12" width="21.42578125" style="43" customWidth="1"/>
    <col min="13" max="13" width="13.28515625" style="43" customWidth="1"/>
    <col min="14" max="14" width="170.28515625" style="43" bestFit="1" customWidth="1"/>
    <col min="15" max="15" width="11.42578125" style="43" customWidth="1"/>
    <col min="16" max="16384" width="11.42578125" style="43"/>
  </cols>
  <sheetData>
    <row r="1" spans="1:14">
      <c r="A1" s="44" t="s">
        <v>17</v>
      </c>
      <c r="B1" s="105"/>
      <c r="C1" s="105"/>
      <c r="D1" s="105"/>
      <c r="E1" s="105"/>
      <c r="F1" s="105"/>
      <c r="G1" s="105"/>
      <c r="H1" s="105"/>
      <c r="I1" s="105"/>
      <c r="J1" s="105"/>
      <c r="K1" s="105"/>
      <c r="L1" s="105"/>
      <c r="M1" s="105"/>
      <c r="N1" s="105"/>
    </row>
    <row r="2" spans="1:14">
      <c r="A2" s="44"/>
      <c r="B2" s="105"/>
      <c r="C2" s="105"/>
      <c r="D2" s="105"/>
      <c r="E2" s="105"/>
      <c r="F2" s="105"/>
      <c r="G2" s="105"/>
      <c r="H2" s="105"/>
      <c r="I2" s="105"/>
      <c r="J2" s="105"/>
      <c r="K2" s="105"/>
      <c r="L2" s="105"/>
      <c r="M2" s="105"/>
      <c r="N2" s="105"/>
    </row>
    <row r="3" spans="1:14">
      <c r="A3" s="85" t="s">
        <v>72</v>
      </c>
      <c r="B3" s="106"/>
      <c r="C3" s="106"/>
      <c r="D3" s="107" t="str">
        <f>A1</f>
        <v>Accesibilidad</v>
      </c>
      <c r="E3" s="108"/>
      <c r="F3" s="108"/>
      <c r="G3" s="108"/>
      <c r="H3" s="108"/>
      <c r="I3" s="108"/>
      <c r="J3" s="108"/>
      <c r="K3" s="108"/>
      <c r="L3" s="108"/>
      <c r="M3" s="108"/>
      <c r="N3" s="109"/>
    </row>
    <row r="4" spans="1:14">
      <c r="A4" s="85" t="s">
        <v>73</v>
      </c>
      <c r="B4" s="106"/>
      <c r="C4" s="106"/>
      <c r="D4" s="107" t="s">
        <v>29</v>
      </c>
      <c r="E4" s="108"/>
      <c r="F4" s="108"/>
      <c r="G4" s="108"/>
      <c r="H4" s="108"/>
      <c r="I4" s="108"/>
      <c r="J4" s="108"/>
      <c r="K4" s="108"/>
      <c r="L4" s="108"/>
      <c r="M4" s="108"/>
      <c r="N4" s="109"/>
    </row>
    <row r="5" spans="1:14">
      <c r="A5" s="87" t="s">
        <v>74</v>
      </c>
      <c r="B5" s="110"/>
      <c r="C5" s="111"/>
      <c r="D5" s="107" t="s">
        <v>75</v>
      </c>
      <c r="E5" s="108"/>
      <c r="F5" s="108"/>
      <c r="G5" s="108"/>
      <c r="H5" s="108"/>
      <c r="I5" s="108"/>
      <c r="J5" s="108"/>
      <c r="K5" s="108"/>
      <c r="L5" s="108"/>
      <c r="M5" s="108"/>
      <c r="N5" s="109"/>
    </row>
    <row r="6" spans="1:14">
      <c r="A6" s="87" t="s">
        <v>76</v>
      </c>
      <c r="B6" s="110"/>
      <c r="C6" s="111"/>
      <c r="D6" s="107" t="s">
        <v>77</v>
      </c>
      <c r="E6" s="108"/>
      <c r="F6" s="108"/>
      <c r="G6" s="108"/>
      <c r="H6" s="108"/>
      <c r="I6" s="108"/>
      <c r="J6" s="108"/>
      <c r="K6" s="108"/>
      <c r="L6" s="108"/>
      <c r="M6" s="108"/>
      <c r="N6" s="109"/>
    </row>
    <row r="7" spans="1:14">
      <c r="A7" s="87" t="s">
        <v>78</v>
      </c>
      <c r="B7" s="110"/>
      <c r="C7" s="111"/>
      <c r="D7" s="107" t="s">
        <v>79</v>
      </c>
      <c r="E7" s="108"/>
      <c r="F7" s="108"/>
      <c r="G7" s="108"/>
      <c r="H7" s="108"/>
      <c r="I7" s="108"/>
      <c r="J7" s="108"/>
      <c r="K7" s="108"/>
      <c r="L7" s="108"/>
      <c r="M7" s="108"/>
      <c r="N7" s="109"/>
    </row>
    <row r="8" spans="1:14" ht="39" customHeight="1">
      <c r="A8" s="87" t="s">
        <v>80</v>
      </c>
      <c r="B8" s="110"/>
      <c r="C8" s="111"/>
      <c r="D8" s="112" t="s">
        <v>81</v>
      </c>
      <c r="E8" s="108"/>
      <c r="F8" s="108"/>
      <c r="G8" s="108"/>
      <c r="H8" s="108"/>
      <c r="I8" s="108"/>
      <c r="J8" s="108"/>
      <c r="K8" s="108"/>
      <c r="L8" s="108"/>
      <c r="M8" s="108"/>
      <c r="N8" s="109"/>
    </row>
    <row r="9" spans="1:14" ht="51.75" customHeight="1">
      <c r="A9" s="87" t="s">
        <v>82</v>
      </c>
      <c r="B9" s="110"/>
      <c r="C9" s="111"/>
      <c r="D9" s="112" t="s">
        <v>83</v>
      </c>
      <c r="E9" s="108"/>
      <c r="F9" s="108"/>
      <c r="G9" s="108"/>
      <c r="H9" s="108"/>
      <c r="I9" s="108"/>
      <c r="J9" s="108"/>
      <c r="K9" s="108"/>
      <c r="L9" s="108"/>
      <c r="M9" s="108"/>
      <c r="N9" s="109"/>
    </row>
    <row r="10" spans="1:14" ht="37.5" customHeight="1">
      <c r="A10" s="87" t="s">
        <v>84</v>
      </c>
      <c r="B10" s="110"/>
      <c r="C10" s="111"/>
      <c r="D10" s="112" t="s">
        <v>85</v>
      </c>
      <c r="E10" s="108"/>
      <c r="F10" s="108"/>
      <c r="G10" s="108"/>
      <c r="H10" s="108"/>
      <c r="I10" s="108"/>
      <c r="J10" s="108"/>
      <c r="K10" s="108"/>
      <c r="L10" s="108"/>
      <c r="M10" s="108"/>
      <c r="N10" s="109"/>
    </row>
    <row r="11" spans="1:14">
      <c r="A11" s="86" t="s">
        <v>86</v>
      </c>
      <c r="B11" s="111"/>
      <c r="C11" s="88" t="s">
        <v>87</v>
      </c>
      <c r="D11" s="111"/>
      <c r="E11" s="89" t="s">
        <v>88</v>
      </c>
      <c r="F11" s="113"/>
      <c r="G11" s="89" t="s">
        <v>89</v>
      </c>
      <c r="H11" s="113"/>
      <c r="I11" s="89" t="s">
        <v>90</v>
      </c>
      <c r="J11" s="113"/>
      <c r="K11" s="89" t="s">
        <v>91</v>
      </c>
      <c r="L11" s="113"/>
      <c r="M11" s="47" t="s">
        <v>92</v>
      </c>
      <c r="N11" s="47" t="s">
        <v>93</v>
      </c>
    </row>
    <row r="12" spans="1:14" ht="117" customHeight="1">
      <c r="A12" s="114" t="s">
        <v>94</v>
      </c>
      <c r="B12" s="111"/>
      <c r="C12" s="115" t="s">
        <v>95</v>
      </c>
      <c r="D12" s="111"/>
      <c r="E12" s="115" t="s">
        <v>96</v>
      </c>
      <c r="F12" s="111"/>
      <c r="G12" s="116" t="s">
        <v>97</v>
      </c>
      <c r="H12" s="111"/>
      <c r="I12" s="115" t="s">
        <v>98</v>
      </c>
      <c r="J12" s="111"/>
      <c r="K12" s="115" t="s">
        <v>99</v>
      </c>
      <c r="L12" s="111"/>
      <c r="M12" s="117"/>
      <c r="N12" s="117" t="s">
        <v>100</v>
      </c>
    </row>
    <row r="13" spans="1:14">
      <c r="A13" s="44"/>
      <c r="B13" s="105"/>
      <c r="C13" s="105"/>
      <c r="D13" s="105"/>
      <c r="E13" s="105"/>
      <c r="F13" s="105"/>
      <c r="G13" s="105"/>
      <c r="H13" s="105"/>
      <c r="I13" s="105"/>
      <c r="J13" s="105"/>
      <c r="K13" s="105"/>
      <c r="L13" s="105"/>
      <c r="M13" s="105"/>
      <c r="N13" s="105"/>
    </row>
    <row r="14" spans="1:14">
      <c r="A14" s="85" t="s">
        <v>72</v>
      </c>
      <c r="B14" s="106"/>
      <c r="C14" s="106"/>
      <c r="D14" s="107" t="str">
        <f>A1</f>
        <v>Accesibilidad</v>
      </c>
      <c r="E14" s="108"/>
      <c r="F14" s="108"/>
      <c r="G14" s="108"/>
      <c r="H14" s="108"/>
      <c r="I14" s="108"/>
      <c r="J14" s="108"/>
      <c r="K14" s="108"/>
      <c r="L14" s="108"/>
      <c r="M14" s="108"/>
      <c r="N14" s="109"/>
    </row>
    <row r="15" spans="1:14">
      <c r="A15" s="85" t="s">
        <v>73</v>
      </c>
      <c r="B15" s="106"/>
      <c r="C15" s="106"/>
      <c r="D15" s="112" t="s">
        <v>29</v>
      </c>
      <c r="E15" s="108"/>
      <c r="F15" s="108"/>
      <c r="G15" s="108"/>
      <c r="H15" s="108"/>
      <c r="I15" s="108"/>
      <c r="J15" s="108"/>
      <c r="K15" s="108"/>
      <c r="L15" s="108"/>
      <c r="M15" s="108"/>
      <c r="N15" s="109"/>
    </row>
    <row r="16" spans="1:14">
      <c r="A16" s="87" t="s">
        <v>74</v>
      </c>
      <c r="B16" s="110"/>
      <c r="C16" s="111"/>
      <c r="D16" s="107" t="s">
        <v>101</v>
      </c>
      <c r="E16" s="108"/>
      <c r="F16" s="108"/>
      <c r="G16" s="108"/>
      <c r="H16" s="108"/>
      <c r="I16" s="108"/>
      <c r="J16" s="108"/>
      <c r="K16" s="108"/>
      <c r="L16" s="108"/>
      <c r="M16" s="108"/>
      <c r="N16" s="109"/>
    </row>
    <row r="17" spans="1:14">
      <c r="A17" s="87" t="s">
        <v>76</v>
      </c>
      <c r="B17" s="110"/>
      <c r="C17" s="111"/>
      <c r="D17" s="107" t="s">
        <v>102</v>
      </c>
      <c r="E17" s="108"/>
      <c r="F17" s="108"/>
      <c r="G17" s="108"/>
      <c r="H17" s="108"/>
      <c r="I17" s="108"/>
      <c r="J17" s="108"/>
      <c r="K17" s="108"/>
      <c r="L17" s="108"/>
      <c r="M17" s="108"/>
      <c r="N17" s="109"/>
    </row>
    <row r="18" spans="1:14">
      <c r="A18" s="87" t="s">
        <v>78</v>
      </c>
      <c r="B18" s="110"/>
      <c r="C18" s="111"/>
      <c r="D18" s="107" t="s">
        <v>103</v>
      </c>
      <c r="E18" s="108"/>
      <c r="F18" s="108"/>
      <c r="G18" s="108"/>
      <c r="H18" s="108"/>
      <c r="I18" s="108"/>
      <c r="J18" s="108"/>
      <c r="K18" s="108"/>
      <c r="L18" s="108"/>
      <c r="M18" s="108"/>
      <c r="N18" s="109"/>
    </row>
    <row r="19" spans="1:14" ht="28.5" customHeight="1">
      <c r="A19" s="87" t="s">
        <v>80</v>
      </c>
      <c r="B19" s="110"/>
      <c r="C19" s="111"/>
      <c r="D19" s="112" t="s">
        <v>104</v>
      </c>
      <c r="E19" s="108"/>
      <c r="F19" s="108"/>
      <c r="G19" s="108"/>
      <c r="H19" s="108"/>
      <c r="I19" s="108"/>
      <c r="J19" s="108"/>
      <c r="K19" s="108"/>
      <c r="L19" s="108"/>
      <c r="M19" s="108"/>
      <c r="N19" s="109"/>
    </row>
    <row r="20" spans="1:14" ht="51" customHeight="1">
      <c r="A20" s="87" t="s">
        <v>82</v>
      </c>
      <c r="B20" s="110"/>
      <c r="C20" s="111"/>
      <c r="D20" s="112" t="s">
        <v>105</v>
      </c>
      <c r="E20" s="108"/>
      <c r="F20" s="108"/>
      <c r="G20" s="108"/>
      <c r="H20" s="108"/>
      <c r="I20" s="108"/>
      <c r="J20" s="108"/>
      <c r="K20" s="108"/>
      <c r="L20" s="108"/>
      <c r="M20" s="108"/>
      <c r="N20" s="109"/>
    </row>
    <row r="21" spans="1:14" ht="41.25" customHeight="1">
      <c r="A21" s="87" t="s">
        <v>84</v>
      </c>
      <c r="B21" s="110"/>
      <c r="C21" s="111"/>
      <c r="D21" s="112" t="s">
        <v>106</v>
      </c>
      <c r="E21" s="108"/>
      <c r="F21" s="108"/>
      <c r="G21" s="108"/>
      <c r="H21" s="108"/>
      <c r="I21" s="108"/>
      <c r="J21" s="108"/>
      <c r="K21" s="108"/>
      <c r="L21" s="108"/>
      <c r="M21" s="108"/>
      <c r="N21" s="109"/>
    </row>
    <row r="22" spans="1:14">
      <c r="A22" s="86" t="s">
        <v>86</v>
      </c>
      <c r="B22" s="111"/>
      <c r="C22" s="88" t="s">
        <v>87</v>
      </c>
      <c r="D22" s="111"/>
      <c r="E22" s="89" t="s">
        <v>88</v>
      </c>
      <c r="F22" s="113"/>
      <c r="G22" s="89" t="s">
        <v>89</v>
      </c>
      <c r="H22" s="113"/>
      <c r="I22" s="89" t="s">
        <v>90</v>
      </c>
      <c r="J22" s="113"/>
      <c r="K22" s="89" t="s">
        <v>91</v>
      </c>
      <c r="L22" s="113"/>
      <c r="M22" s="47" t="s">
        <v>92</v>
      </c>
      <c r="N22" s="47" t="s">
        <v>93</v>
      </c>
    </row>
    <row r="23" spans="1:14" ht="110.25" customHeight="1">
      <c r="A23" s="114" t="s">
        <v>107</v>
      </c>
      <c r="B23" s="111"/>
      <c r="C23" s="115" t="s">
        <v>108</v>
      </c>
      <c r="D23" s="111"/>
      <c r="E23" s="115" t="s">
        <v>109</v>
      </c>
      <c r="F23" s="111"/>
      <c r="G23" s="116" t="s">
        <v>97</v>
      </c>
      <c r="H23" s="111"/>
      <c r="I23" s="115" t="s">
        <v>110</v>
      </c>
      <c r="J23" s="111"/>
      <c r="K23" s="118" t="s">
        <v>111</v>
      </c>
      <c r="L23" s="110"/>
      <c r="M23" s="117"/>
      <c r="N23" s="117" t="s">
        <v>112</v>
      </c>
    </row>
    <row r="24" spans="1:14">
      <c r="A24" s="44"/>
      <c r="B24" s="105"/>
      <c r="C24" s="105"/>
      <c r="D24" s="105"/>
      <c r="E24" s="105"/>
      <c r="F24" s="105"/>
      <c r="G24" s="105"/>
      <c r="H24" s="105"/>
      <c r="I24" s="105"/>
      <c r="J24" s="105"/>
      <c r="K24" s="105"/>
      <c r="L24" s="105"/>
      <c r="M24" s="105"/>
      <c r="N24" s="105"/>
    </row>
    <row r="25" spans="1:14">
      <c r="A25" s="85" t="s">
        <v>72</v>
      </c>
      <c r="B25" s="106"/>
      <c r="C25" s="106"/>
      <c r="D25" s="107" t="str">
        <f>A1</f>
        <v>Accesibilidad</v>
      </c>
      <c r="E25" s="108"/>
      <c r="F25" s="108"/>
      <c r="G25" s="108"/>
      <c r="H25" s="108"/>
      <c r="I25" s="108"/>
      <c r="J25" s="108"/>
      <c r="K25" s="108"/>
      <c r="L25" s="108"/>
      <c r="M25" s="108"/>
      <c r="N25" s="109"/>
    </row>
    <row r="26" spans="1:14">
      <c r="A26" s="85" t="s">
        <v>73</v>
      </c>
      <c r="B26" s="106"/>
      <c r="C26" s="106"/>
      <c r="D26" s="112" t="s">
        <v>29</v>
      </c>
      <c r="E26" s="108"/>
      <c r="F26" s="108"/>
      <c r="G26" s="108"/>
      <c r="H26" s="108"/>
      <c r="I26" s="108"/>
      <c r="J26" s="108"/>
      <c r="K26" s="108"/>
      <c r="L26" s="108"/>
      <c r="M26" s="108"/>
      <c r="N26" s="109"/>
    </row>
    <row r="27" spans="1:14">
      <c r="A27" s="87" t="s">
        <v>74</v>
      </c>
      <c r="B27" s="110"/>
      <c r="C27" s="111"/>
      <c r="D27" s="107" t="s">
        <v>113</v>
      </c>
      <c r="E27" s="108"/>
      <c r="F27" s="108"/>
      <c r="G27" s="108"/>
      <c r="H27" s="108"/>
      <c r="I27" s="108"/>
      <c r="J27" s="108"/>
      <c r="K27" s="108"/>
      <c r="L27" s="108"/>
      <c r="M27" s="108"/>
      <c r="N27" s="109"/>
    </row>
    <row r="28" spans="1:14">
      <c r="A28" s="87" t="s">
        <v>76</v>
      </c>
      <c r="B28" s="110"/>
      <c r="C28" s="111"/>
      <c r="D28" s="107" t="s">
        <v>114</v>
      </c>
      <c r="E28" s="108"/>
      <c r="F28" s="108"/>
      <c r="G28" s="108"/>
      <c r="H28" s="108"/>
      <c r="I28" s="108"/>
      <c r="J28" s="108"/>
      <c r="K28" s="108"/>
      <c r="L28" s="108"/>
      <c r="M28" s="108"/>
      <c r="N28" s="109"/>
    </row>
    <row r="29" spans="1:14">
      <c r="A29" s="87" t="s">
        <v>78</v>
      </c>
      <c r="B29" s="110"/>
      <c r="C29" s="111"/>
      <c r="D29" s="107" t="s">
        <v>79</v>
      </c>
      <c r="E29" s="108"/>
      <c r="F29" s="108"/>
      <c r="G29" s="108"/>
      <c r="H29" s="108"/>
      <c r="I29" s="108"/>
      <c r="J29" s="108"/>
      <c r="K29" s="108"/>
      <c r="L29" s="108"/>
      <c r="M29" s="108"/>
      <c r="N29" s="109"/>
    </row>
    <row r="30" spans="1:14" ht="30" customHeight="1">
      <c r="A30" s="87" t="s">
        <v>80</v>
      </c>
      <c r="B30" s="110"/>
      <c r="C30" s="111"/>
      <c r="D30" s="112" t="s">
        <v>115</v>
      </c>
      <c r="E30" s="108"/>
      <c r="F30" s="108"/>
      <c r="G30" s="108"/>
      <c r="H30" s="108"/>
      <c r="I30" s="108"/>
      <c r="J30" s="108"/>
      <c r="K30" s="108"/>
      <c r="L30" s="108"/>
      <c r="M30" s="108"/>
      <c r="N30" s="109"/>
    </row>
    <row r="31" spans="1:14" ht="47.25" customHeight="1">
      <c r="A31" s="87" t="s">
        <v>82</v>
      </c>
      <c r="B31" s="110"/>
      <c r="C31" s="111"/>
      <c r="D31" s="112" t="s">
        <v>116</v>
      </c>
      <c r="E31" s="108"/>
      <c r="F31" s="108"/>
      <c r="G31" s="108"/>
      <c r="H31" s="108"/>
      <c r="I31" s="108"/>
      <c r="J31" s="108"/>
      <c r="K31" s="108"/>
      <c r="L31" s="108"/>
      <c r="M31" s="108"/>
      <c r="N31" s="109"/>
    </row>
    <row r="32" spans="1:14" ht="38.25" customHeight="1">
      <c r="A32" s="87" t="s">
        <v>84</v>
      </c>
      <c r="B32" s="110"/>
      <c r="C32" s="111"/>
      <c r="D32" s="112" t="s">
        <v>117</v>
      </c>
      <c r="E32" s="108"/>
      <c r="F32" s="108"/>
      <c r="G32" s="108"/>
      <c r="H32" s="108"/>
      <c r="I32" s="108"/>
      <c r="J32" s="108"/>
      <c r="K32" s="108"/>
      <c r="L32" s="108"/>
      <c r="M32" s="108"/>
      <c r="N32" s="109"/>
    </row>
    <row r="33" spans="1:14" ht="15" customHeight="1">
      <c r="A33" s="86" t="s">
        <v>86</v>
      </c>
      <c r="B33" s="111"/>
      <c r="C33" s="88" t="s">
        <v>87</v>
      </c>
      <c r="D33" s="111"/>
      <c r="E33" s="89" t="s">
        <v>88</v>
      </c>
      <c r="F33" s="113"/>
      <c r="G33" s="89" t="s">
        <v>89</v>
      </c>
      <c r="H33" s="113"/>
      <c r="I33" s="89" t="s">
        <v>90</v>
      </c>
      <c r="J33" s="113"/>
      <c r="K33" s="89" t="s">
        <v>91</v>
      </c>
      <c r="L33" s="113"/>
      <c r="M33" s="47" t="s">
        <v>92</v>
      </c>
      <c r="N33" s="47" t="s">
        <v>93</v>
      </c>
    </row>
    <row r="34" spans="1:14" ht="115.5" customHeight="1">
      <c r="A34" s="114" t="s">
        <v>107</v>
      </c>
      <c r="B34" s="111"/>
      <c r="C34" s="115" t="s">
        <v>118</v>
      </c>
      <c r="D34" s="111"/>
      <c r="E34" s="115" t="s">
        <v>119</v>
      </c>
      <c r="F34" s="111"/>
      <c r="G34" s="116" t="s">
        <v>97</v>
      </c>
      <c r="H34" s="111"/>
      <c r="I34" s="115" t="s">
        <v>120</v>
      </c>
      <c r="J34" s="111"/>
      <c r="K34" s="118" t="s">
        <v>121</v>
      </c>
      <c r="L34" s="110"/>
      <c r="M34" s="117"/>
      <c r="N34" s="117" t="s">
        <v>100</v>
      </c>
    </row>
    <row r="35" spans="1:14" ht="15" customHeight="1">
      <c r="A35" s="44"/>
      <c r="B35" s="105"/>
      <c r="C35" s="105"/>
      <c r="D35" s="105"/>
      <c r="E35" s="105"/>
      <c r="F35" s="105"/>
      <c r="G35" s="105"/>
      <c r="H35" s="105"/>
      <c r="I35" s="105"/>
      <c r="J35" s="105"/>
      <c r="K35" s="105"/>
      <c r="L35" s="105"/>
      <c r="M35" s="105"/>
      <c r="N35" s="105"/>
    </row>
    <row r="36" spans="1:14">
      <c r="A36" s="85" t="s">
        <v>72</v>
      </c>
      <c r="B36" s="106"/>
      <c r="C36" s="106"/>
      <c r="D36" s="107" t="str">
        <f>A1</f>
        <v>Accesibilidad</v>
      </c>
      <c r="E36" s="108"/>
      <c r="F36" s="108"/>
      <c r="G36" s="108"/>
      <c r="H36" s="108"/>
      <c r="I36" s="108"/>
      <c r="J36" s="108"/>
      <c r="K36" s="108"/>
      <c r="L36" s="108"/>
      <c r="M36" s="108"/>
      <c r="N36" s="109"/>
    </row>
    <row r="37" spans="1:14">
      <c r="A37" s="85" t="s">
        <v>73</v>
      </c>
      <c r="B37" s="106"/>
      <c r="C37" s="106"/>
      <c r="D37" s="107" t="s">
        <v>31</v>
      </c>
      <c r="E37" s="108"/>
      <c r="F37" s="108"/>
      <c r="G37" s="108"/>
      <c r="H37" s="108"/>
      <c r="I37" s="108"/>
      <c r="J37" s="108"/>
      <c r="K37" s="108"/>
      <c r="L37" s="108"/>
      <c r="M37" s="108"/>
      <c r="N37" s="109"/>
    </row>
    <row r="38" spans="1:14">
      <c r="A38" s="87" t="s">
        <v>74</v>
      </c>
      <c r="B38" s="110"/>
      <c r="C38" s="111"/>
      <c r="D38" s="107" t="s">
        <v>122</v>
      </c>
      <c r="E38" s="108"/>
      <c r="F38" s="108"/>
      <c r="G38" s="108"/>
      <c r="H38" s="108"/>
      <c r="I38" s="108"/>
      <c r="J38" s="108"/>
      <c r="K38" s="108"/>
      <c r="L38" s="108"/>
      <c r="M38" s="108"/>
      <c r="N38" s="109"/>
    </row>
    <row r="39" spans="1:14">
      <c r="A39" s="87" t="s">
        <v>76</v>
      </c>
      <c r="B39" s="110"/>
      <c r="C39" s="111"/>
      <c r="D39" s="107" t="s">
        <v>123</v>
      </c>
      <c r="E39" s="108"/>
      <c r="F39" s="108"/>
      <c r="G39" s="108"/>
      <c r="H39" s="108"/>
      <c r="I39" s="108"/>
      <c r="J39" s="108"/>
      <c r="K39" s="108"/>
      <c r="L39" s="108"/>
      <c r="M39" s="108"/>
      <c r="N39" s="109"/>
    </row>
    <row r="40" spans="1:14">
      <c r="A40" s="87" t="s">
        <v>78</v>
      </c>
      <c r="B40" s="110"/>
      <c r="C40" s="111"/>
      <c r="D40" s="107" t="s">
        <v>103</v>
      </c>
      <c r="E40" s="108"/>
      <c r="F40" s="108"/>
      <c r="G40" s="108"/>
      <c r="H40" s="108"/>
      <c r="I40" s="108"/>
      <c r="J40" s="108"/>
      <c r="K40" s="108"/>
      <c r="L40" s="108"/>
      <c r="M40" s="108"/>
      <c r="N40" s="109"/>
    </row>
    <row r="41" spans="1:14" ht="33.75" customHeight="1">
      <c r="A41" s="87" t="s">
        <v>80</v>
      </c>
      <c r="B41" s="110"/>
      <c r="C41" s="111"/>
      <c r="D41" s="112" t="s">
        <v>124</v>
      </c>
      <c r="E41" s="108"/>
      <c r="F41" s="108"/>
      <c r="G41" s="108"/>
      <c r="H41" s="108"/>
      <c r="I41" s="108"/>
      <c r="J41" s="108"/>
      <c r="K41" s="108"/>
      <c r="L41" s="108"/>
      <c r="M41" s="108"/>
      <c r="N41" s="109"/>
    </row>
    <row r="42" spans="1:14" ht="68.25" customHeight="1">
      <c r="A42" s="87" t="s">
        <v>82</v>
      </c>
      <c r="B42" s="110"/>
      <c r="C42" s="111"/>
      <c r="D42" s="112" t="s">
        <v>125</v>
      </c>
      <c r="E42" s="108"/>
      <c r="F42" s="108"/>
      <c r="G42" s="108"/>
      <c r="H42" s="108"/>
      <c r="I42" s="108"/>
      <c r="J42" s="108"/>
      <c r="K42" s="108"/>
      <c r="L42" s="108"/>
      <c r="M42" s="108"/>
      <c r="N42" s="109"/>
    </row>
    <row r="43" spans="1:14" ht="54" customHeight="1">
      <c r="A43" s="87" t="s">
        <v>84</v>
      </c>
      <c r="B43" s="110"/>
      <c r="C43" s="111"/>
      <c r="D43" s="112" t="s">
        <v>126</v>
      </c>
      <c r="E43" s="108"/>
      <c r="F43" s="108"/>
      <c r="G43" s="108"/>
      <c r="H43" s="108"/>
      <c r="I43" s="108"/>
      <c r="J43" s="108"/>
      <c r="K43" s="108"/>
      <c r="L43" s="108"/>
      <c r="M43" s="108"/>
      <c r="N43" s="109"/>
    </row>
    <row r="44" spans="1:14">
      <c r="A44" s="86" t="s">
        <v>86</v>
      </c>
      <c r="B44" s="111"/>
      <c r="C44" s="88" t="s">
        <v>87</v>
      </c>
      <c r="D44" s="111"/>
      <c r="E44" s="89" t="s">
        <v>88</v>
      </c>
      <c r="F44" s="113"/>
      <c r="G44" s="89" t="s">
        <v>89</v>
      </c>
      <c r="H44" s="113"/>
      <c r="I44" s="89" t="s">
        <v>90</v>
      </c>
      <c r="J44" s="113"/>
      <c r="K44" s="89" t="s">
        <v>91</v>
      </c>
      <c r="L44" s="113"/>
      <c r="M44" s="47" t="s">
        <v>92</v>
      </c>
      <c r="N44" s="47" t="s">
        <v>93</v>
      </c>
    </row>
    <row r="45" spans="1:14" ht="113.25" customHeight="1">
      <c r="A45" s="114" t="s">
        <v>127</v>
      </c>
      <c r="B45" s="111"/>
      <c r="C45" s="115" t="s">
        <v>128</v>
      </c>
      <c r="D45" s="111"/>
      <c r="E45" s="116" t="s">
        <v>129</v>
      </c>
      <c r="F45" s="111"/>
      <c r="G45" s="116" t="s">
        <v>97</v>
      </c>
      <c r="H45" s="111"/>
      <c r="I45" s="115" t="s">
        <v>130</v>
      </c>
      <c r="J45" s="111"/>
      <c r="K45" s="115" t="s">
        <v>131</v>
      </c>
      <c r="L45" s="111"/>
      <c r="M45" s="117"/>
      <c r="N45" s="117" t="s">
        <v>112</v>
      </c>
    </row>
    <row r="46" spans="1:14">
      <c r="A46" s="44"/>
      <c r="B46" s="105"/>
      <c r="C46" s="105"/>
      <c r="D46" s="105"/>
      <c r="E46" s="105"/>
      <c r="F46" s="105"/>
      <c r="G46" s="105"/>
      <c r="H46" s="105"/>
      <c r="I46" s="105"/>
      <c r="J46" s="105"/>
      <c r="K46" s="105"/>
      <c r="L46" s="105"/>
      <c r="M46" s="105"/>
      <c r="N46" s="105"/>
    </row>
    <row r="47" spans="1:14">
      <c r="A47" s="85" t="s">
        <v>72</v>
      </c>
      <c r="B47" s="106"/>
      <c r="C47" s="106"/>
      <c r="D47" s="107" t="str">
        <f>A1</f>
        <v>Accesibilidad</v>
      </c>
      <c r="E47" s="108"/>
      <c r="F47" s="108"/>
      <c r="G47" s="108"/>
      <c r="H47" s="108"/>
      <c r="I47" s="108"/>
      <c r="J47" s="108"/>
      <c r="K47" s="108"/>
      <c r="L47" s="108"/>
      <c r="M47" s="108"/>
      <c r="N47" s="109"/>
    </row>
    <row r="48" spans="1:14">
      <c r="A48" s="85" t="s">
        <v>73</v>
      </c>
      <c r="B48" s="106"/>
      <c r="C48" s="106"/>
      <c r="D48" s="107" t="s">
        <v>32</v>
      </c>
      <c r="E48" s="108"/>
      <c r="F48" s="108"/>
      <c r="G48" s="108"/>
      <c r="H48" s="108"/>
      <c r="I48" s="108"/>
      <c r="J48" s="108"/>
      <c r="K48" s="108"/>
      <c r="L48" s="108"/>
      <c r="M48" s="108"/>
      <c r="N48" s="109"/>
    </row>
    <row r="49" spans="1:14">
      <c r="A49" s="87" t="s">
        <v>74</v>
      </c>
      <c r="B49" s="110"/>
      <c r="C49" s="111"/>
      <c r="D49" s="107" t="s">
        <v>132</v>
      </c>
      <c r="E49" s="108"/>
      <c r="F49" s="108"/>
      <c r="G49" s="108"/>
      <c r="H49" s="108"/>
      <c r="I49" s="108"/>
      <c r="J49" s="108"/>
      <c r="K49" s="108"/>
      <c r="L49" s="108"/>
      <c r="M49" s="108"/>
      <c r="N49" s="109"/>
    </row>
    <row r="50" spans="1:14">
      <c r="A50" s="87" t="s">
        <v>76</v>
      </c>
      <c r="B50" s="110"/>
      <c r="C50" s="111"/>
      <c r="D50" s="119" t="s">
        <v>133</v>
      </c>
      <c r="E50" s="120"/>
      <c r="F50" s="120"/>
      <c r="G50" s="120"/>
      <c r="H50" s="120"/>
      <c r="I50" s="120"/>
      <c r="J50" s="120"/>
      <c r="K50" s="120"/>
      <c r="L50" s="120"/>
      <c r="M50" s="120"/>
      <c r="N50" s="121"/>
    </row>
    <row r="51" spans="1:14">
      <c r="A51" s="87" t="s">
        <v>78</v>
      </c>
      <c r="B51" s="110"/>
      <c r="C51" s="111"/>
      <c r="D51" s="107" t="s">
        <v>79</v>
      </c>
      <c r="E51" s="108"/>
      <c r="F51" s="108"/>
      <c r="G51" s="108"/>
      <c r="H51" s="108"/>
      <c r="I51" s="108"/>
      <c r="J51" s="108"/>
      <c r="K51" s="108"/>
      <c r="L51" s="108"/>
      <c r="M51" s="108"/>
      <c r="N51" s="109"/>
    </row>
    <row r="52" spans="1:14" ht="30" customHeight="1">
      <c r="A52" s="87" t="s">
        <v>80</v>
      </c>
      <c r="B52" s="110"/>
      <c r="C52" s="111"/>
      <c r="D52" s="112" t="s">
        <v>134</v>
      </c>
      <c r="E52" s="108"/>
      <c r="F52" s="108"/>
      <c r="G52" s="108"/>
      <c r="H52" s="108"/>
      <c r="I52" s="108"/>
      <c r="J52" s="108"/>
      <c r="K52" s="108"/>
      <c r="L52" s="108"/>
      <c r="M52" s="108"/>
      <c r="N52" s="109"/>
    </row>
    <row r="53" spans="1:14" ht="51" customHeight="1">
      <c r="A53" s="87" t="s">
        <v>82</v>
      </c>
      <c r="B53" s="110"/>
      <c r="C53" s="111"/>
      <c r="D53" s="112" t="s">
        <v>135</v>
      </c>
      <c r="E53" s="108"/>
      <c r="F53" s="108"/>
      <c r="G53" s="108"/>
      <c r="H53" s="108"/>
      <c r="I53" s="108"/>
      <c r="J53" s="108"/>
      <c r="K53" s="108"/>
      <c r="L53" s="108"/>
      <c r="M53" s="108"/>
      <c r="N53" s="109"/>
    </row>
    <row r="54" spans="1:14" ht="38.25" customHeight="1">
      <c r="A54" s="87" t="s">
        <v>84</v>
      </c>
      <c r="B54" s="110"/>
      <c r="C54" s="111"/>
      <c r="D54" s="112" t="s">
        <v>136</v>
      </c>
      <c r="E54" s="108"/>
      <c r="F54" s="108"/>
      <c r="G54" s="108"/>
      <c r="H54" s="108"/>
      <c r="I54" s="108"/>
      <c r="J54" s="108"/>
      <c r="K54" s="108"/>
      <c r="L54" s="108"/>
      <c r="M54" s="108"/>
      <c r="N54" s="109"/>
    </row>
    <row r="55" spans="1:14">
      <c r="A55" s="86" t="s">
        <v>86</v>
      </c>
      <c r="B55" s="111"/>
      <c r="C55" s="88" t="s">
        <v>87</v>
      </c>
      <c r="D55" s="111"/>
      <c r="E55" s="89" t="s">
        <v>88</v>
      </c>
      <c r="F55" s="113"/>
      <c r="G55" s="89" t="s">
        <v>89</v>
      </c>
      <c r="H55" s="113"/>
      <c r="I55" s="89" t="s">
        <v>90</v>
      </c>
      <c r="J55" s="113"/>
      <c r="K55" s="89" t="s">
        <v>91</v>
      </c>
      <c r="L55" s="113"/>
      <c r="M55" s="47" t="s">
        <v>92</v>
      </c>
      <c r="N55" s="47" t="s">
        <v>93</v>
      </c>
    </row>
    <row r="56" spans="1:14" ht="144" customHeight="1">
      <c r="A56" s="114" t="s">
        <v>137</v>
      </c>
      <c r="B56" s="111"/>
      <c r="C56" s="115" t="s">
        <v>138</v>
      </c>
      <c r="D56" s="111"/>
      <c r="E56" s="116" t="s">
        <v>129</v>
      </c>
      <c r="F56" s="111"/>
      <c r="G56" s="116" t="s">
        <v>97</v>
      </c>
      <c r="H56" s="111"/>
      <c r="I56" s="115" t="s">
        <v>139</v>
      </c>
      <c r="J56" s="111"/>
      <c r="K56" s="118" t="s">
        <v>140</v>
      </c>
      <c r="L56" s="110"/>
      <c r="M56" s="117"/>
      <c r="N56" s="117" t="s">
        <v>100</v>
      </c>
    </row>
    <row r="57" spans="1:14">
      <c r="A57" s="44"/>
      <c r="B57" s="105"/>
      <c r="C57" s="105"/>
      <c r="D57" s="105"/>
      <c r="E57" s="105"/>
      <c r="F57" s="105"/>
      <c r="G57" s="105"/>
      <c r="H57" s="105"/>
      <c r="I57" s="105"/>
      <c r="J57" s="105"/>
      <c r="K57" s="105"/>
      <c r="L57" s="105"/>
      <c r="M57" s="105"/>
      <c r="N57" s="105"/>
    </row>
    <row r="58" spans="1:14">
      <c r="A58" s="85" t="s">
        <v>72</v>
      </c>
      <c r="B58" s="106"/>
      <c r="C58" s="106"/>
      <c r="D58" s="107" t="str">
        <f>A1</f>
        <v>Accesibilidad</v>
      </c>
      <c r="E58" s="108"/>
      <c r="F58" s="108"/>
      <c r="G58" s="108"/>
      <c r="H58" s="108"/>
      <c r="I58" s="108"/>
      <c r="J58" s="108"/>
      <c r="K58" s="108"/>
      <c r="L58" s="108"/>
      <c r="M58" s="108"/>
      <c r="N58" s="109"/>
    </row>
    <row r="59" spans="1:14">
      <c r="A59" s="85" t="s">
        <v>73</v>
      </c>
      <c r="B59" s="106"/>
      <c r="C59" s="106"/>
      <c r="D59" s="107" t="s">
        <v>32</v>
      </c>
      <c r="E59" s="108"/>
      <c r="F59" s="108"/>
      <c r="G59" s="108"/>
      <c r="H59" s="108"/>
      <c r="I59" s="108"/>
      <c r="J59" s="108"/>
      <c r="K59" s="108"/>
      <c r="L59" s="108"/>
      <c r="M59" s="108"/>
      <c r="N59" s="109"/>
    </row>
    <row r="60" spans="1:14">
      <c r="A60" s="87" t="s">
        <v>74</v>
      </c>
      <c r="B60" s="110"/>
      <c r="C60" s="111"/>
      <c r="D60" s="107" t="s">
        <v>141</v>
      </c>
      <c r="E60" s="108"/>
      <c r="F60" s="108"/>
      <c r="G60" s="108"/>
      <c r="H60" s="108"/>
      <c r="I60" s="108"/>
      <c r="J60" s="108"/>
      <c r="K60" s="108"/>
      <c r="L60" s="108"/>
      <c r="M60" s="108"/>
      <c r="N60" s="109"/>
    </row>
    <row r="61" spans="1:14">
      <c r="A61" s="87" t="s">
        <v>76</v>
      </c>
      <c r="B61" s="110"/>
      <c r="C61" s="111"/>
      <c r="D61" s="119" t="s">
        <v>142</v>
      </c>
      <c r="E61" s="120"/>
      <c r="F61" s="120"/>
      <c r="G61" s="120"/>
      <c r="H61" s="120"/>
      <c r="I61" s="120"/>
      <c r="J61" s="120"/>
      <c r="K61" s="120"/>
      <c r="L61" s="120"/>
      <c r="M61" s="120"/>
      <c r="N61" s="121"/>
    </row>
    <row r="62" spans="1:14">
      <c r="A62" s="87" t="s">
        <v>78</v>
      </c>
      <c r="B62" s="110"/>
      <c r="C62" s="111"/>
      <c r="D62" s="107" t="s">
        <v>103</v>
      </c>
      <c r="E62" s="108"/>
      <c r="F62" s="108"/>
      <c r="G62" s="108"/>
      <c r="H62" s="108"/>
      <c r="I62" s="108"/>
      <c r="J62" s="108"/>
      <c r="K62" s="108"/>
      <c r="L62" s="108"/>
      <c r="M62" s="108"/>
      <c r="N62" s="109"/>
    </row>
    <row r="63" spans="1:14" ht="38.25" customHeight="1">
      <c r="A63" s="87" t="s">
        <v>80</v>
      </c>
      <c r="B63" s="110"/>
      <c r="C63" s="111"/>
      <c r="D63" s="112" t="s">
        <v>143</v>
      </c>
      <c r="E63" s="108"/>
      <c r="F63" s="108"/>
      <c r="G63" s="108"/>
      <c r="H63" s="108"/>
      <c r="I63" s="108"/>
      <c r="J63" s="108"/>
      <c r="K63" s="108"/>
      <c r="L63" s="108"/>
      <c r="M63" s="108"/>
      <c r="N63" s="109"/>
    </row>
    <row r="64" spans="1:14" ht="46.5" customHeight="1">
      <c r="A64" s="87" t="s">
        <v>82</v>
      </c>
      <c r="B64" s="110"/>
      <c r="C64" s="111"/>
      <c r="D64" s="112" t="s">
        <v>144</v>
      </c>
      <c r="E64" s="108"/>
      <c r="F64" s="108"/>
      <c r="G64" s="108"/>
      <c r="H64" s="108"/>
      <c r="I64" s="108"/>
      <c r="J64" s="108"/>
      <c r="K64" s="108"/>
      <c r="L64" s="108"/>
      <c r="M64" s="108"/>
      <c r="N64" s="109"/>
    </row>
    <row r="65" spans="1:14" ht="31.5" customHeight="1">
      <c r="A65" s="87" t="s">
        <v>84</v>
      </c>
      <c r="B65" s="110"/>
      <c r="C65" s="111"/>
      <c r="D65" s="112" t="s">
        <v>145</v>
      </c>
      <c r="E65" s="108"/>
      <c r="F65" s="108"/>
      <c r="G65" s="108"/>
      <c r="H65" s="108"/>
      <c r="I65" s="108"/>
      <c r="J65" s="108"/>
      <c r="K65" s="108"/>
      <c r="L65" s="108"/>
      <c r="M65" s="108"/>
      <c r="N65" s="109"/>
    </row>
    <row r="66" spans="1:14">
      <c r="A66" s="86" t="s">
        <v>86</v>
      </c>
      <c r="B66" s="111"/>
      <c r="C66" s="88" t="s">
        <v>87</v>
      </c>
      <c r="D66" s="111"/>
      <c r="E66" s="89" t="s">
        <v>88</v>
      </c>
      <c r="F66" s="113"/>
      <c r="G66" s="89" t="s">
        <v>89</v>
      </c>
      <c r="H66" s="113"/>
      <c r="I66" s="89" t="s">
        <v>90</v>
      </c>
      <c r="J66" s="113"/>
      <c r="K66" s="89" t="s">
        <v>91</v>
      </c>
      <c r="L66" s="113"/>
      <c r="M66" s="47" t="s">
        <v>92</v>
      </c>
      <c r="N66" s="47" t="s">
        <v>93</v>
      </c>
    </row>
    <row r="67" spans="1:14" ht="149.25" customHeight="1">
      <c r="A67" s="114" t="s">
        <v>107</v>
      </c>
      <c r="B67" s="111"/>
      <c r="C67" s="115" t="s">
        <v>146</v>
      </c>
      <c r="D67" s="111"/>
      <c r="E67" s="116" t="s">
        <v>129</v>
      </c>
      <c r="F67" s="111"/>
      <c r="G67" s="116" t="s">
        <v>97</v>
      </c>
      <c r="H67" s="111"/>
      <c r="I67" s="115" t="s">
        <v>147</v>
      </c>
      <c r="J67" s="111"/>
      <c r="K67" s="118" t="s">
        <v>148</v>
      </c>
      <c r="L67" s="110"/>
      <c r="M67" s="117"/>
      <c r="N67" s="117" t="s">
        <v>112</v>
      </c>
    </row>
    <row r="69" spans="1:14">
      <c r="A69" s="122"/>
      <c r="B69" s="122"/>
      <c r="C69" s="122"/>
      <c r="D69" s="122"/>
      <c r="E69" s="122"/>
      <c r="F69" s="122"/>
      <c r="G69" s="122"/>
      <c r="H69" s="122"/>
      <c r="I69" s="122"/>
      <c r="J69" s="122"/>
      <c r="K69" s="122"/>
      <c r="L69" s="122"/>
      <c r="M69" s="122"/>
      <c r="N69" s="122"/>
    </row>
    <row r="70" spans="1:14">
      <c r="A70" s="122"/>
      <c r="B70" s="122"/>
      <c r="C70" s="122"/>
      <c r="D70" s="122"/>
      <c r="E70" s="122"/>
      <c r="F70" s="122"/>
      <c r="G70" s="122"/>
      <c r="H70" s="122"/>
      <c r="I70" s="122"/>
      <c r="J70" s="122"/>
      <c r="K70" s="122"/>
      <c r="L70" s="122"/>
      <c r="M70" s="122"/>
      <c r="N70" s="122"/>
    </row>
    <row r="71" spans="1:14">
      <c r="A71" s="122"/>
      <c r="B71" s="122"/>
      <c r="C71" s="122"/>
      <c r="D71" s="122"/>
      <c r="E71" s="122"/>
      <c r="F71" s="122"/>
      <c r="G71" s="122"/>
      <c r="H71" s="122"/>
      <c r="I71" s="122"/>
      <c r="J71" s="122"/>
      <c r="K71" s="122"/>
      <c r="L71" s="122"/>
      <c r="M71" s="122"/>
      <c r="N71" s="122"/>
    </row>
    <row r="72" spans="1:14">
      <c r="A72" s="122"/>
      <c r="B72" s="122"/>
      <c r="C72" s="122"/>
      <c r="D72" s="122"/>
      <c r="E72" s="122"/>
      <c r="F72" s="122"/>
      <c r="G72" s="122"/>
      <c r="H72" s="122"/>
      <c r="I72" s="122"/>
      <c r="J72" s="122"/>
      <c r="K72" s="122"/>
      <c r="L72" s="122"/>
      <c r="M72" s="122"/>
      <c r="N72" s="122"/>
    </row>
    <row r="73" spans="1:14">
      <c r="A73" s="122"/>
      <c r="B73" s="122"/>
      <c r="C73" s="122"/>
      <c r="D73" s="122"/>
      <c r="E73" s="122"/>
      <c r="F73" s="122"/>
      <c r="G73" s="122"/>
      <c r="H73" s="122"/>
      <c r="I73" s="122"/>
      <c r="J73" s="122"/>
      <c r="K73" s="122"/>
      <c r="L73" s="122"/>
      <c r="M73" s="122"/>
      <c r="N73" s="122"/>
    </row>
    <row r="74" spans="1:14" ht="15" customHeight="1">
      <c r="A74" s="122"/>
      <c r="B74" s="122"/>
      <c r="C74" s="122"/>
      <c r="D74" s="122"/>
      <c r="E74" s="122"/>
      <c r="F74" s="122"/>
      <c r="G74" s="122"/>
      <c r="H74" s="122"/>
      <c r="I74" s="122"/>
      <c r="J74" s="122"/>
      <c r="K74" s="122"/>
      <c r="L74" s="122"/>
      <c r="M74" s="122"/>
      <c r="N74" s="122"/>
    </row>
    <row r="75" spans="1:14" ht="30" customHeight="1">
      <c r="A75" s="122"/>
      <c r="B75" s="122"/>
      <c r="C75" s="122"/>
      <c r="D75" s="122"/>
      <c r="E75" s="122"/>
      <c r="F75" s="122"/>
      <c r="G75" s="122"/>
      <c r="H75" s="122"/>
      <c r="I75" s="122"/>
      <c r="J75" s="122"/>
      <c r="K75" s="122"/>
      <c r="L75" s="122"/>
      <c r="M75" s="122"/>
      <c r="N75" s="122"/>
    </row>
    <row r="76" spans="1:14" ht="36" customHeight="1">
      <c r="A76" s="122"/>
      <c r="B76" s="122"/>
      <c r="C76" s="122"/>
      <c r="D76" s="122"/>
      <c r="E76" s="122"/>
      <c r="F76" s="122"/>
      <c r="G76" s="122"/>
      <c r="H76" s="122"/>
      <c r="I76" s="122"/>
      <c r="J76" s="122"/>
      <c r="K76" s="122"/>
      <c r="L76" s="122"/>
      <c r="M76" s="122"/>
      <c r="N76" s="122"/>
    </row>
    <row r="77" spans="1:14" ht="15" customHeight="1">
      <c r="A77" s="122"/>
      <c r="B77" s="122"/>
      <c r="C77" s="122"/>
      <c r="D77" s="122"/>
      <c r="E77" s="122"/>
      <c r="F77" s="122"/>
      <c r="G77" s="122"/>
      <c r="H77" s="122"/>
      <c r="I77" s="122"/>
      <c r="J77" s="122"/>
      <c r="K77" s="122"/>
      <c r="L77" s="122"/>
      <c r="M77" s="105"/>
      <c r="N77" s="105"/>
    </row>
    <row r="78" spans="1:14" ht="95.25" customHeight="1">
      <c r="A78" s="122"/>
      <c r="B78" s="122"/>
      <c r="C78" s="122"/>
      <c r="D78" s="122"/>
      <c r="E78" s="122"/>
      <c r="F78" s="122"/>
      <c r="G78" s="122"/>
      <c r="H78" s="122"/>
      <c r="I78" s="122"/>
      <c r="J78" s="122"/>
      <c r="K78" s="122"/>
      <c r="L78" s="122"/>
      <c r="M78" s="105"/>
      <c r="N78" s="105"/>
    </row>
    <row r="80" spans="1:14">
      <c r="A80" s="122"/>
      <c r="B80" s="122"/>
      <c r="C80" s="122"/>
      <c r="D80" s="122"/>
      <c r="E80" s="122"/>
      <c r="F80" s="122"/>
      <c r="G80" s="122"/>
      <c r="H80" s="122"/>
      <c r="I80" s="122"/>
      <c r="J80" s="122"/>
      <c r="K80" s="122"/>
      <c r="L80" s="122"/>
      <c r="M80" s="122"/>
      <c r="N80" s="122"/>
    </row>
    <row r="81" spans="1:14">
      <c r="A81" s="122"/>
      <c r="B81" s="122"/>
      <c r="C81" s="122"/>
      <c r="D81" s="122"/>
      <c r="E81" s="122"/>
      <c r="F81" s="122"/>
      <c r="G81" s="122"/>
      <c r="H81" s="122"/>
      <c r="I81" s="122"/>
      <c r="J81" s="122"/>
      <c r="K81" s="122"/>
      <c r="L81" s="122"/>
      <c r="M81" s="122"/>
      <c r="N81" s="122"/>
    </row>
    <row r="82" spans="1:14">
      <c r="A82" s="122"/>
      <c r="B82" s="122"/>
      <c r="C82" s="122"/>
      <c r="D82" s="122"/>
      <c r="E82" s="122"/>
      <c r="F82" s="122"/>
      <c r="G82" s="122"/>
      <c r="H82" s="122"/>
      <c r="I82" s="122"/>
      <c r="J82" s="122"/>
      <c r="K82" s="122"/>
      <c r="L82" s="122"/>
      <c r="M82" s="122"/>
      <c r="N82" s="122"/>
    </row>
    <row r="83" spans="1:14">
      <c r="A83" s="122"/>
      <c r="B83" s="122"/>
      <c r="C83" s="122"/>
      <c r="D83" s="122"/>
      <c r="E83" s="122"/>
      <c r="F83" s="122"/>
      <c r="G83" s="122"/>
      <c r="H83" s="122"/>
      <c r="I83" s="122"/>
      <c r="J83" s="122"/>
      <c r="K83" s="122"/>
      <c r="L83" s="122"/>
      <c r="M83" s="122"/>
      <c r="N83" s="122"/>
    </row>
    <row r="84" spans="1:14">
      <c r="A84" s="122"/>
      <c r="B84" s="122"/>
      <c r="C84" s="122"/>
      <c r="D84" s="122"/>
      <c r="E84" s="122"/>
      <c r="F84" s="122"/>
      <c r="G84" s="122"/>
      <c r="H84" s="122"/>
      <c r="I84" s="122"/>
      <c r="J84" s="122"/>
      <c r="K84" s="122"/>
      <c r="L84" s="122"/>
      <c r="M84" s="122"/>
      <c r="N84" s="122"/>
    </row>
    <row r="85" spans="1:14" ht="15" customHeight="1">
      <c r="A85" s="122"/>
      <c r="B85" s="122"/>
      <c r="C85" s="122"/>
      <c r="D85" s="122"/>
      <c r="E85" s="122"/>
      <c r="F85" s="122"/>
      <c r="G85" s="122"/>
      <c r="H85" s="122"/>
      <c r="I85" s="122"/>
      <c r="J85" s="122"/>
      <c r="K85" s="122"/>
      <c r="L85" s="122"/>
      <c r="M85" s="122"/>
      <c r="N85" s="122"/>
    </row>
    <row r="86" spans="1:14" ht="30" customHeight="1">
      <c r="A86" s="122"/>
      <c r="B86" s="122"/>
      <c r="C86" s="122"/>
      <c r="D86" s="122"/>
      <c r="E86" s="122"/>
      <c r="F86" s="122"/>
      <c r="G86" s="122"/>
      <c r="H86" s="122"/>
      <c r="I86" s="122"/>
      <c r="J86" s="122"/>
      <c r="K86" s="122"/>
      <c r="L86" s="122"/>
      <c r="M86" s="122"/>
      <c r="N86" s="122"/>
    </row>
    <row r="87" spans="1:14" ht="34.5" customHeight="1">
      <c r="A87" s="122"/>
      <c r="B87" s="122"/>
      <c r="C87" s="122"/>
      <c r="D87" s="122"/>
      <c r="E87" s="122"/>
      <c r="F87" s="122"/>
      <c r="G87" s="122"/>
      <c r="H87" s="122"/>
      <c r="I87" s="122"/>
      <c r="J87" s="122"/>
      <c r="K87" s="122"/>
      <c r="L87" s="122"/>
      <c r="M87" s="122"/>
      <c r="N87" s="122"/>
    </row>
    <row r="88" spans="1:14">
      <c r="A88" s="122"/>
      <c r="B88" s="122"/>
      <c r="C88" s="122"/>
      <c r="D88" s="122"/>
      <c r="E88" s="122"/>
      <c r="F88" s="122"/>
      <c r="G88" s="122"/>
      <c r="H88" s="122"/>
      <c r="I88" s="122"/>
      <c r="J88" s="122"/>
      <c r="K88" s="122"/>
      <c r="L88" s="122"/>
      <c r="M88" s="105"/>
      <c r="N88" s="105"/>
    </row>
    <row r="89" spans="1:14" ht="126.75" customHeight="1">
      <c r="A89" s="122"/>
      <c r="B89" s="122"/>
      <c r="C89" s="122"/>
      <c r="D89" s="122"/>
      <c r="E89" s="122"/>
      <c r="F89" s="122"/>
      <c r="G89" s="122"/>
      <c r="H89" s="122"/>
      <c r="I89" s="122"/>
      <c r="J89" s="122"/>
      <c r="K89" s="122"/>
      <c r="L89" s="122"/>
      <c r="M89" s="105"/>
      <c r="N89" s="105"/>
    </row>
    <row r="92" spans="1:14">
      <c r="A92" s="122"/>
      <c r="B92" s="122"/>
      <c r="C92" s="122"/>
      <c r="D92" s="122"/>
      <c r="E92" s="122"/>
      <c r="F92" s="122"/>
      <c r="G92" s="122"/>
      <c r="H92" s="122"/>
      <c r="I92" s="122"/>
      <c r="J92" s="122"/>
      <c r="K92" s="122"/>
      <c r="L92" s="122"/>
      <c r="M92" s="122"/>
      <c r="N92" s="122"/>
    </row>
    <row r="93" spans="1:14">
      <c r="A93" s="122"/>
      <c r="B93" s="122"/>
      <c r="C93" s="122"/>
      <c r="D93" s="122"/>
      <c r="E93" s="122"/>
      <c r="F93" s="122"/>
      <c r="G93" s="122"/>
      <c r="H93" s="122"/>
      <c r="I93" s="122"/>
      <c r="J93" s="122"/>
      <c r="K93" s="122"/>
      <c r="L93" s="122"/>
      <c r="M93" s="122"/>
      <c r="N93" s="122"/>
    </row>
    <row r="94" spans="1:14">
      <c r="A94" s="122"/>
      <c r="B94" s="122"/>
      <c r="C94" s="122"/>
      <c r="D94" s="122"/>
      <c r="E94" s="122"/>
      <c r="F94" s="122"/>
      <c r="G94" s="122"/>
      <c r="H94" s="122"/>
      <c r="I94" s="122"/>
      <c r="J94" s="122"/>
      <c r="K94" s="122"/>
      <c r="L94" s="122"/>
      <c r="M94" s="122"/>
      <c r="N94" s="122"/>
    </row>
    <row r="95" spans="1:14">
      <c r="A95" s="122"/>
      <c r="B95" s="122"/>
      <c r="C95" s="122"/>
      <c r="D95" s="122"/>
      <c r="E95" s="122"/>
      <c r="F95" s="122"/>
      <c r="G95" s="122"/>
      <c r="H95" s="122"/>
      <c r="I95" s="122"/>
      <c r="J95" s="122"/>
      <c r="K95" s="122"/>
      <c r="L95" s="122"/>
      <c r="M95" s="122"/>
      <c r="N95" s="122"/>
    </row>
    <row r="96" spans="1:14">
      <c r="A96" s="122"/>
      <c r="B96" s="122"/>
      <c r="C96" s="122"/>
      <c r="D96" s="122"/>
      <c r="E96" s="122"/>
      <c r="F96" s="122"/>
      <c r="G96" s="122"/>
      <c r="H96" s="122"/>
      <c r="I96" s="122"/>
      <c r="J96" s="122"/>
      <c r="K96" s="122"/>
      <c r="L96" s="122"/>
      <c r="M96" s="122"/>
      <c r="N96" s="122"/>
    </row>
    <row r="97" spans="1:14">
      <c r="A97" s="122"/>
      <c r="B97" s="122"/>
      <c r="C97" s="122"/>
      <c r="D97" s="122"/>
      <c r="E97" s="122"/>
      <c r="F97" s="122"/>
      <c r="G97" s="122"/>
      <c r="H97" s="122"/>
      <c r="I97" s="122"/>
      <c r="J97" s="122"/>
      <c r="K97" s="122"/>
      <c r="L97" s="122"/>
      <c r="M97" s="122"/>
      <c r="N97" s="122"/>
    </row>
    <row r="98" spans="1:14" ht="54" customHeight="1">
      <c r="A98" s="122"/>
      <c r="B98" s="122"/>
      <c r="C98" s="122"/>
      <c r="D98" s="122"/>
      <c r="E98" s="122"/>
      <c r="F98" s="122"/>
      <c r="G98" s="122"/>
      <c r="H98" s="122"/>
      <c r="I98" s="122"/>
      <c r="J98" s="122"/>
      <c r="K98" s="122"/>
      <c r="L98" s="122"/>
      <c r="M98" s="122"/>
      <c r="N98" s="122"/>
    </row>
    <row r="99" spans="1:14" ht="20.25" customHeight="1">
      <c r="A99" s="122"/>
      <c r="B99" s="122"/>
      <c r="C99" s="122"/>
      <c r="D99" s="122"/>
      <c r="E99" s="122"/>
      <c r="F99" s="122"/>
      <c r="G99" s="122"/>
      <c r="H99" s="122"/>
      <c r="I99" s="122"/>
      <c r="J99" s="122"/>
      <c r="K99" s="122"/>
      <c r="L99" s="122"/>
      <c r="M99" s="122"/>
      <c r="N99" s="122"/>
    </row>
    <row r="100" spans="1:14">
      <c r="A100" s="122"/>
      <c r="B100" s="122"/>
      <c r="C100" s="122"/>
      <c r="D100" s="122"/>
      <c r="E100" s="122"/>
      <c r="F100" s="122"/>
      <c r="G100" s="122"/>
      <c r="H100" s="122"/>
      <c r="I100" s="122"/>
      <c r="J100" s="122"/>
      <c r="K100" s="122"/>
      <c r="L100" s="122"/>
      <c r="M100" s="105"/>
      <c r="N100" s="105"/>
    </row>
    <row r="101" spans="1:14" ht="92.25" customHeight="1">
      <c r="A101" s="122"/>
      <c r="B101" s="122"/>
      <c r="C101" s="122"/>
      <c r="D101" s="122"/>
      <c r="E101" s="122"/>
      <c r="F101" s="122"/>
      <c r="G101" s="122"/>
      <c r="H101" s="122"/>
      <c r="I101" s="122"/>
      <c r="J101" s="122"/>
      <c r="K101" s="122"/>
      <c r="L101" s="122"/>
      <c r="M101" s="105"/>
      <c r="N101" s="105"/>
    </row>
    <row r="103" spans="1:14">
      <c r="A103" s="122"/>
      <c r="B103" s="122"/>
      <c r="C103" s="122"/>
      <c r="D103" s="122"/>
      <c r="E103" s="122"/>
      <c r="F103" s="122"/>
      <c r="G103" s="122"/>
      <c r="H103" s="122"/>
      <c r="I103" s="122"/>
      <c r="J103" s="122"/>
      <c r="K103" s="122"/>
      <c r="L103" s="122"/>
      <c r="M103" s="122"/>
      <c r="N103" s="122"/>
    </row>
    <row r="104" spans="1:14">
      <c r="A104" s="122"/>
      <c r="B104" s="122"/>
      <c r="C104" s="122"/>
      <c r="D104" s="122"/>
      <c r="E104" s="122"/>
      <c r="F104" s="122"/>
      <c r="G104" s="122"/>
      <c r="H104" s="122"/>
      <c r="I104" s="122"/>
      <c r="J104" s="122"/>
      <c r="K104" s="122"/>
      <c r="L104" s="122"/>
      <c r="M104" s="122"/>
      <c r="N104" s="122"/>
    </row>
    <row r="105" spans="1:14">
      <c r="A105" s="122"/>
      <c r="B105" s="122"/>
      <c r="C105" s="122"/>
      <c r="D105" s="122"/>
      <c r="E105" s="122"/>
      <c r="F105" s="122"/>
      <c r="G105" s="122"/>
      <c r="H105" s="122"/>
      <c r="I105" s="122"/>
      <c r="J105" s="122"/>
      <c r="K105" s="122"/>
      <c r="L105" s="122"/>
      <c r="M105" s="122"/>
      <c r="N105" s="122"/>
    </row>
    <row r="106" spans="1:14">
      <c r="A106" s="122"/>
      <c r="B106" s="122"/>
      <c r="C106" s="122"/>
      <c r="D106" s="122"/>
      <c r="E106" s="122"/>
      <c r="F106" s="122"/>
      <c r="G106" s="122"/>
      <c r="H106" s="122"/>
      <c r="I106" s="122"/>
      <c r="J106" s="122"/>
      <c r="K106" s="122"/>
      <c r="L106" s="122"/>
      <c r="M106" s="122"/>
      <c r="N106" s="122"/>
    </row>
    <row r="107" spans="1:14">
      <c r="A107" s="122"/>
      <c r="B107" s="122"/>
      <c r="C107" s="122"/>
      <c r="D107" s="122"/>
      <c r="E107" s="122"/>
      <c r="F107" s="122"/>
      <c r="G107" s="122"/>
      <c r="H107" s="122"/>
      <c r="I107" s="122"/>
      <c r="J107" s="122"/>
      <c r="K107" s="122"/>
      <c r="L107" s="122"/>
      <c r="M107" s="122"/>
      <c r="N107" s="122"/>
    </row>
    <row r="108" spans="1:14" ht="22.5" customHeight="1">
      <c r="A108" s="122"/>
      <c r="B108" s="122"/>
      <c r="C108" s="122"/>
      <c r="D108" s="122"/>
      <c r="E108" s="122"/>
      <c r="F108" s="122"/>
      <c r="G108" s="122"/>
      <c r="H108" s="122"/>
      <c r="I108" s="122"/>
      <c r="J108" s="122"/>
      <c r="K108" s="122"/>
      <c r="L108" s="122"/>
      <c r="M108" s="122"/>
      <c r="N108" s="122"/>
    </row>
    <row r="109" spans="1:14" ht="36" customHeight="1">
      <c r="A109" s="122"/>
      <c r="B109" s="122"/>
      <c r="C109" s="122"/>
      <c r="D109" s="122"/>
      <c r="E109" s="122"/>
      <c r="F109" s="122"/>
      <c r="G109" s="122"/>
      <c r="H109" s="122"/>
      <c r="I109" s="122"/>
      <c r="J109" s="122"/>
      <c r="K109" s="122"/>
      <c r="L109" s="122"/>
      <c r="M109" s="122"/>
      <c r="N109" s="122"/>
    </row>
    <row r="110" spans="1:14">
      <c r="A110" s="122"/>
      <c r="B110" s="122"/>
      <c r="C110" s="122"/>
      <c r="D110" s="122"/>
      <c r="E110" s="122"/>
      <c r="F110" s="122"/>
      <c r="G110" s="122"/>
      <c r="H110" s="122"/>
      <c r="I110" s="122"/>
      <c r="J110" s="122"/>
      <c r="K110" s="122"/>
      <c r="L110" s="122"/>
      <c r="M110" s="122"/>
      <c r="N110" s="122"/>
    </row>
    <row r="111" spans="1:14">
      <c r="A111" s="122"/>
      <c r="B111" s="122"/>
      <c r="C111" s="122"/>
      <c r="D111" s="122"/>
      <c r="E111" s="122"/>
      <c r="F111" s="122"/>
      <c r="G111" s="122"/>
      <c r="H111" s="122"/>
      <c r="I111" s="122"/>
      <c r="J111" s="122"/>
      <c r="K111" s="122"/>
      <c r="L111" s="122"/>
      <c r="M111" s="105"/>
      <c r="N111" s="105"/>
    </row>
    <row r="112" spans="1:14" ht="80.25" customHeight="1">
      <c r="A112" s="122"/>
      <c r="B112" s="122"/>
      <c r="C112" s="122"/>
      <c r="D112" s="122"/>
      <c r="E112" s="122"/>
      <c r="F112" s="122"/>
      <c r="G112" s="122"/>
      <c r="H112" s="122"/>
      <c r="I112" s="122"/>
      <c r="J112" s="122"/>
      <c r="K112" s="122"/>
      <c r="L112" s="122"/>
      <c r="M112" s="105"/>
      <c r="N112" s="105"/>
    </row>
    <row r="113" s="43" customFormat="1"/>
    <row r="114" s="43" customFormat="1"/>
    <row r="115" s="43" customFormat="1"/>
    <row r="116" s="43" customFormat="1"/>
    <row r="117" s="43" customFormat="1"/>
    <row r="118" s="43" customFormat="1"/>
    <row r="119" s="43" customFormat="1"/>
    <row r="120" s="43" customFormat="1"/>
    <row r="121" s="43" customFormat="1"/>
    <row r="122" s="43" customFormat="1"/>
    <row r="123" s="43" customFormat="1"/>
    <row r="124" s="43" customFormat="1"/>
    <row r="125" s="43" customFormat="1"/>
    <row r="126" s="43" customFormat="1"/>
    <row r="127" s="43" customFormat="1"/>
    <row r="128" s="43" customFormat="1"/>
    <row r="129" s="43" customFormat="1"/>
    <row r="130" s="43" customFormat="1"/>
    <row r="131" s="43" customFormat="1"/>
    <row r="141" s="43" customFormat="1"/>
    <row r="151" s="43" customFormat="1"/>
    <row r="152" s="43" customFormat="1"/>
    <row r="153" s="43" customFormat="1"/>
    <row r="163" s="43" customFormat="1"/>
    <row r="164" s="43" customFormat="1"/>
    <row r="174" s="43" customFormat="1"/>
    <row r="177" s="43" customFormat="1"/>
  </sheetData>
  <mergeCells count="280">
    <mergeCell ref="D109:N109"/>
    <mergeCell ref="C66:D66"/>
    <mergeCell ref="E66:F66"/>
    <mergeCell ref="D38:N38"/>
    <mergeCell ref="D98:N98"/>
    <mergeCell ref="A109:C109"/>
    <mergeCell ref="A104:C104"/>
    <mergeCell ref="A100:B100"/>
    <mergeCell ref="D59:N59"/>
    <mergeCell ref="D20:N20"/>
    <mergeCell ref="A80:C80"/>
    <mergeCell ref="D60:N60"/>
    <mergeCell ref="A37:C37"/>
    <mergeCell ref="I89:J89"/>
    <mergeCell ref="K33:L33"/>
    <mergeCell ref="K89:L89"/>
    <mergeCell ref="D7:N7"/>
    <mergeCell ref="D87:N87"/>
    <mergeCell ref="E111:F111"/>
    <mergeCell ref="C89:D89"/>
    <mergeCell ref="E23:F23"/>
    <mergeCell ref="A21:C21"/>
    <mergeCell ref="A88:B88"/>
    <mergeCell ref="G23:H23"/>
    <mergeCell ref="D84:N84"/>
    <mergeCell ref="A105:C105"/>
    <mergeCell ref="A26:C26"/>
    <mergeCell ref="K88:L88"/>
    <mergeCell ref="D31:N31"/>
    <mergeCell ref="A71:C71"/>
    <mergeCell ref="A83:C83"/>
    <mergeCell ref="E101:F101"/>
    <mergeCell ref="K101:L101"/>
    <mergeCell ref="A110:C110"/>
    <mergeCell ref="A111:B111"/>
    <mergeCell ref="C111:D111"/>
    <mergeCell ref="D50:N50"/>
    <mergeCell ref="I77:J77"/>
    <mergeCell ref="A75:C75"/>
    <mergeCell ref="E55:F55"/>
    <mergeCell ref="A6:C6"/>
    <mergeCell ref="D73:N73"/>
    <mergeCell ref="D51:N51"/>
    <mergeCell ref="E22:F22"/>
    <mergeCell ref="G44:H44"/>
    <mergeCell ref="D42:N42"/>
    <mergeCell ref="G22:H22"/>
    <mergeCell ref="A69:C69"/>
    <mergeCell ref="K78:L78"/>
    <mergeCell ref="D26:N26"/>
    <mergeCell ref="E12:F12"/>
    <mergeCell ref="G12:H12"/>
    <mergeCell ref="G77:H77"/>
    <mergeCell ref="D6:N6"/>
    <mergeCell ref="D21:N21"/>
    <mergeCell ref="G66:H66"/>
    <mergeCell ref="I66:J66"/>
    <mergeCell ref="A56:B56"/>
    <mergeCell ref="C56:D56"/>
    <mergeCell ref="D70:N70"/>
    <mergeCell ref="A43:C43"/>
    <mergeCell ref="D48:N48"/>
    <mergeCell ref="A52:C52"/>
    <mergeCell ref="E34:F34"/>
    <mergeCell ref="A3:C3"/>
    <mergeCell ref="D99:N99"/>
    <mergeCell ref="K55:L55"/>
    <mergeCell ref="A95:C95"/>
    <mergeCell ref="D36:N36"/>
    <mergeCell ref="A5:C5"/>
    <mergeCell ref="A32:C32"/>
    <mergeCell ref="A14:C14"/>
    <mergeCell ref="A15:C15"/>
    <mergeCell ref="G88:H88"/>
    <mergeCell ref="A73:C73"/>
    <mergeCell ref="I88:J88"/>
    <mergeCell ref="A51:C51"/>
    <mergeCell ref="D9:N9"/>
    <mergeCell ref="A82:C82"/>
    <mergeCell ref="A60:C60"/>
    <mergeCell ref="D15:N15"/>
    <mergeCell ref="K66:L66"/>
    <mergeCell ref="D4:N4"/>
    <mergeCell ref="D62:N62"/>
    <mergeCell ref="D71:N71"/>
    <mergeCell ref="A22:B22"/>
    <mergeCell ref="I44:J44"/>
    <mergeCell ref="D58:N58"/>
    <mergeCell ref="G112:H112"/>
    <mergeCell ref="A97:C97"/>
    <mergeCell ref="I112:J112"/>
    <mergeCell ref="A89:B89"/>
    <mergeCell ref="A106:C106"/>
    <mergeCell ref="A29:C29"/>
    <mergeCell ref="A4:C4"/>
    <mergeCell ref="A81:C81"/>
    <mergeCell ref="A96:C96"/>
    <mergeCell ref="I56:J56"/>
    <mergeCell ref="A38:C38"/>
    <mergeCell ref="D61:N61"/>
    <mergeCell ref="K56:L56"/>
    <mergeCell ref="D75:N75"/>
    <mergeCell ref="D53:N53"/>
    <mergeCell ref="D47:N47"/>
    <mergeCell ref="I111:J111"/>
    <mergeCell ref="A31:C31"/>
    <mergeCell ref="G33:H33"/>
    <mergeCell ref="A58:C58"/>
    <mergeCell ref="I33:J33"/>
    <mergeCell ref="A40:C40"/>
    <mergeCell ref="D103:N103"/>
    <mergeCell ref="D37:N37"/>
    <mergeCell ref="A108:C108"/>
    <mergeCell ref="A84:C84"/>
    <mergeCell ref="A86:C86"/>
    <mergeCell ref="D105:N105"/>
    <mergeCell ref="C100:D100"/>
    <mergeCell ref="G101:H101"/>
    <mergeCell ref="A64:C64"/>
    <mergeCell ref="K22:L22"/>
    <mergeCell ref="D41:N41"/>
    <mergeCell ref="K77:L77"/>
    <mergeCell ref="I55:J55"/>
    <mergeCell ref="E67:F67"/>
    <mergeCell ref="A45:B45"/>
    <mergeCell ref="G67:H67"/>
    <mergeCell ref="C45:D45"/>
    <mergeCell ref="A49:C49"/>
    <mergeCell ref="E100:F100"/>
    <mergeCell ref="G100:H100"/>
    <mergeCell ref="C67:D67"/>
    <mergeCell ref="D64:N64"/>
    <mergeCell ref="D108:N108"/>
    <mergeCell ref="D86:N86"/>
    <mergeCell ref="D95:N95"/>
    <mergeCell ref="A101:B101"/>
    <mergeCell ref="K23:L23"/>
    <mergeCell ref="A59:C59"/>
    <mergeCell ref="A7:C7"/>
    <mergeCell ref="A77:B77"/>
    <mergeCell ref="A34:B34"/>
    <mergeCell ref="A16:C16"/>
    <mergeCell ref="A99:C99"/>
    <mergeCell ref="C77:D77"/>
    <mergeCell ref="C34:D34"/>
    <mergeCell ref="A25:C25"/>
    <mergeCell ref="A10:C10"/>
    <mergeCell ref="I12:J12"/>
    <mergeCell ref="A19:C19"/>
    <mergeCell ref="K12:L12"/>
    <mergeCell ref="D16:N16"/>
    <mergeCell ref="A11:B11"/>
    <mergeCell ref="D19:N19"/>
    <mergeCell ref="G34:H34"/>
    <mergeCell ref="D97:N97"/>
    <mergeCell ref="K67:L67"/>
    <mergeCell ref="A63:C63"/>
    <mergeCell ref="A93:C93"/>
    <mergeCell ref="A33:B33"/>
    <mergeCell ref="D72:N72"/>
    <mergeCell ref="D93:N93"/>
    <mergeCell ref="A23:B23"/>
    <mergeCell ref="G11:H11"/>
    <mergeCell ref="D63:N63"/>
    <mergeCell ref="A18:C18"/>
    <mergeCell ref="D10:N10"/>
    <mergeCell ref="I11:J11"/>
    <mergeCell ref="D81:N81"/>
    <mergeCell ref="I45:J45"/>
    <mergeCell ref="K45:L45"/>
    <mergeCell ref="A50:C50"/>
    <mergeCell ref="E44:F44"/>
    <mergeCell ref="D65:N65"/>
    <mergeCell ref="A42:C42"/>
    <mergeCell ref="A78:B78"/>
    <mergeCell ref="C78:D78"/>
    <mergeCell ref="K11:L11"/>
    <mergeCell ref="A47:C47"/>
    <mergeCell ref="D52:N52"/>
    <mergeCell ref="A20:C20"/>
    <mergeCell ref="D17:N17"/>
    <mergeCell ref="A12:B12"/>
    <mergeCell ref="C12:D12"/>
    <mergeCell ref="C23:D23"/>
    <mergeCell ref="A53:C53"/>
    <mergeCell ref="D32:N32"/>
    <mergeCell ref="C112:D112"/>
    <mergeCell ref="D49:N49"/>
    <mergeCell ref="K44:L44"/>
    <mergeCell ref="D27:N27"/>
    <mergeCell ref="A62:C62"/>
    <mergeCell ref="C44:D44"/>
    <mergeCell ref="C22:D22"/>
    <mergeCell ref="D76:N76"/>
    <mergeCell ref="E78:F78"/>
    <mergeCell ref="D107:N107"/>
    <mergeCell ref="G78:H78"/>
    <mergeCell ref="K111:L111"/>
    <mergeCell ref="A72:C72"/>
    <mergeCell ref="A28:C28"/>
    <mergeCell ref="A55:B55"/>
    <mergeCell ref="E77:F77"/>
    <mergeCell ref="E89:F89"/>
    <mergeCell ref="D106:N106"/>
    <mergeCell ref="G89:H89"/>
    <mergeCell ref="A30:C30"/>
    <mergeCell ref="I23:J23"/>
    <mergeCell ref="D28:N28"/>
    <mergeCell ref="I101:J101"/>
    <mergeCell ref="E88:F88"/>
    <mergeCell ref="D3:N3"/>
    <mergeCell ref="A98:C98"/>
    <mergeCell ref="D83:N83"/>
    <mergeCell ref="D25:N25"/>
    <mergeCell ref="A107:C107"/>
    <mergeCell ref="D92:N92"/>
    <mergeCell ref="D30:N30"/>
    <mergeCell ref="D39:N39"/>
    <mergeCell ref="A61:C61"/>
    <mergeCell ref="D80:N80"/>
    <mergeCell ref="D40:N40"/>
    <mergeCell ref="A76:C76"/>
    <mergeCell ref="D96:N96"/>
    <mergeCell ref="I100:J100"/>
    <mergeCell ref="A85:C85"/>
    <mergeCell ref="K100:L100"/>
    <mergeCell ref="A8:C8"/>
    <mergeCell ref="D104:N104"/>
    <mergeCell ref="A17:C17"/>
    <mergeCell ref="C55:D55"/>
    <mergeCell ref="A66:B66"/>
    <mergeCell ref="I22:J22"/>
    <mergeCell ref="D18:N18"/>
    <mergeCell ref="G55:H55"/>
    <mergeCell ref="E112:F112"/>
    <mergeCell ref="A70:C70"/>
    <mergeCell ref="D5:N5"/>
    <mergeCell ref="D14:N14"/>
    <mergeCell ref="D29:N29"/>
    <mergeCell ref="D85:N85"/>
    <mergeCell ref="A67:B67"/>
    <mergeCell ref="E56:F56"/>
    <mergeCell ref="D54:N54"/>
    <mergeCell ref="D94:N94"/>
    <mergeCell ref="A54:C54"/>
    <mergeCell ref="G56:H56"/>
    <mergeCell ref="C101:D101"/>
    <mergeCell ref="I34:J34"/>
    <mergeCell ref="A41:C41"/>
    <mergeCell ref="K34:L34"/>
    <mergeCell ref="D69:N69"/>
    <mergeCell ref="C33:D33"/>
    <mergeCell ref="E33:F33"/>
    <mergeCell ref="A74:C74"/>
    <mergeCell ref="A27:C27"/>
    <mergeCell ref="C88:D88"/>
    <mergeCell ref="G111:H111"/>
    <mergeCell ref="A36:C36"/>
    <mergeCell ref="D8:N8"/>
    <mergeCell ref="A94:C94"/>
    <mergeCell ref="I78:J78"/>
    <mergeCell ref="D74:N74"/>
    <mergeCell ref="A103:C103"/>
    <mergeCell ref="A112:B112"/>
    <mergeCell ref="D82:N82"/>
    <mergeCell ref="K112:L112"/>
    <mergeCell ref="A44:B44"/>
    <mergeCell ref="A87:C87"/>
    <mergeCell ref="A65:C65"/>
    <mergeCell ref="D110:N110"/>
    <mergeCell ref="C11:D11"/>
    <mergeCell ref="E11:F11"/>
    <mergeCell ref="D43:N43"/>
    <mergeCell ref="I67:J67"/>
    <mergeCell ref="A9:C9"/>
    <mergeCell ref="E45:F45"/>
    <mergeCell ref="A92:C92"/>
    <mergeCell ref="G45:H45"/>
    <mergeCell ref="A39:C39"/>
    <mergeCell ref="A48:C48"/>
  </mergeCells>
  <hyperlinks>
    <hyperlink ref="A1" location="'Accesibilidad'!A1" display="Accesibilidad"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tabColor theme="9" tint="0.59999389629810485"/>
  </sheetPr>
  <dimension ref="A1:R155"/>
  <sheetViews>
    <sheetView topLeftCell="J1" workbookViewId="0">
      <selection activeCell="J161" sqref="J160:J161"/>
    </sheetView>
  </sheetViews>
  <sheetFormatPr defaultColWidth="11.42578125" defaultRowHeight="15"/>
  <cols>
    <col min="1" max="9" width="11.42578125" style="43" customWidth="1"/>
    <col min="10" max="10" width="27.28515625" style="43" customWidth="1"/>
    <col min="11" max="11" width="11.42578125" style="43" customWidth="1"/>
    <col min="12" max="12" width="25.85546875" style="43" customWidth="1"/>
    <col min="13" max="13" width="11.42578125" style="43" customWidth="1"/>
    <col min="14" max="14" width="191.7109375" style="43" bestFit="1" customWidth="1"/>
    <col min="15" max="18" width="11.42578125" style="43" customWidth="1"/>
    <col min="19" max="16384" width="11.42578125" style="43"/>
  </cols>
  <sheetData>
    <row r="1" spans="1:14">
      <c r="A1" s="42" t="s">
        <v>12</v>
      </c>
      <c r="B1" s="105"/>
      <c r="C1" s="105"/>
      <c r="D1" s="105"/>
      <c r="E1" s="105"/>
      <c r="F1" s="105"/>
      <c r="G1" s="105"/>
      <c r="H1" s="105"/>
      <c r="I1" s="105"/>
      <c r="J1" s="105"/>
      <c r="K1" s="105"/>
      <c r="L1" s="105"/>
      <c r="M1" s="105"/>
      <c r="N1" s="105"/>
    </row>
    <row r="2" spans="1:14">
      <c r="A2" s="44"/>
      <c r="B2" s="105"/>
      <c r="C2" s="105"/>
      <c r="D2" s="105"/>
      <c r="E2" s="105"/>
      <c r="F2" s="105"/>
      <c r="G2" s="105"/>
      <c r="H2" s="105"/>
      <c r="I2" s="105"/>
      <c r="J2" s="105"/>
      <c r="K2" s="105"/>
      <c r="L2" s="105"/>
      <c r="M2" s="105"/>
      <c r="N2" s="105"/>
    </row>
    <row r="3" spans="1:14">
      <c r="A3" s="94" t="s">
        <v>72</v>
      </c>
      <c r="B3" s="123"/>
      <c r="C3" s="124"/>
      <c r="D3" s="107" t="str">
        <f>$A$1</f>
        <v>Confiabilidad</v>
      </c>
      <c r="E3" s="108"/>
      <c r="F3" s="108"/>
      <c r="G3" s="108"/>
      <c r="H3" s="108"/>
      <c r="I3" s="108"/>
      <c r="J3" s="108"/>
      <c r="K3" s="108"/>
      <c r="L3" s="108"/>
      <c r="M3" s="108"/>
      <c r="N3" s="109"/>
    </row>
    <row r="4" spans="1:14" ht="19.5" customHeight="1">
      <c r="A4" s="95" t="s">
        <v>73</v>
      </c>
      <c r="B4" s="106"/>
      <c r="C4" s="125"/>
      <c r="D4" s="112" t="s">
        <v>34</v>
      </c>
      <c r="E4" s="108"/>
      <c r="F4" s="108"/>
      <c r="G4" s="108"/>
      <c r="H4" s="108"/>
      <c r="I4" s="108"/>
      <c r="J4" s="108"/>
      <c r="K4" s="108"/>
      <c r="L4" s="108"/>
      <c r="M4" s="108"/>
      <c r="N4" s="109"/>
    </row>
    <row r="5" spans="1:14">
      <c r="A5" s="93" t="s">
        <v>74</v>
      </c>
      <c r="B5" s="110"/>
      <c r="C5" s="126"/>
      <c r="D5" s="107" t="s">
        <v>149</v>
      </c>
      <c r="E5" s="108"/>
      <c r="F5" s="108"/>
      <c r="G5" s="108"/>
      <c r="H5" s="108"/>
      <c r="I5" s="108"/>
      <c r="J5" s="108"/>
      <c r="K5" s="108"/>
      <c r="L5" s="108"/>
      <c r="M5" s="108"/>
      <c r="N5" s="109"/>
    </row>
    <row r="6" spans="1:14">
      <c r="A6" s="93" t="s">
        <v>76</v>
      </c>
      <c r="B6" s="110"/>
      <c r="C6" s="126"/>
      <c r="D6" s="107" t="s">
        <v>150</v>
      </c>
      <c r="E6" s="108"/>
      <c r="F6" s="108"/>
      <c r="G6" s="108"/>
      <c r="H6" s="108"/>
      <c r="I6" s="108"/>
      <c r="J6" s="108"/>
      <c r="K6" s="108"/>
      <c r="L6" s="108"/>
      <c r="M6" s="108"/>
      <c r="N6" s="109"/>
    </row>
    <row r="7" spans="1:14">
      <c r="A7" s="93" t="s">
        <v>78</v>
      </c>
      <c r="B7" s="110"/>
      <c r="C7" s="126"/>
      <c r="D7" s="107" t="s">
        <v>79</v>
      </c>
      <c r="E7" s="108"/>
      <c r="F7" s="108"/>
      <c r="G7" s="108"/>
      <c r="H7" s="108"/>
      <c r="I7" s="108"/>
      <c r="J7" s="108"/>
      <c r="K7" s="108"/>
      <c r="L7" s="108"/>
      <c r="M7" s="108"/>
      <c r="N7" s="109"/>
    </row>
    <row r="8" spans="1:14" ht="33.75" customHeight="1">
      <c r="A8" s="90" t="s">
        <v>151</v>
      </c>
      <c r="B8" s="127"/>
      <c r="C8" s="128"/>
      <c r="D8" s="129" t="s">
        <v>152</v>
      </c>
      <c r="E8" s="120"/>
      <c r="F8" s="120"/>
      <c r="G8" s="120"/>
      <c r="H8" s="120"/>
      <c r="I8" s="120"/>
      <c r="J8" s="120"/>
      <c r="K8" s="120"/>
      <c r="L8" s="120"/>
      <c r="M8" s="120"/>
      <c r="N8" s="121"/>
    </row>
    <row r="9" spans="1:14" ht="49.5" customHeight="1">
      <c r="A9" s="92" t="s">
        <v>82</v>
      </c>
      <c r="B9" s="108"/>
      <c r="C9" s="109"/>
      <c r="D9" s="112" t="s">
        <v>153</v>
      </c>
      <c r="E9" s="108"/>
      <c r="F9" s="108"/>
      <c r="G9" s="108"/>
      <c r="H9" s="108"/>
      <c r="I9" s="108"/>
      <c r="J9" s="108"/>
      <c r="K9" s="108"/>
      <c r="L9" s="108"/>
      <c r="M9" s="108"/>
      <c r="N9" s="109"/>
    </row>
    <row r="10" spans="1:14" ht="20.25" customHeight="1">
      <c r="A10" s="92" t="s">
        <v>84</v>
      </c>
      <c r="B10" s="108"/>
      <c r="C10" s="109"/>
      <c r="D10" s="112" t="s">
        <v>154</v>
      </c>
      <c r="E10" s="108"/>
      <c r="F10" s="108"/>
      <c r="G10" s="108"/>
      <c r="H10" s="108"/>
      <c r="I10" s="108"/>
      <c r="J10" s="108"/>
      <c r="K10" s="108"/>
      <c r="L10" s="108"/>
      <c r="M10" s="108"/>
      <c r="N10" s="109"/>
    </row>
    <row r="11" spans="1:14" ht="32.1" customHeight="1">
      <c r="A11" s="91" t="s">
        <v>86</v>
      </c>
      <c r="B11" s="109"/>
      <c r="C11" s="91" t="s">
        <v>87</v>
      </c>
      <c r="D11" s="109"/>
      <c r="E11" s="91" t="s">
        <v>88</v>
      </c>
      <c r="F11" s="109"/>
      <c r="G11" s="91" t="s">
        <v>89</v>
      </c>
      <c r="H11" s="109"/>
      <c r="I11" s="91" t="s">
        <v>90</v>
      </c>
      <c r="J11" s="109"/>
      <c r="K11" s="91" t="s">
        <v>91</v>
      </c>
      <c r="L11" s="109"/>
      <c r="M11" s="45" t="s">
        <v>92</v>
      </c>
      <c r="N11" s="46" t="s">
        <v>93</v>
      </c>
    </row>
    <row r="12" spans="1:14" ht="100.5" customHeight="1">
      <c r="A12" s="130" t="s">
        <v>107</v>
      </c>
      <c r="B12" s="109"/>
      <c r="C12" s="130" t="s">
        <v>155</v>
      </c>
      <c r="D12" s="109"/>
      <c r="E12" s="130" t="s">
        <v>129</v>
      </c>
      <c r="F12" s="109"/>
      <c r="G12" s="130" t="s">
        <v>97</v>
      </c>
      <c r="H12" s="109"/>
      <c r="I12" s="130" t="s">
        <v>156</v>
      </c>
      <c r="J12" s="109"/>
      <c r="K12" s="130" t="s">
        <v>157</v>
      </c>
      <c r="L12" s="109"/>
      <c r="M12" s="131"/>
      <c r="N12" s="131" t="s">
        <v>158</v>
      </c>
    </row>
    <row r="13" spans="1:14">
      <c r="A13" s="105"/>
      <c r="B13" s="105"/>
      <c r="C13" s="105"/>
      <c r="D13" s="105"/>
      <c r="E13" s="105"/>
      <c r="F13" s="105"/>
      <c r="G13" s="105"/>
      <c r="H13" s="105"/>
      <c r="I13" s="105"/>
      <c r="J13" s="105"/>
      <c r="K13" s="105"/>
      <c r="L13" s="105"/>
      <c r="M13" s="105"/>
      <c r="N13" s="105"/>
    </row>
    <row r="14" spans="1:14">
      <c r="A14" s="94" t="s">
        <v>72</v>
      </c>
      <c r="B14" s="123"/>
      <c r="C14" s="124"/>
      <c r="D14" s="107" t="str">
        <f>$A$1</f>
        <v>Confiabilidad</v>
      </c>
      <c r="E14" s="108"/>
      <c r="F14" s="108"/>
      <c r="G14" s="108"/>
      <c r="H14" s="108"/>
      <c r="I14" s="108"/>
      <c r="J14" s="108"/>
      <c r="K14" s="108"/>
      <c r="L14" s="108"/>
      <c r="M14" s="108"/>
      <c r="N14" s="109"/>
    </row>
    <row r="15" spans="1:14" ht="18.75" customHeight="1">
      <c r="A15" s="95" t="s">
        <v>73</v>
      </c>
      <c r="B15" s="106"/>
      <c r="C15" s="125"/>
      <c r="D15" s="112" t="s">
        <v>34</v>
      </c>
      <c r="E15" s="108"/>
      <c r="F15" s="108"/>
      <c r="G15" s="108"/>
      <c r="H15" s="108"/>
      <c r="I15" s="108"/>
      <c r="J15" s="108"/>
      <c r="K15" s="108"/>
      <c r="L15" s="108"/>
      <c r="M15" s="108"/>
      <c r="N15" s="109"/>
    </row>
    <row r="16" spans="1:14">
      <c r="A16" s="93" t="s">
        <v>74</v>
      </c>
      <c r="B16" s="110"/>
      <c r="C16" s="126"/>
      <c r="D16" s="107" t="s">
        <v>159</v>
      </c>
      <c r="E16" s="108"/>
      <c r="F16" s="108"/>
      <c r="G16" s="108"/>
      <c r="H16" s="108"/>
      <c r="I16" s="108"/>
      <c r="J16" s="108"/>
      <c r="K16" s="108"/>
      <c r="L16" s="108"/>
      <c r="M16" s="108"/>
      <c r="N16" s="109"/>
    </row>
    <row r="17" spans="1:14">
      <c r="A17" s="93" t="s">
        <v>76</v>
      </c>
      <c r="B17" s="110"/>
      <c r="C17" s="126"/>
      <c r="D17" s="107" t="s">
        <v>160</v>
      </c>
      <c r="E17" s="108"/>
      <c r="F17" s="108"/>
      <c r="G17" s="108"/>
      <c r="H17" s="108"/>
      <c r="I17" s="108"/>
      <c r="J17" s="108"/>
      <c r="K17" s="108"/>
      <c r="L17" s="108"/>
      <c r="M17" s="108"/>
      <c r="N17" s="109"/>
    </row>
    <row r="18" spans="1:14">
      <c r="A18" s="93" t="s">
        <v>78</v>
      </c>
      <c r="B18" s="110"/>
      <c r="C18" s="126"/>
      <c r="D18" s="107" t="s">
        <v>103</v>
      </c>
      <c r="E18" s="108"/>
      <c r="F18" s="108"/>
      <c r="G18" s="108"/>
      <c r="H18" s="108"/>
      <c r="I18" s="108"/>
      <c r="J18" s="108"/>
      <c r="K18" s="108"/>
      <c r="L18" s="108"/>
      <c r="M18" s="108"/>
      <c r="N18" s="109"/>
    </row>
    <row r="19" spans="1:14" ht="39.75" customHeight="1">
      <c r="A19" s="90" t="s">
        <v>151</v>
      </c>
      <c r="B19" s="127"/>
      <c r="C19" s="128"/>
      <c r="D19" s="129" t="s">
        <v>161</v>
      </c>
      <c r="E19" s="120"/>
      <c r="F19" s="120"/>
      <c r="G19" s="120"/>
      <c r="H19" s="120"/>
      <c r="I19" s="120"/>
      <c r="J19" s="120"/>
      <c r="K19" s="120"/>
      <c r="L19" s="120"/>
      <c r="M19" s="120"/>
      <c r="N19" s="121"/>
    </row>
    <row r="20" spans="1:14" ht="56.25" customHeight="1">
      <c r="A20" s="92" t="s">
        <v>82</v>
      </c>
      <c r="B20" s="108"/>
      <c r="C20" s="109"/>
      <c r="D20" s="112" t="s">
        <v>162</v>
      </c>
      <c r="E20" s="108"/>
      <c r="F20" s="108"/>
      <c r="G20" s="108"/>
      <c r="H20" s="108"/>
      <c r="I20" s="108"/>
      <c r="J20" s="108"/>
      <c r="K20" s="108"/>
      <c r="L20" s="108"/>
      <c r="M20" s="108"/>
      <c r="N20" s="109"/>
    </row>
    <row r="21" spans="1:14" ht="28.5" customHeight="1">
      <c r="A21" s="92" t="s">
        <v>84</v>
      </c>
      <c r="B21" s="108"/>
      <c r="C21" s="109"/>
      <c r="D21" s="112" t="s">
        <v>163</v>
      </c>
      <c r="E21" s="108"/>
      <c r="F21" s="108"/>
      <c r="G21" s="108"/>
      <c r="H21" s="108"/>
      <c r="I21" s="108"/>
      <c r="J21" s="108"/>
      <c r="K21" s="108"/>
      <c r="L21" s="108"/>
      <c r="M21" s="108"/>
      <c r="N21" s="109"/>
    </row>
    <row r="22" spans="1:14" ht="32.1" customHeight="1">
      <c r="A22" s="91" t="s">
        <v>86</v>
      </c>
      <c r="B22" s="109"/>
      <c r="C22" s="91" t="s">
        <v>87</v>
      </c>
      <c r="D22" s="109"/>
      <c r="E22" s="91" t="s">
        <v>88</v>
      </c>
      <c r="F22" s="109"/>
      <c r="G22" s="91" t="s">
        <v>89</v>
      </c>
      <c r="H22" s="109"/>
      <c r="I22" s="91" t="s">
        <v>90</v>
      </c>
      <c r="J22" s="109"/>
      <c r="K22" s="91" t="s">
        <v>91</v>
      </c>
      <c r="L22" s="109"/>
      <c r="M22" s="45" t="s">
        <v>92</v>
      </c>
      <c r="N22" s="46" t="s">
        <v>93</v>
      </c>
    </row>
    <row r="23" spans="1:14" ht="101.25" customHeight="1">
      <c r="A23" s="130" t="s">
        <v>107</v>
      </c>
      <c r="B23" s="109"/>
      <c r="C23" s="130" t="s">
        <v>164</v>
      </c>
      <c r="D23" s="109"/>
      <c r="E23" s="130" t="s">
        <v>129</v>
      </c>
      <c r="F23" s="109"/>
      <c r="G23" s="130" t="s">
        <v>97</v>
      </c>
      <c r="H23" s="109"/>
      <c r="I23" s="130" t="s">
        <v>165</v>
      </c>
      <c r="J23" s="109"/>
      <c r="K23" s="130" t="s">
        <v>166</v>
      </c>
      <c r="L23" s="109"/>
      <c r="M23" s="131"/>
      <c r="N23" s="131" t="s">
        <v>167</v>
      </c>
    </row>
    <row r="24" spans="1:14">
      <c r="A24" s="105"/>
      <c r="B24" s="105"/>
      <c r="C24" s="105"/>
      <c r="D24" s="105"/>
      <c r="E24" s="105"/>
      <c r="F24" s="105"/>
      <c r="G24" s="105"/>
      <c r="H24" s="105"/>
      <c r="I24" s="105"/>
      <c r="J24" s="105"/>
      <c r="K24" s="105"/>
      <c r="L24" s="105"/>
      <c r="M24" s="105"/>
      <c r="N24" s="105"/>
    </row>
    <row r="25" spans="1:14">
      <c r="A25" s="94" t="s">
        <v>72</v>
      </c>
      <c r="B25" s="123"/>
      <c r="C25" s="124"/>
      <c r="D25" s="107" t="str">
        <f>$A$1</f>
        <v>Confiabilidad</v>
      </c>
      <c r="E25" s="108"/>
      <c r="F25" s="108"/>
      <c r="G25" s="108"/>
      <c r="H25" s="108"/>
      <c r="I25" s="108"/>
      <c r="J25" s="108"/>
      <c r="K25" s="108"/>
      <c r="L25" s="108"/>
      <c r="M25" s="108"/>
      <c r="N25" s="109"/>
    </row>
    <row r="26" spans="1:14" ht="37.5" customHeight="1">
      <c r="A26" s="95" t="s">
        <v>73</v>
      </c>
      <c r="B26" s="106"/>
      <c r="C26" s="125"/>
      <c r="D26" s="112" t="s">
        <v>35</v>
      </c>
      <c r="E26" s="108"/>
      <c r="F26" s="108"/>
      <c r="G26" s="108"/>
      <c r="H26" s="108"/>
      <c r="I26" s="108"/>
      <c r="J26" s="108"/>
      <c r="K26" s="108"/>
      <c r="L26" s="108"/>
      <c r="M26" s="108"/>
      <c r="N26" s="109"/>
    </row>
    <row r="27" spans="1:14">
      <c r="A27" s="93" t="s">
        <v>74</v>
      </c>
      <c r="B27" s="110"/>
      <c r="C27" s="126"/>
      <c r="D27" s="107" t="s">
        <v>168</v>
      </c>
      <c r="E27" s="108"/>
      <c r="F27" s="108"/>
      <c r="G27" s="108"/>
      <c r="H27" s="108"/>
      <c r="I27" s="108"/>
      <c r="J27" s="108"/>
      <c r="K27" s="108"/>
      <c r="L27" s="108"/>
      <c r="M27" s="108"/>
      <c r="N27" s="109"/>
    </row>
    <row r="28" spans="1:14">
      <c r="A28" s="93" t="s">
        <v>76</v>
      </c>
      <c r="B28" s="110"/>
      <c r="C28" s="126"/>
      <c r="D28" s="107" t="s">
        <v>169</v>
      </c>
      <c r="E28" s="108"/>
      <c r="F28" s="108"/>
      <c r="G28" s="108"/>
      <c r="H28" s="108"/>
      <c r="I28" s="108"/>
      <c r="J28" s="108"/>
      <c r="K28" s="108"/>
      <c r="L28" s="108"/>
      <c r="M28" s="108"/>
      <c r="N28" s="109"/>
    </row>
    <row r="29" spans="1:14">
      <c r="A29" s="93" t="s">
        <v>78</v>
      </c>
      <c r="B29" s="110"/>
      <c r="C29" s="126"/>
      <c r="D29" s="107" t="s">
        <v>79</v>
      </c>
      <c r="E29" s="108"/>
      <c r="F29" s="108"/>
      <c r="G29" s="108"/>
      <c r="H29" s="108"/>
      <c r="I29" s="108"/>
      <c r="J29" s="108"/>
      <c r="K29" s="108"/>
      <c r="L29" s="108"/>
      <c r="M29" s="108"/>
      <c r="N29" s="109"/>
    </row>
    <row r="30" spans="1:14">
      <c r="A30" s="90" t="s">
        <v>151</v>
      </c>
      <c r="B30" s="127"/>
      <c r="C30" s="128"/>
      <c r="D30" s="129" t="s">
        <v>170</v>
      </c>
      <c r="E30" s="120"/>
      <c r="F30" s="120"/>
      <c r="G30" s="120"/>
      <c r="H30" s="120"/>
      <c r="I30" s="120"/>
      <c r="J30" s="120"/>
      <c r="K30" s="120"/>
      <c r="L30" s="120"/>
      <c r="M30" s="120"/>
      <c r="N30" s="121"/>
    </row>
    <row r="31" spans="1:14" ht="33.75" customHeight="1">
      <c r="A31" s="92" t="s">
        <v>82</v>
      </c>
      <c r="B31" s="108"/>
      <c r="C31" s="109"/>
      <c r="D31" s="112" t="s">
        <v>171</v>
      </c>
      <c r="E31" s="108"/>
      <c r="F31" s="108"/>
      <c r="G31" s="108"/>
      <c r="H31" s="108"/>
      <c r="I31" s="108"/>
      <c r="J31" s="108"/>
      <c r="K31" s="108"/>
      <c r="L31" s="108"/>
      <c r="M31" s="108"/>
      <c r="N31" s="109"/>
    </row>
    <row r="32" spans="1:14" ht="29.25" customHeight="1">
      <c r="A32" s="92" t="s">
        <v>84</v>
      </c>
      <c r="B32" s="108"/>
      <c r="C32" s="109"/>
      <c r="D32" s="112" t="s">
        <v>172</v>
      </c>
      <c r="E32" s="108"/>
      <c r="F32" s="108"/>
      <c r="G32" s="108"/>
      <c r="H32" s="108"/>
      <c r="I32" s="108"/>
      <c r="J32" s="108"/>
      <c r="K32" s="108"/>
      <c r="L32" s="108"/>
      <c r="M32" s="108"/>
      <c r="N32" s="109"/>
    </row>
    <row r="33" spans="1:14" ht="32.1" customHeight="1">
      <c r="A33" s="91" t="s">
        <v>86</v>
      </c>
      <c r="B33" s="109"/>
      <c r="C33" s="91" t="s">
        <v>87</v>
      </c>
      <c r="D33" s="109"/>
      <c r="E33" s="91" t="s">
        <v>88</v>
      </c>
      <c r="F33" s="109"/>
      <c r="G33" s="91" t="s">
        <v>89</v>
      </c>
      <c r="H33" s="109"/>
      <c r="I33" s="91" t="s">
        <v>90</v>
      </c>
      <c r="J33" s="109"/>
      <c r="K33" s="91" t="s">
        <v>91</v>
      </c>
      <c r="L33" s="109"/>
      <c r="M33" s="45" t="s">
        <v>92</v>
      </c>
      <c r="N33" s="46" t="s">
        <v>93</v>
      </c>
    </row>
    <row r="34" spans="1:14" ht="106.5" customHeight="1">
      <c r="A34" s="130" t="s">
        <v>173</v>
      </c>
      <c r="B34" s="109"/>
      <c r="C34" s="130" t="s">
        <v>174</v>
      </c>
      <c r="D34" s="109"/>
      <c r="E34" s="130" t="s">
        <v>129</v>
      </c>
      <c r="F34" s="109"/>
      <c r="G34" s="130" t="s">
        <v>97</v>
      </c>
      <c r="H34" s="109"/>
      <c r="I34" s="130" t="s">
        <v>175</v>
      </c>
      <c r="J34" s="109"/>
      <c r="K34" s="130" t="s">
        <v>176</v>
      </c>
      <c r="L34" s="109"/>
      <c r="M34" s="131"/>
      <c r="N34" s="131" t="s">
        <v>158</v>
      </c>
    </row>
    <row r="35" spans="1:14">
      <c r="A35" s="105"/>
      <c r="B35" s="105"/>
      <c r="C35" s="105"/>
      <c r="D35" s="105"/>
      <c r="E35" s="105"/>
      <c r="F35" s="105"/>
      <c r="G35" s="105"/>
      <c r="H35" s="105"/>
      <c r="I35" s="105"/>
      <c r="J35" s="105"/>
      <c r="K35" s="105"/>
      <c r="L35" s="105"/>
      <c r="M35" s="105"/>
      <c r="N35" s="105"/>
    </row>
    <row r="36" spans="1:14">
      <c r="A36" s="94" t="s">
        <v>72</v>
      </c>
      <c r="B36" s="123"/>
      <c r="C36" s="124"/>
      <c r="D36" s="107" t="str">
        <f>$A$1</f>
        <v>Confiabilidad</v>
      </c>
      <c r="E36" s="108"/>
      <c r="F36" s="108"/>
      <c r="G36" s="108"/>
      <c r="H36" s="108"/>
      <c r="I36" s="108"/>
      <c r="J36" s="108"/>
      <c r="K36" s="108"/>
      <c r="L36" s="108"/>
      <c r="M36" s="108"/>
      <c r="N36" s="109"/>
    </row>
    <row r="37" spans="1:14" ht="30" customHeight="1">
      <c r="A37" s="95" t="s">
        <v>73</v>
      </c>
      <c r="B37" s="106"/>
      <c r="C37" s="125"/>
      <c r="D37" s="112" t="s">
        <v>35</v>
      </c>
      <c r="E37" s="108"/>
      <c r="F37" s="108"/>
      <c r="G37" s="108"/>
      <c r="H37" s="108"/>
      <c r="I37" s="108"/>
      <c r="J37" s="108"/>
      <c r="K37" s="108"/>
      <c r="L37" s="108"/>
      <c r="M37" s="108"/>
      <c r="N37" s="109"/>
    </row>
    <row r="38" spans="1:14">
      <c r="A38" s="93" t="s">
        <v>74</v>
      </c>
      <c r="B38" s="110"/>
      <c r="C38" s="126"/>
      <c r="D38" s="107" t="s">
        <v>177</v>
      </c>
      <c r="E38" s="108"/>
      <c r="F38" s="108"/>
      <c r="G38" s="108"/>
      <c r="H38" s="108"/>
      <c r="I38" s="108"/>
      <c r="J38" s="108"/>
      <c r="K38" s="108"/>
      <c r="L38" s="108"/>
      <c r="M38" s="108"/>
      <c r="N38" s="109"/>
    </row>
    <row r="39" spans="1:14">
      <c r="A39" s="93" t="s">
        <v>76</v>
      </c>
      <c r="B39" s="110"/>
      <c r="C39" s="126"/>
      <c r="D39" s="107" t="s">
        <v>178</v>
      </c>
      <c r="E39" s="108"/>
      <c r="F39" s="108"/>
      <c r="G39" s="108"/>
      <c r="H39" s="108"/>
      <c r="I39" s="108"/>
      <c r="J39" s="108"/>
      <c r="K39" s="108"/>
      <c r="L39" s="108"/>
      <c r="M39" s="108"/>
      <c r="N39" s="109"/>
    </row>
    <row r="40" spans="1:14">
      <c r="A40" s="93" t="s">
        <v>78</v>
      </c>
      <c r="B40" s="110"/>
      <c r="C40" s="126"/>
      <c r="D40" s="107" t="s">
        <v>103</v>
      </c>
      <c r="E40" s="108"/>
      <c r="F40" s="108"/>
      <c r="G40" s="108"/>
      <c r="H40" s="108"/>
      <c r="I40" s="108"/>
      <c r="J40" s="108"/>
      <c r="K40" s="108"/>
      <c r="L40" s="108"/>
      <c r="M40" s="108"/>
      <c r="N40" s="109"/>
    </row>
    <row r="41" spans="1:14" ht="32.25" customHeight="1">
      <c r="A41" s="90" t="s">
        <v>151</v>
      </c>
      <c r="B41" s="127"/>
      <c r="C41" s="128"/>
      <c r="D41" s="129" t="s">
        <v>179</v>
      </c>
      <c r="E41" s="120"/>
      <c r="F41" s="120"/>
      <c r="G41" s="120"/>
      <c r="H41" s="120"/>
      <c r="I41" s="120"/>
      <c r="J41" s="120"/>
      <c r="K41" s="120"/>
      <c r="L41" s="120"/>
      <c r="M41" s="120"/>
      <c r="N41" s="121"/>
    </row>
    <row r="42" spans="1:14" ht="34.5" customHeight="1">
      <c r="A42" s="92" t="s">
        <v>82</v>
      </c>
      <c r="B42" s="108"/>
      <c r="C42" s="109"/>
      <c r="D42" s="112" t="s">
        <v>180</v>
      </c>
      <c r="E42" s="108"/>
      <c r="F42" s="108"/>
      <c r="G42" s="108"/>
      <c r="H42" s="108"/>
      <c r="I42" s="108"/>
      <c r="J42" s="108"/>
      <c r="K42" s="108"/>
      <c r="L42" s="108"/>
      <c r="M42" s="108"/>
      <c r="N42" s="109"/>
    </row>
    <row r="43" spans="1:14" ht="21.75" customHeight="1">
      <c r="A43" s="92" t="s">
        <v>84</v>
      </c>
      <c r="B43" s="108"/>
      <c r="C43" s="109"/>
      <c r="D43" s="112" t="s">
        <v>181</v>
      </c>
      <c r="E43" s="108"/>
      <c r="F43" s="108"/>
      <c r="G43" s="108"/>
      <c r="H43" s="108"/>
      <c r="I43" s="108"/>
      <c r="J43" s="108"/>
      <c r="K43" s="108"/>
      <c r="L43" s="108"/>
      <c r="M43" s="108"/>
      <c r="N43" s="109"/>
    </row>
    <row r="44" spans="1:14" ht="32.1" customHeight="1">
      <c r="A44" s="91" t="s">
        <v>86</v>
      </c>
      <c r="B44" s="109"/>
      <c r="C44" s="91" t="s">
        <v>87</v>
      </c>
      <c r="D44" s="109"/>
      <c r="E44" s="91" t="s">
        <v>88</v>
      </c>
      <c r="F44" s="109"/>
      <c r="G44" s="91" t="s">
        <v>89</v>
      </c>
      <c r="H44" s="109"/>
      <c r="I44" s="91" t="s">
        <v>90</v>
      </c>
      <c r="J44" s="109"/>
      <c r="K44" s="91" t="s">
        <v>91</v>
      </c>
      <c r="L44" s="109"/>
      <c r="M44" s="45" t="s">
        <v>92</v>
      </c>
      <c r="N44" s="46" t="s">
        <v>93</v>
      </c>
    </row>
    <row r="45" spans="1:14" ht="84" customHeight="1">
      <c r="A45" s="130" t="s">
        <v>182</v>
      </c>
      <c r="B45" s="109"/>
      <c r="C45" s="130" t="s">
        <v>183</v>
      </c>
      <c r="D45" s="109"/>
      <c r="E45" s="130" t="s">
        <v>129</v>
      </c>
      <c r="F45" s="109"/>
      <c r="G45" s="130" t="s">
        <v>97</v>
      </c>
      <c r="H45" s="109"/>
      <c r="I45" s="130" t="s">
        <v>184</v>
      </c>
      <c r="J45" s="109"/>
      <c r="K45" s="130" t="s">
        <v>185</v>
      </c>
      <c r="L45" s="109"/>
      <c r="M45" s="131"/>
      <c r="N45" s="131" t="s">
        <v>186</v>
      </c>
    </row>
    <row r="46" spans="1:14">
      <c r="A46" s="105"/>
      <c r="B46" s="105"/>
      <c r="C46" s="105"/>
      <c r="D46" s="105"/>
      <c r="E46" s="105"/>
      <c r="F46" s="105"/>
      <c r="G46" s="105"/>
      <c r="H46" s="105"/>
      <c r="I46" s="105"/>
      <c r="J46" s="105"/>
      <c r="K46" s="105"/>
      <c r="L46" s="105"/>
      <c r="M46" s="105"/>
      <c r="N46" s="105"/>
    </row>
    <row r="47" spans="1:14">
      <c r="A47" s="94" t="s">
        <v>72</v>
      </c>
      <c r="B47" s="123"/>
      <c r="C47" s="124"/>
      <c r="D47" s="107" t="str">
        <f>$A$1</f>
        <v>Confiabilidad</v>
      </c>
      <c r="E47" s="108"/>
      <c r="F47" s="108"/>
      <c r="G47" s="108"/>
      <c r="H47" s="108"/>
      <c r="I47" s="108"/>
      <c r="J47" s="108"/>
      <c r="K47" s="108"/>
      <c r="L47" s="108"/>
      <c r="M47" s="108"/>
      <c r="N47" s="109"/>
    </row>
    <row r="48" spans="1:14" ht="17.25" customHeight="1">
      <c r="A48" s="95" t="s">
        <v>73</v>
      </c>
      <c r="B48" s="106"/>
      <c r="C48" s="125"/>
      <c r="D48" s="112" t="s">
        <v>36</v>
      </c>
      <c r="E48" s="108"/>
      <c r="F48" s="108"/>
      <c r="G48" s="108"/>
      <c r="H48" s="108"/>
      <c r="I48" s="108"/>
      <c r="J48" s="108"/>
      <c r="K48" s="108"/>
      <c r="L48" s="108"/>
      <c r="M48" s="108"/>
      <c r="N48" s="109"/>
    </row>
    <row r="49" spans="1:14">
      <c r="A49" s="93" t="s">
        <v>74</v>
      </c>
      <c r="B49" s="110"/>
      <c r="C49" s="126"/>
      <c r="D49" s="107" t="s">
        <v>187</v>
      </c>
      <c r="E49" s="108"/>
      <c r="F49" s="108"/>
      <c r="G49" s="108"/>
      <c r="H49" s="108"/>
      <c r="I49" s="108"/>
      <c r="J49" s="108"/>
      <c r="K49" s="108"/>
      <c r="L49" s="108"/>
      <c r="M49" s="108"/>
      <c r="N49" s="109"/>
    </row>
    <row r="50" spans="1:14">
      <c r="A50" s="93" t="s">
        <v>76</v>
      </c>
      <c r="B50" s="110"/>
      <c r="C50" s="126"/>
      <c r="D50" s="107" t="s">
        <v>188</v>
      </c>
      <c r="E50" s="108"/>
      <c r="F50" s="108"/>
      <c r="G50" s="108"/>
      <c r="H50" s="108"/>
      <c r="I50" s="108"/>
      <c r="J50" s="108"/>
      <c r="K50" s="108"/>
      <c r="L50" s="108"/>
      <c r="M50" s="108"/>
      <c r="N50" s="109"/>
    </row>
    <row r="51" spans="1:14">
      <c r="A51" s="93" t="s">
        <v>78</v>
      </c>
      <c r="B51" s="110"/>
      <c r="C51" s="126"/>
      <c r="D51" s="107" t="s">
        <v>79</v>
      </c>
      <c r="E51" s="108"/>
      <c r="F51" s="108"/>
      <c r="G51" s="108"/>
      <c r="H51" s="108"/>
      <c r="I51" s="108"/>
      <c r="J51" s="108"/>
      <c r="K51" s="108"/>
      <c r="L51" s="108"/>
      <c r="M51" s="108"/>
      <c r="N51" s="109"/>
    </row>
    <row r="52" spans="1:14" ht="18" customHeight="1">
      <c r="A52" s="90" t="s">
        <v>151</v>
      </c>
      <c r="B52" s="127"/>
      <c r="C52" s="128"/>
      <c r="D52" s="129" t="s">
        <v>189</v>
      </c>
      <c r="E52" s="120"/>
      <c r="F52" s="120"/>
      <c r="G52" s="120"/>
      <c r="H52" s="120"/>
      <c r="I52" s="120"/>
      <c r="J52" s="120"/>
      <c r="K52" s="120"/>
      <c r="L52" s="120"/>
      <c r="M52" s="120"/>
      <c r="N52" s="121"/>
    </row>
    <row r="53" spans="1:14" ht="30.75" customHeight="1">
      <c r="A53" s="92" t="s">
        <v>82</v>
      </c>
      <c r="B53" s="108"/>
      <c r="C53" s="109"/>
      <c r="D53" s="112" t="s">
        <v>190</v>
      </c>
      <c r="E53" s="108"/>
      <c r="F53" s="108"/>
      <c r="G53" s="108"/>
      <c r="H53" s="108"/>
      <c r="I53" s="108"/>
      <c r="J53" s="108"/>
      <c r="K53" s="108"/>
      <c r="L53" s="108"/>
      <c r="M53" s="108"/>
      <c r="N53" s="109"/>
    </row>
    <row r="54" spans="1:14" ht="19.5" customHeight="1">
      <c r="A54" s="92" t="s">
        <v>84</v>
      </c>
      <c r="B54" s="108"/>
      <c r="C54" s="109"/>
      <c r="D54" s="112" t="s">
        <v>191</v>
      </c>
      <c r="E54" s="108"/>
      <c r="F54" s="108"/>
      <c r="G54" s="108"/>
      <c r="H54" s="108"/>
      <c r="I54" s="108"/>
      <c r="J54" s="108"/>
      <c r="K54" s="108"/>
      <c r="L54" s="108"/>
      <c r="M54" s="108"/>
      <c r="N54" s="109"/>
    </row>
    <row r="55" spans="1:14" ht="32.1" customHeight="1">
      <c r="A55" s="91" t="s">
        <v>86</v>
      </c>
      <c r="B55" s="109"/>
      <c r="C55" s="91" t="s">
        <v>87</v>
      </c>
      <c r="D55" s="109"/>
      <c r="E55" s="91" t="s">
        <v>88</v>
      </c>
      <c r="F55" s="109"/>
      <c r="G55" s="91" t="s">
        <v>89</v>
      </c>
      <c r="H55" s="109"/>
      <c r="I55" s="91" t="s">
        <v>90</v>
      </c>
      <c r="J55" s="109"/>
      <c r="K55" s="91" t="s">
        <v>91</v>
      </c>
      <c r="L55" s="109"/>
      <c r="M55" s="45" t="s">
        <v>92</v>
      </c>
      <c r="N55" s="46" t="s">
        <v>93</v>
      </c>
    </row>
    <row r="56" spans="1:14" ht="96" customHeight="1">
      <c r="A56" s="130" t="s">
        <v>192</v>
      </c>
      <c r="B56" s="109"/>
      <c r="C56" s="130" t="s">
        <v>193</v>
      </c>
      <c r="D56" s="109"/>
      <c r="E56" s="130" t="s">
        <v>129</v>
      </c>
      <c r="F56" s="109"/>
      <c r="G56" s="130" t="s">
        <v>97</v>
      </c>
      <c r="H56" s="109"/>
      <c r="I56" s="130" t="s">
        <v>194</v>
      </c>
      <c r="J56" s="109"/>
      <c r="K56" s="130" t="s">
        <v>195</v>
      </c>
      <c r="L56" s="109"/>
      <c r="M56" s="131"/>
      <c r="N56" s="131" t="s">
        <v>158</v>
      </c>
    </row>
    <row r="57" spans="1:14">
      <c r="A57" s="105"/>
      <c r="B57" s="105"/>
      <c r="C57" s="105"/>
      <c r="D57" s="105"/>
      <c r="E57" s="105"/>
      <c r="F57" s="105"/>
      <c r="G57" s="105"/>
      <c r="H57" s="105"/>
      <c r="I57" s="105"/>
      <c r="J57" s="105"/>
      <c r="K57" s="105"/>
      <c r="L57" s="105"/>
      <c r="M57" s="105"/>
      <c r="N57" s="105"/>
    </row>
    <row r="58" spans="1:14">
      <c r="A58" s="94" t="s">
        <v>72</v>
      </c>
      <c r="B58" s="123"/>
      <c r="C58" s="124"/>
      <c r="D58" s="107" t="str">
        <f>$A$1</f>
        <v>Confiabilidad</v>
      </c>
      <c r="E58" s="108"/>
      <c r="F58" s="108"/>
      <c r="G58" s="108"/>
      <c r="H58" s="108"/>
      <c r="I58" s="108"/>
      <c r="J58" s="108"/>
      <c r="K58" s="108"/>
      <c r="L58" s="108"/>
      <c r="M58" s="108"/>
      <c r="N58" s="109"/>
    </row>
    <row r="59" spans="1:14" ht="16.5" customHeight="1">
      <c r="A59" s="95" t="s">
        <v>73</v>
      </c>
      <c r="B59" s="106"/>
      <c r="C59" s="125"/>
      <c r="D59" s="112" t="s">
        <v>36</v>
      </c>
      <c r="E59" s="108"/>
      <c r="F59" s="108"/>
      <c r="G59" s="108"/>
      <c r="H59" s="108"/>
      <c r="I59" s="108"/>
      <c r="J59" s="108"/>
      <c r="K59" s="108"/>
      <c r="L59" s="108"/>
      <c r="M59" s="108"/>
      <c r="N59" s="109"/>
    </row>
    <row r="60" spans="1:14">
      <c r="A60" s="93" t="s">
        <v>74</v>
      </c>
      <c r="B60" s="110"/>
      <c r="C60" s="126"/>
      <c r="D60" s="107" t="s">
        <v>196</v>
      </c>
      <c r="E60" s="108"/>
      <c r="F60" s="108"/>
      <c r="G60" s="108"/>
      <c r="H60" s="108"/>
      <c r="I60" s="108"/>
      <c r="J60" s="108"/>
      <c r="K60" s="108"/>
      <c r="L60" s="108"/>
      <c r="M60" s="108"/>
      <c r="N60" s="109"/>
    </row>
    <row r="61" spans="1:14">
      <c r="A61" s="93" t="s">
        <v>76</v>
      </c>
      <c r="B61" s="110"/>
      <c r="C61" s="126"/>
      <c r="D61" s="107" t="s">
        <v>197</v>
      </c>
      <c r="E61" s="108"/>
      <c r="F61" s="108"/>
      <c r="G61" s="108"/>
      <c r="H61" s="108"/>
      <c r="I61" s="108"/>
      <c r="J61" s="108"/>
      <c r="K61" s="108"/>
      <c r="L61" s="108"/>
      <c r="M61" s="108"/>
      <c r="N61" s="109"/>
    </row>
    <row r="62" spans="1:14">
      <c r="A62" s="93" t="s">
        <v>78</v>
      </c>
      <c r="B62" s="110"/>
      <c r="C62" s="126"/>
      <c r="D62" s="107" t="s">
        <v>103</v>
      </c>
      <c r="E62" s="108"/>
      <c r="F62" s="108"/>
      <c r="G62" s="108"/>
      <c r="H62" s="108"/>
      <c r="I62" s="108"/>
      <c r="J62" s="108"/>
      <c r="K62" s="108"/>
      <c r="L62" s="108"/>
      <c r="M62" s="108"/>
      <c r="N62" s="109"/>
    </row>
    <row r="63" spans="1:14" ht="30" customHeight="1">
      <c r="A63" s="90" t="s">
        <v>151</v>
      </c>
      <c r="B63" s="127"/>
      <c r="C63" s="128"/>
      <c r="D63" s="129" t="s">
        <v>198</v>
      </c>
      <c r="E63" s="120"/>
      <c r="F63" s="120"/>
      <c r="G63" s="120"/>
      <c r="H63" s="120"/>
      <c r="I63" s="120"/>
      <c r="J63" s="120"/>
      <c r="K63" s="120"/>
      <c r="L63" s="120"/>
      <c r="M63" s="120"/>
      <c r="N63" s="121"/>
    </row>
    <row r="64" spans="1:14" ht="33" customHeight="1">
      <c r="A64" s="92" t="s">
        <v>82</v>
      </c>
      <c r="B64" s="108"/>
      <c r="C64" s="109"/>
      <c r="D64" s="112" t="s">
        <v>199</v>
      </c>
      <c r="E64" s="108"/>
      <c r="F64" s="108"/>
      <c r="G64" s="108"/>
      <c r="H64" s="108"/>
      <c r="I64" s="108"/>
      <c r="J64" s="108"/>
      <c r="K64" s="108"/>
      <c r="L64" s="108"/>
      <c r="M64" s="108"/>
      <c r="N64" s="109"/>
    </row>
    <row r="65" spans="1:18">
      <c r="A65" s="92" t="s">
        <v>84</v>
      </c>
      <c r="B65" s="108"/>
      <c r="C65" s="109"/>
      <c r="D65" s="112" t="s">
        <v>200</v>
      </c>
      <c r="E65" s="108"/>
      <c r="F65" s="108"/>
      <c r="G65" s="108"/>
      <c r="H65" s="108"/>
      <c r="I65" s="108"/>
      <c r="J65" s="108"/>
      <c r="K65" s="108"/>
      <c r="L65" s="108"/>
      <c r="M65" s="108"/>
      <c r="N65" s="109"/>
      <c r="O65" s="105"/>
      <c r="P65" s="105"/>
      <c r="Q65" s="105"/>
      <c r="R65" s="105"/>
    </row>
    <row r="66" spans="1:18" ht="32.1" customHeight="1">
      <c r="A66" s="91" t="s">
        <v>86</v>
      </c>
      <c r="B66" s="109"/>
      <c r="C66" s="91" t="s">
        <v>87</v>
      </c>
      <c r="D66" s="109"/>
      <c r="E66" s="91" t="s">
        <v>88</v>
      </c>
      <c r="F66" s="109"/>
      <c r="G66" s="91" t="s">
        <v>89</v>
      </c>
      <c r="H66" s="109"/>
      <c r="I66" s="91" t="s">
        <v>90</v>
      </c>
      <c r="J66" s="109"/>
      <c r="K66" s="91" t="s">
        <v>91</v>
      </c>
      <c r="L66" s="109"/>
      <c r="M66" s="45" t="s">
        <v>92</v>
      </c>
      <c r="N66" s="46" t="s">
        <v>93</v>
      </c>
      <c r="O66" s="105"/>
      <c r="P66" s="105"/>
      <c r="Q66" s="105"/>
      <c r="R66" s="105"/>
    </row>
    <row r="67" spans="1:18" ht="108" customHeight="1">
      <c r="A67" s="130" t="s">
        <v>201</v>
      </c>
      <c r="B67" s="109"/>
      <c r="C67" s="130" t="s">
        <v>202</v>
      </c>
      <c r="D67" s="109"/>
      <c r="E67" s="130" t="s">
        <v>129</v>
      </c>
      <c r="F67" s="109"/>
      <c r="G67" s="130" t="s">
        <v>97</v>
      </c>
      <c r="H67" s="109"/>
      <c r="I67" s="130" t="s">
        <v>203</v>
      </c>
      <c r="J67" s="109"/>
      <c r="K67" s="130" t="s">
        <v>204</v>
      </c>
      <c r="L67" s="109"/>
      <c r="M67" s="131"/>
      <c r="N67" s="131" t="s">
        <v>205</v>
      </c>
      <c r="O67" s="105"/>
      <c r="P67" s="105"/>
      <c r="Q67" s="105"/>
      <c r="R67" s="105"/>
    </row>
    <row r="68" spans="1:18">
      <c r="A68" s="105"/>
      <c r="B68" s="105"/>
      <c r="C68" s="105"/>
      <c r="D68" s="105"/>
      <c r="E68" s="105"/>
      <c r="F68" s="105"/>
      <c r="G68" s="105"/>
      <c r="H68" s="105"/>
      <c r="I68" s="105"/>
      <c r="J68" s="105"/>
      <c r="K68" s="105"/>
      <c r="L68" s="105"/>
      <c r="M68" s="105"/>
      <c r="N68" s="105"/>
      <c r="O68" s="105"/>
      <c r="P68" s="105"/>
      <c r="Q68" s="105"/>
      <c r="R68" s="105"/>
    </row>
    <row r="69" spans="1:18">
      <c r="A69" s="94" t="s">
        <v>72</v>
      </c>
      <c r="B69" s="123"/>
      <c r="C69" s="124"/>
      <c r="D69" s="107" t="str">
        <f>$A$1</f>
        <v>Confiabilidad</v>
      </c>
      <c r="E69" s="108"/>
      <c r="F69" s="108"/>
      <c r="G69" s="108"/>
      <c r="H69" s="108"/>
      <c r="I69" s="108"/>
      <c r="J69" s="108"/>
      <c r="K69" s="108"/>
      <c r="L69" s="108"/>
      <c r="M69" s="108"/>
      <c r="N69" s="109"/>
      <c r="O69" s="105"/>
      <c r="P69" s="105"/>
      <c r="Q69" s="105"/>
      <c r="R69" s="105"/>
    </row>
    <row r="70" spans="1:18" ht="17.25" customHeight="1">
      <c r="A70" s="95" t="s">
        <v>73</v>
      </c>
      <c r="B70" s="106"/>
      <c r="C70" s="125"/>
      <c r="D70" s="112" t="s">
        <v>37</v>
      </c>
      <c r="E70" s="108"/>
      <c r="F70" s="108"/>
      <c r="G70" s="108"/>
      <c r="H70" s="108"/>
      <c r="I70" s="108"/>
      <c r="J70" s="108"/>
      <c r="K70" s="108"/>
      <c r="L70" s="108"/>
      <c r="M70" s="108"/>
      <c r="N70" s="109"/>
      <c r="O70" s="105"/>
      <c r="P70" s="105"/>
      <c r="Q70" s="105"/>
      <c r="R70" s="105"/>
    </row>
    <row r="71" spans="1:18">
      <c r="A71" s="93" t="s">
        <v>74</v>
      </c>
      <c r="B71" s="110"/>
      <c r="C71" s="126"/>
      <c r="D71" s="107" t="s">
        <v>206</v>
      </c>
      <c r="E71" s="108"/>
      <c r="F71" s="108"/>
      <c r="G71" s="108"/>
      <c r="H71" s="108"/>
      <c r="I71" s="108"/>
      <c r="J71" s="108"/>
      <c r="K71" s="108"/>
      <c r="L71" s="108"/>
      <c r="M71" s="108"/>
      <c r="N71" s="109"/>
      <c r="O71" s="105"/>
      <c r="P71" s="105"/>
      <c r="Q71" s="105"/>
      <c r="R71" s="105"/>
    </row>
    <row r="72" spans="1:18">
      <c r="A72" s="93" t="s">
        <v>76</v>
      </c>
      <c r="B72" s="110"/>
      <c r="C72" s="126"/>
      <c r="D72" s="107" t="s">
        <v>207</v>
      </c>
      <c r="E72" s="108"/>
      <c r="F72" s="108"/>
      <c r="G72" s="108"/>
      <c r="H72" s="108"/>
      <c r="I72" s="108"/>
      <c r="J72" s="108"/>
      <c r="K72" s="108"/>
      <c r="L72" s="108"/>
      <c r="M72" s="108"/>
      <c r="N72" s="109"/>
      <c r="O72" s="105"/>
      <c r="P72" s="105"/>
      <c r="Q72" s="105"/>
      <c r="R72" s="105"/>
    </row>
    <row r="73" spans="1:18">
      <c r="A73" s="93" t="s">
        <v>78</v>
      </c>
      <c r="B73" s="110"/>
      <c r="C73" s="126"/>
      <c r="D73" s="107" t="s">
        <v>79</v>
      </c>
      <c r="E73" s="108"/>
      <c r="F73" s="108"/>
      <c r="G73" s="108"/>
      <c r="H73" s="108"/>
      <c r="I73" s="108"/>
      <c r="J73" s="108"/>
      <c r="K73" s="108"/>
      <c r="L73" s="108"/>
      <c r="M73" s="108"/>
      <c r="N73" s="109"/>
      <c r="O73" s="105"/>
      <c r="P73" s="105"/>
      <c r="Q73" s="105"/>
      <c r="R73" s="105"/>
    </row>
    <row r="74" spans="1:18" ht="30.75" customHeight="1">
      <c r="A74" s="90" t="s">
        <v>151</v>
      </c>
      <c r="B74" s="127"/>
      <c r="C74" s="128"/>
      <c r="D74" s="129" t="s">
        <v>208</v>
      </c>
      <c r="E74" s="120"/>
      <c r="F74" s="120"/>
      <c r="G74" s="120"/>
      <c r="H74" s="120"/>
      <c r="I74" s="120"/>
      <c r="J74" s="120"/>
      <c r="K74" s="120"/>
      <c r="L74" s="120"/>
      <c r="M74" s="120"/>
      <c r="N74" s="121"/>
      <c r="O74" s="105"/>
      <c r="P74" s="105"/>
      <c r="Q74" s="105"/>
      <c r="R74" s="105"/>
    </row>
    <row r="75" spans="1:18" ht="54.75" customHeight="1">
      <c r="A75" s="92" t="s">
        <v>82</v>
      </c>
      <c r="B75" s="108"/>
      <c r="C75" s="109"/>
      <c r="D75" s="112" t="s">
        <v>209</v>
      </c>
      <c r="E75" s="108"/>
      <c r="F75" s="108"/>
      <c r="G75" s="108"/>
      <c r="H75" s="108"/>
      <c r="I75" s="108"/>
      <c r="J75" s="108"/>
      <c r="K75" s="108"/>
      <c r="L75" s="108"/>
      <c r="M75" s="108"/>
      <c r="N75" s="109"/>
      <c r="O75" s="105"/>
      <c r="P75" s="105"/>
      <c r="Q75" s="105"/>
      <c r="R75" s="105"/>
    </row>
    <row r="76" spans="1:18" ht="40.5" customHeight="1">
      <c r="A76" s="92" t="s">
        <v>84</v>
      </c>
      <c r="B76" s="108"/>
      <c r="C76" s="109"/>
      <c r="D76" s="112" t="s">
        <v>210</v>
      </c>
      <c r="E76" s="108"/>
      <c r="F76" s="108"/>
      <c r="G76" s="108"/>
      <c r="H76" s="108"/>
      <c r="I76" s="108"/>
      <c r="J76" s="108"/>
      <c r="K76" s="108"/>
      <c r="L76" s="108"/>
      <c r="M76" s="108"/>
      <c r="N76" s="109"/>
      <c r="O76" s="105"/>
      <c r="P76" s="105"/>
      <c r="Q76" s="105"/>
      <c r="R76" s="105"/>
    </row>
    <row r="77" spans="1:18" ht="32.1" customHeight="1">
      <c r="A77" s="91" t="s">
        <v>86</v>
      </c>
      <c r="B77" s="109"/>
      <c r="C77" s="91" t="s">
        <v>87</v>
      </c>
      <c r="D77" s="109"/>
      <c r="E77" s="91" t="s">
        <v>88</v>
      </c>
      <c r="F77" s="109"/>
      <c r="G77" s="91" t="s">
        <v>89</v>
      </c>
      <c r="H77" s="109"/>
      <c r="I77" s="91" t="s">
        <v>90</v>
      </c>
      <c r="J77" s="109"/>
      <c r="K77" s="91" t="s">
        <v>91</v>
      </c>
      <c r="L77" s="109"/>
      <c r="M77" s="45" t="s">
        <v>92</v>
      </c>
      <c r="N77" s="46" t="s">
        <v>93</v>
      </c>
      <c r="O77" s="105"/>
      <c r="P77" s="105"/>
      <c r="Q77" s="105"/>
      <c r="R77" s="105"/>
    </row>
    <row r="78" spans="1:18" ht="121.5" customHeight="1">
      <c r="A78" s="130" t="s">
        <v>211</v>
      </c>
      <c r="B78" s="109"/>
      <c r="C78" s="130" t="s">
        <v>212</v>
      </c>
      <c r="D78" s="109"/>
      <c r="E78" s="130" t="s">
        <v>129</v>
      </c>
      <c r="F78" s="109"/>
      <c r="G78" s="130" t="s">
        <v>97</v>
      </c>
      <c r="H78" s="109"/>
      <c r="I78" s="130" t="s">
        <v>213</v>
      </c>
      <c r="J78" s="109"/>
      <c r="K78" s="130" t="s">
        <v>214</v>
      </c>
      <c r="L78" s="109"/>
      <c r="M78" s="131"/>
      <c r="N78" s="131" t="s">
        <v>158</v>
      </c>
      <c r="O78" s="105"/>
      <c r="P78" s="105"/>
      <c r="Q78" s="105"/>
      <c r="R78" s="105"/>
    </row>
    <row r="79" spans="1:18">
      <c r="A79" s="105"/>
      <c r="B79" s="105"/>
      <c r="C79" s="105"/>
      <c r="D79" s="105"/>
      <c r="E79" s="105"/>
      <c r="F79" s="105"/>
      <c r="G79" s="105"/>
      <c r="H79" s="105"/>
      <c r="I79" s="105"/>
      <c r="J79" s="105"/>
      <c r="K79" s="105"/>
      <c r="L79" s="105"/>
      <c r="M79" s="105"/>
      <c r="N79" s="105"/>
      <c r="O79" s="105"/>
      <c r="P79" s="105"/>
      <c r="Q79" s="105"/>
      <c r="R79" s="105" t="s">
        <v>215</v>
      </c>
    </row>
    <row r="80" spans="1:18">
      <c r="A80" s="94" t="s">
        <v>72</v>
      </c>
      <c r="B80" s="123"/>
      <c r="C80" s="124"/>
      <c r="D80" s="107" t="str">
        <f>$A$1</f>
        <v>Confiabilidad</v>
      </c>
      <c r="E80" s="108"/>
      <c r="F80" s="108"/>
      <c r="G80" s="108"/>
      <c r="H80" s="108"/>
      <c r="I80" s="108"/>
      <c r="J80" s="108"/>
      <c r="K80" s="108"/>
      <c r="L80" s="108"/>
      <c r="M80" s="108"/>
      <c r="N80" s="109"/>
      <c r="O80" s="105"/>
      <c r="P80" s="105"/>
      <c r="Q80" s="105"/>
      <c r="R80" s="105"/>
    </row>
    <row r="81" spans="1:18" ht="19.5" customHeight="1">
      <c r="A81" s="95" t="s">
        <v>73</v>
      </c>
      <c r="B81" s="106"/>
      <c r="C81" s="125"/>
      <c r="D81" s="112" t="s">
        <v>37</v>
      </c>
      <c r="E81" s="108"/>
      <c r="F81" s="108"/>
      <c r="G81" s="108"/>
      <c r="H81" s="108"/>
      <c r="I81" s="108"/>
      <c r="J81" s="108"/>
      <c r="K81" s="108"/>
      <c r="L81" s="108"/>
      <c r="M81" s="108"/>
      <c r="N81" s="109"/>
      <c r="O81" s="105"/>
      <c r="P81" s="105"/>
      <c r="Q81" s="105"/>
      <c r="R81" s="105"/>
    </row>
    <row r="82" spans="1:18">
      <c r="A82" s="93" t="s">
        <v>74</v>
      </c>
      <c r="B82" s="110"/>
      <c r="C82" s="126"/>
      <c r="D82" s="107" t="s">
        <v>216</v>
      </c>
      <c r="E82" s="108"/>
      <c r="F82" s="108"/>
      <c r="G82" s="108"/>
      <c r="H82" s="108"/>
      <c r="I82" s="108"/>
      <c r="J82" s="108"/>
      <c r="K82" s="108"/>
      <c r="L82" s="108"/>
      <c r="M82" s="108"/>
      <c r="N82" s="109"/>
      <c r="O82" s="105"/>
      <c r="P82" s="105"/>
      <c r="Q82" s="105"/>
      <c r="R82" s="105"/>
    </row>
    <row r="83" spans="1:18">
      <c r="A83" s="93" t="s">
        <v>76</v>
      </c>
      <c r="B83" s="110"/>
      <c r="C83" s="126"/>
      <c r="D83" s="107" t="s">
        <v>217</v>
      </c>
      <c r="E83" s="108"/>
      <c r="F83" s="108"/>
      <c r="G83" s="108"/>
      <c r="H83" s="108"/>
      <c r="I83" s="108"/>
      <c r="J83" s="108"/>
      <c r="K83" s="108"/>
      <c r="L83" s="108"/>
      <c r="M83" s="108"/>
      <c r="N83" s="109"/>
      <c r="O83" s="105"/>
      <c r="P83" s="105"/>
      <c r="Q83" s="105"/>
      <c r="R83" s="105"/>
    </row>
    <row r="84" spans="1:18">
      <c r="A84" s="93" t="s">
        <v>78</v>
      </c>
      <c r="B84" s="110"/>
      <c r="C84" s="126"/>
      <c r="D84" s="107" t="s">
        <v>103</v>
      </c>
      <c r="E84" s="108"/>
      <c r="F84" s="108"/>
      <c r="G84" s="108"/>
      <c r="H84" s="108"/>
      <c r="I84" s="108"/>
      <c r="J84" s="108"/>
      <c r="K84" s="108"/>
      <c r="L84" s="108"/>
      <c r="M84" s="108"/>
      <c r="N84" s="109"/>
      <c r="O84" s="105"/>
      <c r="P84" s="105"/>
      <c r="Q84" s="105"/>
      <c r="R84" s="105"/>
    </row>
    <row r="85" spans="1:18" ht="30.75" customHeight="1">
      <c r="A85" s="90" t="s">
        <v>151</v>
      </c>
      <c r="B85" s="127"/>
      <c r="C85" s="128"/>
      <c r="D85" s="129" t="s">
        <v>218</v>
      </c>
      <c r="E85" s="120"/>
      <c r="F85" s="120"/>
      <c r="G85" s="120"/>
      <c r="H85" s="120"/>
      <c r="I85" s="120"/>
      <c r="J85" s="120"/>
      <c r="K85" s="120"/>
      <c r="L85" s="120"/>
      <c r="M85" s="120"/>
      <c r="N85" s="121"/>
      <c r="O85" s="105"/>
      <c r="P85" s="105"/>
      <c r="Q85" s="105"/>
      <c r="R85" s="105"/>
    </row>
    <row r="86" spans="1:18" ht="52.5" customHeight="1">
      <c r="A86" s="92" t="s">
        <v>82</v>
      </c>
      <c r="B86" s="108"/>
      <c r="C86" s="109"/>
      <c r="D86" s="112" t="s">
        <v>219</v>
      </c>
      <c r="E86" s="108"/>
      <c r="F86" s="108"/>
      <c r="G86" s="108"/>
      <c r="H86" s="108"/>
      <c r="I86" s="108"/>
      <c r="J86" s="108"/>
      <c r="K86" s="108"/>
      <c r="L86" s="108"/>
      <c r="M86" s="108"/>
      <c r="N86" s="109"/>
      <c r="O86" s="105"/>
      <c r="P86" s="105"/>
      <c r="Q86" s="105"/>
      <c r="R86" s="105"/>
    </row>
    <row r="87" spans="1:18">
      <c r="A87" s="92" t="s">
        <v>84</v>
      </c>
      <c r="B87" s="108"/>
      <c r="C87" s="109"/>
      <c r="D87" s="112" t="s">
        <v>220</v>
      </c>
      <c r="E87" s="108"/>
      <c r="F87" s="108"/>
      <c r="G87" s="108"/>
      <c r="H87" s="108"/>
      <c r="I87" s="108"/>
      <c r="J87" s="108"/>
      <c r="K87" s="108"/>
      <c r="L87" s="108"/>
      <c r="M87" s="108"/>
      <c r="N87" s="109"/>
      <c r="O87" s="105"/>
      <c r="P87" s="105"/>
      <c r="Q87" s="105"/>
      <c r="R87" s="105"/>
    </row>
    <row r="88" spans="1:18" ht="32.1" customHeight="1">
      <c r="A88" s="91" t="s">
        <v>86</v>
      </c>
      <c r="B88" s="109"/>
      <c r="C88" s="91" t="s">
        <v>87</v>
      </c>
      <c r="D88" s="109"/>
      <c r="E88" s="91" t="s">
        <v>88</v>
      </c>
      <c r="F88" s="109"/>
      <c r="G88" s="91" t="s">
        <v>89</v>
      </c>
      <c r="H88" s="109"/>
      <c r="I88" s="91" t="s">
        <v>90</v>
      </c>
      <c r="J88" s="109"/>
      <c r="K88" s="91" t="s">
        <v>91</v>
      </c>
      <c r="L88" s="109"/>
      <c r="M88" s="45" t="s">
        <v>92</v>
      </c>
      <c r="N88" s="46" t="s">
        <v>93</v>
      </c>
      <c r="O88" s="105"/>
      <c r="P88" s="105"/>
      <c r="Q88" s="105"/>
      <c r="R88" s="105"/>
    </row>
    <row r="89" spans="1:18" ht="118.5" customHeight="1">
      <c r="A89" s="130" t="s">
        <v>221</v>
      </c>
      <c r="B89" s="109"/>
      <c r="C89" s="130" t="s">
        <v>222</v>
      </c>
      <c r="D89" s="109"/>
      <c r="E89" s="130" t="s">
        <v>129</v>
      </c>
      <c r="F89" s="109"/>
      <c r="G89" s="130" t="s">
        <v>97</v>
      </c>
      <c r="H89" s="109"/>
      <c r="I89" s="130" t="s">
        <v>223</v>
      </c>
      <c r="J89" s="109"/>
      <c r="K89" s="130" t="s">
        <v>224</v>
      </c>
      <c r="L89" s="109"/>
      <c r="M89" s="131"/>
      <c r="N89" s="131" t="s">
        <v>225</v>
      </c>
      <c r="O89" s="105"/>
      <c r="P89" s="105"/>
      <c r="Q89" s="105"/>
      <c r="R89" s="105"/>
    </row>
    <row r="91" spans="1:18">
      <c r="A91" s="122"/>
      <c r="B91" s="122"/>
      <c r="C91" s="122"/>
      <c r="D91" s="122"/>
      <c r="E91" s="122"/>
      <c r="F91" s="122"/>
      <c r="G91" s="122"/>
      <c r="H91" s="122"/>
      <c r="I91" s="122"/>
      <c r="J91" s="122"/>
      <c r="K91" s="122"/>
      <c r="L91" s="122"/>
      <c r="M91" s="122"/>
      <c r="N91" s="122"/>
      <c r="O91" s="105"/>
      <c r="P91" s="105"/>
      <c r="Q91" s="105"/>
      <c r="R91" s="105"/>
    </row>
    <row r="92" spans="1:18" ht="18" customHeight="1">
      <c r="A92" s="122"/>
      <c r="B92" s="122"/>
      <c r="C92" s="122"/>
      <c r="D92" s="122"/>
      <c r="E92" s="122"/>
      <c r="F92" s="122"/>
      <c r="G92" s="122"/>
      <c r="H92" s="122"/>
      <c r="I92" s="122"/>
      <c r="J92" s="122"/>
      <c r="K92" s="122"/>
      <c r="L92" s="122"/>
      <c r="M92" s="122"/>
      <c r="N92" s="122"/>
      <c r="O92" s="105"/>
      <c r="P92" s="105"/>
      <c r="Q92" s="105"/>
      <c r="R92" s="105"/>
    </row>
    <row r="93" spans="1:18">
      <c r="A93" s="122"/>
      <c r="B93" s="122"/>
      <c r="C93" s="122"/>
      <c r="D93" s="122"/>
      <c r="E93" s="122"/>
      <c r="F93" s="122"/>
      <c r="G93" s="122"/>
      <c r="H93" s="122"/>
      <c r="I93" s="122"/>
      <c r="J93" s="122"/>
      <c r="K93" s="122"/>
      <c r="L93" s="122"/>
      <c r="M93" s="122"/>
      <c r="N93" s="122"/>
      <c r="O93" s="105"/>
      <c r="P93" s="105"/>
      <c r="Q93" s="105"/>
      <c r="R93" s="105"/>
    </row>
    <row r="94" spans="1:18">
      <c r="A94" s="122"/>
      <c r="B94" s="122"/>
      <c r="C94" s="122"/>
      <c r="D94" s="122"/>
      <c r="E94" s="122"/>
      <c r="F94" s="122"/>
      <c r="G94" s="122"/>
      <c r="H94" s="122"/>
      <c r="I94" s="122"/>
      <c r="J94" s="122"/>
      <c r="K94" s="122"/>
      <c r="L94" s="122"/>
      <c r="M94" s="122"/>
      <c r="N94" s="122"/>
      <c r="O94" s="105"/>
      <c r="P94" s="105"/>
      <c r="Q94" s="105"/>
      <c r="R94" s="105"/>
    </row>
    <row r="95" spans="1:18">
      <c r="A95" s="122"/>
      <c r="B95" s="122"/>
      <c r="C95" s="122"/>
      <c r="D95" s="122"/>
      <c r="E95" s="122"/>
      <c r="F95" s="122"/>
      <c r="G95" s="122"/>
      <c r="H95" s="122"/>
      <c r="I95" s="122"/>
      <c r="J95" s="122"/>
      <c r="K95" s="122"/>
      <c r="L95" s="122"/>
      <c r="M95" s="122"/>
      <c r="N95" s="122"/>
      <c r="O95" s="105"/>
      <c r="P95" s="105"/>
      <c r="Q95" s="105"/>
      <c r="R95" s="105"/>
    </row>
    <row r="96" spans="1:18" ht="33" customHeight="1">
      <c r="A96" s="122"/>
      <c r="B96" s="122"/>
      <c r="C96" s="122"/>
      <c r="D96" s="122"/>
      <c r="E96" s="122"/>
      <c r="F96" s="122"/>
      <c r="G96" s="122"/>
      <c r="H96" s="122"/>
      <c r="I96" s="122"/>
      <c r="J96" s="122"/>
      <c r="K96" s="122"/>
      <c r="L96" s="122"/>
      <c r="M96" s="122"/>
      <c r="N96" s="122"/>
      <c r="O96" s="105"/>
      <c r="P96" s="105"/>
      <c r="Q96" s="105"/>
      <c r="R96" s="105"/>
    </row>
    <row r="97" spans="1:14" ht="49.5" customHeight="1">
      <c r="A97" s="122"/>
      <c r="B97" s="122"/>
      <c r="C97" s="122"/>
      <c r="D97" s="122"/>
      <c r="E97" s="122"/>
      <c r="F97" s="122"/>
      <c r="G97" s="122"/>
      <c r="H97" s="122"/>
      <c r="I97" s="122"/>
      <c r="J97" s="122"/>
      <c r="K97" s="122"/>
      <c r="L97" s="122"/>
      <c r="M97" s="122"/>
      <c r="N97" s="122"/>
    </row>
    <row r="98" spans="1:14">
      <c r="A98" s="122"/>
      <c r="B98" s="122"/>
      <c r="C98" s="122"/>
      <c r="D98" s="122"/>
      <c r="E98" s="122"/>
      <c r="F98" s="122"/>
      <c r="G98" s="122"/>
      <c r="H98" s="122"/>
      <c r="I98" s="122"/>
      <c r="J98" s="122"/>
      <c r="K98" s="122"/>
      <c r="L98" s="122"/>
      <c r="M98" s="122"/>
      <c r="N98" s="122"/>
    </row>
    <row r="99" spans="1:14" ht="32.1" customHeight="1">
      <c r="A99" s="122"/>
      <c r="B99" s="122"/>
      <c r="C99" s="122"/>
      <c r="D99" s="122"/>
      <c r="E99" s="122"/>
      <c r="F99" s="122"/>
      <c r="G99" s="122"/>
      <c r="H99" s="122"/>
      <c r="I99" s="122"/>
      <c r="J99" s="122"/>
      <c r="K99" s="122"/>
      <c r="L99" s="122"/>
      <c r="M99" s="105"/>
      <c r="N99" s="105"/>
    </row>
    <row r="100" spans="1:14" ht="100.5" customHeight="1">
      <c r="A100" s="122"/>
      <c r="B100" s="122"/>
      <c r="C100" s="122"/>
      <c r="D100" s="122"/>
      <c r="E100" s="122"/>
      <c r="F100" s="122"/>
      <c r="G100" s="122"/>
      <c r="H100" s="122"/>
      <c r="I100" s="122"/>
      <c r="J100" s="122"/>
      <c r="K100" s="122"/>
      <c r="L100" s="122"/>
      <c r="M100" s="105"/>
      <c r="N100" s="105"/>
    </row>
    <row r="102" spans="1:14">
      <c r="A102" s="122"/>
      <c r="B102" s="122"/>
      <c r="C102" s="122"/>
      <c r="D102" s="122"/>
      <c r="E102" s="122"/>
      <c r="F102" s="122"/>
      <c r="G102" s="122"/>
      <c r="H102" s="122"/>
      <c r="I102" s="122"/>
      <c r="J102" s="122"/>
      <c r="K102" s="122"/>
      <c r="L102" s="122"/>
      <c r="M102" s="122"/>
      <c r="N102" s="122"/>
    </row>
    <row r="103" spans="1:14" ht="18.75" customHeight="1">
      <c r="A103" s="122"/>
      <c r="B103" s="122"/>
      <c r="C103" s="122"/>
      <c r="D103" s="122"/>
      <c r="E103" s="122"/>
      <c r="F103" s="122"/>
      <c r="G103" s="122"/>
      <c r="H103" s="122"/>
      <c r="I103" s="122"/>
      <c r="J103" s="122"/>
      <c r="K103" s="122"/>
      <c r="L103" s="122"/>
      <c r="M103" s="122"/>
      <c r="N103" s="122"/>
    </row>
    <row r="104" spans="1:14">
      <c r="A104" s="122"/>
      <c r="B104" s="122"/>
      <c r="C104" s="122"/>
      <c r="D104" s="122"/>
      <c r="E104" s="122"/>
      <c r="F104" s="122"/>
      <c r="G104" s="122"/>
      <c r="H104" s="122"/>
      <c r="I104" s="122"/>
      <c r="J104" s="122"/>
      <c r="K104" s="122"/>
      <c r="L104" s="122"/>
      <c r="M104" s="122"/>
      <c r="N104" s="122"/>
    </row>
    <row r="105" spans="1:14">
      <c r="A105" s="122"/>
      <c r="B105" s="122"/>
      <c r="C105" s="122"/>
      <c r="D105" s="122"/>
      <c r="E105" s="122"/>
      <c r="F105" s="122"/>
      <c r="G105" s="122"/>
      <c r="H105" s="122"/>
      <c r="I105" s="122"/>
      <c r="J105" s="122"/>
      <c r="K105" s="122"/>
      <c r="L105" s="122"/>
      <c r="M105" s="122"/>
      <c r="N105" s="122"/>
    </row>
    <row r="106" spans="1:14">
      <c r="A106" s="122"/>
      <c r="B106" s="122"/>
      <c r="C106" s="122"/>
      <c r="D106" s="122"/>
      <c r="E106" s="122"/>
      <c r="F106" s="122"/>
      <c r="G106" s="122"/>
      <c r="H106" s="122"/>
      <c r="I106" s="122"/>
      <c r="J106" s="122"/>
      <c r="K106" s="122"/>
      <c r="L106" s="122"/>
      <c r="M106" s="122"/>
      <c r="N106" s="122"/>
    </row>
    <row r="107" spans="1:14" ht="34.5" customHeight="1">
      <c r="A107" s="122"/>
      <c r="B107" s="122"/>
      <c r="C107" s="122"/>
      <c r="D107" s="122"/>
      <c r="E107" s="122"/>
      <c r="F107" s="122"/>
      <c r="G107" s="122"/>
      <c r="H107" s="122"/>
      <c r="I107" s="122"/>
      <c r="J107" s="122"/>
      <c r="K107" s="122"/>
      <c r="L107" s="122"/>
      <c r="M107" s="122"/>
      <c r="N107" s="122"/>
    </row>
    <row r="108" spans="1:14" ht="55.5" customHeight="1">
      <c r="A108" s="122"/>
      <c r="B108" s="122"/>
      <c r="C108" s="122"/>
      <c r="D108" s="122"/>
      <c r="E108" s="122"/>
      <c r="F108" s="122"/>
      <c r="G108" s="122"/>
      <c r="H108" s="122"/>
      <c r="I108" s="122"/>
      <c r="J108" s="122"/>
      <c r="K108" s="122"/>
      <c r="L108" s="122"/>
      <c r="M108" s="122"/>
      <c r="N108" s="122"/>
    </row>
    <row r="109" spans="1:14" ht="28.5" customHeight="1">
      <c r="A109" s="122"/>
      <c r="B109" s="122"/>
      <c r="C109" s="122"/>
      <c r="D109" s="122"/>
      <c r="E109" s="122"/>
      <c r="F109" s="122"/>
      <c r="G109" s="122"/>
      <c r="H109" s="122"/>
      <c r="I109" s="122"/>
      <c r="J109" s="122"/>
      <c r="K109" s="122"/>
      <c r="L109" s="122"/>
      <c r="M109" s="122"/>
      <c r="N109" s="122"/>
    </row>
    <row r="110" spans="1:14" ht="32.1" customHeight="1">
      <c r="A110" s="122"/>
      <c r="B110" s="122"/>
      <c r="C110" s="122"/>
      <c r="D110" s="122"/>
      <c r="E110" s="122"/>
      <c r="F110" s="122"/>
      <c r="G110" s="122"/>
      <c r="H110" s="122"/>
      <c r="I110" s="122"/>
      <c r="J110" s="122"/>
      <c r="K110" s="122"/>
      <c r="L110" s="122"/>
      <c r="M110" s="105"/>
      <c r="N110" s="105"/>
    </row>
    <row r="111" spans="1:14" ht="121.5" customHeight="1">
      <c r="A111" s="122"/>
      <c r="B111" s="122"/>
      <c r="C111" s="122"/>
      <c r="D111" s="122"/>
      <c r="E111" s="122"/>
      <c r="F111" s="122"/>
      <c r="G111" s="122"/>
      <c r="H111" s="122"/>
      <c r="I111" s="122"/>
      <c r="J111" s="122"/>
      <c r="K111" s="122"/>
      <c r="L111" s="122"/>
      <c r="M111" s="105"/>
      <c r="N111" s="105"/>
    </row>
    <row r="113" spans="1:14">
      <c r="A113" s="122"/>
      <c r="B113" s="122"/>
      <c r="C113" s="122"/>
      <c r="D113" s="122"/>
      <c r="E113" s="122"/>
      <c r="F113" s="122"/>
      <c r="G113" s="122"/>
      <c r="H113" s="122"/>
      <c r="I113" s="122"/>
      <c r="J113" s="122"/>
      <c r="K113" s="122"/>
      <c r="L113" s="122"/>
      <c r="M113" s="122"/>
      <c r="N113" s="122"/>
    </row>
    <row r="114" spans="1:14" ht="18.75" customHeight="1">
      <c r="A114" s="122"/>
      <c r="B114" s="122"/>
      <c r="C114" s="122"/>
      <c r="D114" s="122"/>
      <c r="E114" s="122"/>
      <c r="F114" s="122"/>
      <c r="G114" s="122"/>
      <c r="H114" s="122"/>
      <c r="I114" s="122"/>
      <c r="J114" s="122"/>
      <c r="K114" s="122"/>
      <c r="L114" s="122"/>
      <c r="M114" s="122"/>
      <c r="N114" s="122"/>
    </row>
    <row r="115" spans="1:14">
      <c r="A115" s="122"/>
      <c r="B115" s="122"/>
      <c r="C115" s="122"/>
      <c r="D115" s="122"/>
      <c r="E115" s="122"/>
      <c r="F115" s="122"/>
      <c r="G115" s="122"/>
      <c r="H115" s="122"/>
      <c r="I115" s="122"/>
      <c r="J115" s="122"/>
      <c r="K115" s="122"/>
      <c r="L115" s="122"/>
      <c r="M115" s="122"/>
      <c r="N115" s="122"/>
    </row>
    <row r="116" spans="1:14">
      <c r="A116" s="122"/>
      <c r="B116" s="122"/>
      <c r="C116" s="122"/>
      <c r="D116" s="122"/>
      <c r="E116" s="122"/>
      <c r="F116" s="122"/>
      <c r="G116" s="122"/>
      <c r="H116" s="122"/>
      <c r="I116" s="122"/>
      <c r="J116" s="122"/>
      <c r="K116" s="122"/>
      <c r="L116" s="122"/>
      <c r="M116" s="122"/>
      <c r="N116" s="122"/>
    </row>
    <row r="117" spans="1:14">
      <c r="A117" s="122"/>
      <c r="B117" s="122"/>
      <c r="C117" s="122"/>
      <c r="D117" s="122"/>
      <c r="E117" s="122"/>
      <c r="F117" s="122"/>
      <c r="G117" s="122"/>
      <c r="H117" s="122"/>
      <c r="I117" s="122"/>
      <c r="J117" s="122"/>
      <c r="K117" s="122"/>
      <c r="L117" s="122"/>
      <c r="M117" s="122"/>
      <c r="N117" s="122"/>
    </row>
    <row r="118" spans="1:14" ht="29.25" customHeight="1">
      <c r="A118" s="122"/>
      <c r="B118" s="122"/>
      <c r="C118" s="122"/>
      <c r="D118" s="122"/>
      <c r="E118" s="122"/>
      <c r="F118" s="122"/>
      <c r="G118" s="122"/>
      <c r="H118" s="122"/>
      <c r="I118" s="122"/>
      <c r="J118" s="122"/>
      <c r="K118" s="122"/>
      <c r="L118" s="122"/>
      <c r="M118" s="122"/>
      <c r="N118" s="122"/>
    </row>
    <row r="119" spans="1:14" ht="47.25" customHeight="1">
      <c r="A119" s="122"/>
      <c r="B119" s="122"/>
      <c r="C119" s="122"/>
      <c r="D119" s="122"/>
      <c r="E119" s="122"/>
      <c r="F119" s="122"/>
      <c r="G119" s="122"/>
      <c r="H119" s="122"/>
      <c r="I119" s="122"/>
      <c r="J119" s="122"/>
      <c r="K119" s="122"/>
      <c r="L119" s="122"/>
      <c r="M119" s="122"/>
      <c r="N119" s="122"/>
    </row>
    <row r="120" spans="1:14">
      <c r="A120" s="122"/>
      <c r="B120" s="122"/>
      <c r="C120" s="122"/>
      <c r="D120" s="122"/>
      <c r="E120" s="122"/>
      <c r="F120" s="122"/>
      <c r="G120" s="122"/>
      <c r="H120" s="122"/>
      <c r="I120" s="122"/>
      <c r="J120" s="122"/>
      <c r="K120" s="122"/>
      <c r="L120" s="122"/>
      <c r="M120" s="122"/>
      <c r="N120" s="122"/>
    </row>
    <row r="121" spans="1:14" ht="32.1" customHeight="1">
      <c r="A121" s="122"/>
      <c r="B121" s="122"/>
      <c r="C121" s="122"/>
      <c r="D121" s="122"/>
      <c r="E121" s="122"/>
      <c r="F121" s="122"/>
      <c r="G121" s="122"/>
      <c r="H121" s="122"/>
      <c r="I121" s="122"/>
      <c r="J121" s="122"/>
      <c r="K121" s="122"/>
      <c r="L121" s="122"/>
      <c r="M121" s="105"/>
      <c r="N121" s="105"/>
    </row>
    <row r="122" spans="1:14" ht="116.25" customHeight="1">
      <c r="A122" s="122"/>
      <c r="B122" s="122"/>
      <c r="C122" s="122"/>
      <c r="D122" s="122"/>
      <c r="E122" s="122"/>
      <c r="F122" s="122"/>
      <c r="G122" s="122"/>
      <c r="H122" s="122"/>
      <c r="I122" s="122"/>
      <c r="J122" s="122"/>
      <c r="K122" s="122"/>
      <c r="L122" s="122"/>
      <c r="M122" s="105"/>
      <c r="N122" s="105"/>
    </row>
    <row r="124" spans="1:14">
      <c r="A124" s="122"/>
      <c r="B124" s="122"/>
      <c r="C124" s="122"/>
      <c r="D124" s="122"/>
      <c r="E124" s="122"/>
      <c r="F124" s="122"/>
      <c r="G124" s="122"/>
      <c r="H124" s="122"/>
      <c r="I124" s="122"/>
      <c r="J124" s="122"/>
      <c r="K124" s="122"/>
      <c r="L124" s="122"/>
      <c r="M124" s="122"/>
      <c r="N124" s="122"/>
    </row>
    <row r="125" spans="1:14" ht="18" customHeight="1">
      <c r="A125" s="122"/>
      <c r="B125" s="122"/>
      <c r="C125" s="122"/>
      <c r="D125" s="122"/>
      <c r="E125" s="122"/>
      <c r="F125" s="122"/>
      <c r="G125" s="122"/>
      <c r="H125" s="122"/>
      <c r="I125" s="122"/>
      <c r="J125" s="122"/>
      <c r="K125" s="122"/>
      <c r="L125" s="122"/>
      <c r="M125" s="122"/>
      <c r="N125" s="122"/>
    </row>
    <row r="126" spans="1:14">
      <c r="A126" s="122"/>
      <c r="B126" s="122"/>
      <c r="C126" s="122"/>
      <c r="D126" s="122"/>
      <c r="E126" s="122"/>
      <c r="F126" s="122"/>
      <c r="G126" s="122"/>
      <c r="H126" s="122"/>
      <c r="I126" s="122"/>
      <c r="J126" s="122"/>
      <c r="K126" s="122"/>
      <c r="L126" s="122"/>
      <c r="M126" s="122"/>
      <c r="N126" s="122"/>
    </row>
    <row r="127" spans="1:14">
      <c r="A127" s="122"/>
      <c r="B127" s="122"/>
      <c r="C127" s="122"/>
      <c r="D127" s="122"/>
      <c r="E127" s="122"/>
      <c r="F127" s="122"/>
      <c r="G127" s="122"/>
      <c r="H127" s="122"/>
      <c r="I127" s="122"/>
      <c r="J127" s="122"/>
      <c r="K127" s="122"/>
      <c r="L127" s="122"/>
      <c r="M127" s="122"/>
      <c r="N127" s="122"/>
    </row>
    <row r="128" spans="1:14">
      <c r="A128" s="122"/>
      <c r="B128" s="122"/>
      <c r="C128" s="122"/>
      <c r="D128" s="122"/>
      <c r="E128" s="122"/>
      <c r="F128" s="122"/>
      <c r="G128" s="122"/>
      <c r="H128" s="122"/>
      <c r="I128" s="122"/>
      <c r="J128" s="122"/>
      <c r="K128" s="122"/>
      <c r="L128" s="122"/>
      <c r="M128" s="122"/>
      <c r="N128" s="122"/>
    </row>
    <row r="129" spans="1:14" ht="35.25" customHeight="1">
      <c r="A129" s="122"/>
      <c r="B129" s="122"/>
      <c r="C129" s="122"/>
      <c r="D129" s="122"/>
      <c r="E129" s="122"/>
      <c r="F129" s="122"/>
      <c r="G129" s="122"/>
      <c r="H129" s="122"/>
      <c r="I129" s="122"/>
      <c r="J129" s="122"/>
      <c r="K129" s="122"/>
      <c r="L129" s="122"/>
      <c r="M129" s="122"/>
      <c r="N129" s="122"/>
    </row>
    <row r="130" spans="1:14" ht="33.75" customHeight="1">
      <c r="A130" s="122"/>
      <c r="B130" s="122"/>
      <c r="C130" s="122"/>
      <c r="D130" s="122"/>
      <c r="E130" s="122"/>
      <c r="F130" s="122"/>
      <c r="G130" s="122"/>
      <c r="H130" s="122"/>
      <c r="I130" s="122"/>
      <c r="J130" s="122"/>
      <c r="K130" s="122"/>
      <c r="L130" s="122"/>
      <c r="M130" s="122"/>
      <c r="N130" s="122"/>
    </row>
    <row r="131" spans="1:14">
      <c r="A131" s="122"/>
      <c r="B131" s="122"/>
      <c r="C131" s="122"/>
      <c r="D131" s="122"/>
      <c r="E131" s="122"/>
      <c r="F131" s="122"/>
      <c r="G131" s="122"/>
      <c r="H131" s="122"/>
      <c r="I131" s="122"/>
      <c r="J131" s="122"/>
      <c r="K131" s="122"/>
      <c r="L131" s="122"/>
      <c r="M131" s="122"/>
      <c r="N131" s="122"/>
    </row>
    <row r="132" spans="1:14" ht="32.1" customHeight="1">
      <c r="A132" s="122"/>
      <c r="B132" s="122"/>
      <c r="C132" s="122"/>
      <c r="D132" s="122"/>
      <c r="E132" s="122"/>
      <c r="F132" s="122"/>
      <c r="G132" s="122"/>
      <c r="H132" s="122"/>
      <c r="I132" s="122"/>
      <c r="J132" s="122"/>
      <c r="K132" s="122"/>
      <c r="L132" s="122"/>
      <c r="M132" s="105"/>
      <c r="N132" s="105"/>
    </row>
    <row r="133" spans="1:14" ht="98.25" customHeight="1">
      <c r="A133" s="122"/>
      <c r="B133" s="122"/>
      <c r="C133" s="122"/>
      <c r="D133" s="122"/>
      <c r="E133" s="122"/>
      <c r="F133" s="122"/>
      <c r="G133" s="122"/>
      <c r="H133" s="122"/>
      <c r="I133" s="122"/>
      <c r="J133" s="122"/>
      <c r="K133" s="122"/>
      <c r="L133" s="122"/>
      <c r="M133" s="105"/>
      <c r="N133" s="105"/>
    </row>
    <row r="135" spans="1:14">
      <c r="A135" s="122"/>
      <c r="B135" s="122"/>
      <c r="C135" s="122"/>
      <c r="D135" s="122"/>
      <c r="E135" s="122"/>
      <c r="F135" s="122"/>
      <c r="G135" s="122"/>
      <c r="H135" s="122"/>
      <c r="I135" s="122"/>
      <c r="J135" s="122"/>
      <c r="K135" s="122"/>
      <c r="L135" s="122"/>
      <c r="M135" s="122"/>
      <c r="N135" s="122"/>
    </row>
    <row r="136" spans="1:14" ht="16.5" customHeight="1">
      <c r="A136" s="122"/>
      <c r="B136" s="122"/>
      <c r="C136" s="122"/>
      <c r="D136" s="122"/>
      <c r="E136" s="122"/>
      <c r="F136" s="122"/>
      <c r="G136" s="122"/>
      <c r="H136" s="122"/>
      <c r="I136" s="122"/>
      <c r="J136" s="122"/>
      <c r="K136" s="122"/>
      <c r="L136" s="122"/>
      <c r="M136" s="122"/>
      <c r="N136" s="122"/>
    </row>
    <row r="137" spans="1:14">
      <c r="A137" s="122"/>
      <c r="B137" s="122"/>
      <c r="C137" s="122"/>
      <c r="D137" s="122"/>
      <c r="E137" s="122"/>
      <c r="F137" s="122"/>
      <c r="G137" s="122"/>
      <c r="H137" s="122"/>
      <c r="I137" s="122"/>
      <c r="J137" s="122"/>
      <c r="K137" s="122"/>
      <c r="L137" s="122"/>
      <c r="M137" s="122"/>
      <c r="N137" s="122"/>
    </row>
    <row r="138" spans="1:14">
      <c r="A138" s="122"/>
      <c r="B138" s="122"/>
      <c r="C138" s="122"/>
      <c r="D138" s="122"/>
      <c r="E138" s="122"/>
      <c r="F138" s="122"/>
      <c r="G138" s="122"/>
      <c r="H138" s="122"/>
      <c r="I138" s="122"/>
      <c r="J138" s="122"/>
      <c r="K138" s="122"/>
      <c r="L138" s="122"/>
      <c r="M138" s="122"/>
      <c r="N138" s="122"/>
    </row>
    <row r="139" spans="1:14">
      <c r="A139" s="122"/>
      <c r="B139" s="122"/>
      <c r="C139" s="122"/>
      <c r="D139" s="122"/>
      <c r="E139" s="122"/>
      <c r="F139" s="122"/>
      <c r="G139" s="122"/>
      <c r="H139" s="122"/>
      <c r="I139" s="122"/>
      <c r="J139" s="122"/>
      <c r="K139" s="122"/>
      <c r="L139" s="122"/>
      <c r="M139" s="122"/>
      <c r="N139" s="122"/>
    </row>
    <row r="140" spans="1:14" ht="37.5" customHeight="1">
      <c r="A140" s="122"/>
      <c r="B140" s="122"/>
      <c r="C140" s="122"/>
      <c r="D140" s="122"/>
      <c r="E140" s="122"/>
      <c r="F140" s="122"/>
      <c r="G140" s="122"/>
      <c r="H140" s="122"/>
      <c r="I140" s="122"/>
      <c r="J140" s="122"/>
      <c r="K140" s="122"/>
      <c r="L140" s="122"/>
      <c r="M140" s="122"/>
      <c r="N140" s="122"/>
    </row>
    <row r="141" spans="1:14" ht="57.75" customHeight="1">
      <c r="A141" s="122"/>
      <c r="B141" s="122"/>
      <c r="C141" s="122"/>
      <c r="D141" s="122"/>
      <c r="E141" s="122"/>
      <c r="F141" s="122"/>
      <c r="G141" s="122"/>
      <c r="H141" s="122"/>
      <c r="I141" s="122"/>
      <c r="J141" s="122"/>
      <c r="K141" s="122"/>
      <c r="L141" s="122"/>
      <c r="M141" s="122"/>
      <c r="N141" s="122"/>
    </row>
    <row r="142" spans="1:14" ht="29.25" hidden="1" customHeight="1">
      <c r="A142" s="122"/>
      <c r="B142" s="122"/>
      <c r="C142" s="122"/>
      <c r="D142" s="122"/>
      <c r="E142" s="122"/>
      <c r="F142" s="122"/>
      <c r="G142" s="122"/>
      <c r="H142" s="122"/>
      <c r="I142" s="122"/>
      <c r="J142" s="122"/>
      <c r="K142" s="122"/>
      <c r="L142" s="122"/>
      <c r="M142" s="122"/>
      <c r="N142" s="122"/>
    </row>
    <row r="143" spans="1:14" ht="32.1" customHeight="1">
      <c r="A143" s="122"/>
      <c r="B143" s="122"/>
      <c r="C143" s="122"/>
      <c r="D143" s="122"/>
      <c r="E143" s="122"/>
      <c r="F143" s="122"/>
      <c r="G143" s="122"/>
      <c r="H143" s="122"/>
      <c r="I143" s="122"/>
      <c r="J143" s="122"/>
      <c r="K143" s="122"/>
      <c r="L143" s="122"/>
      <c r="M143" s="105"/>
      <c r="N143" s="105"/>
    </row>
    <row r="144" spans="1:14" ht="99" customHeight="1">
      <c r="A144" s="122"/>
      <c r="B144" s="122"/>
      <c r="C144" s="122"/>
      <c r="D144" s="122"/>
      <c r="E144" s="122"/>
      <c r="F144" s="122"/>
      <c r="G144" s="122"/>
      <c r="H144" s="122"/>
      <c r="I144" s="122"/>
      <c r="J144" s="122"/>
      <c r="K144" s="122"/>
      <c r="L144" s="122"/>
      <c r="M144" s="105"/>
      <c r="N144" s="105"/>
    </row>
    <row r="146" spans="1:14">
      <c r="A146" s="122"/>
      <c r="B146" s="122"/>
      <c r="C146" s="122"/>
      <c r="D146" s="122"/>
      <c r="E146" s="122"/>
      <c r="F146" s="122"/>
      <c r="G146" s="122"/>
      <c r="H146" s="122"/>
      <c r="I146" s="122"/>
      <c r="J146" s="122"/>
      <c r="K146" s="122"/>
      <c r="L146" s="122"/>
      <c r="M146" s="122"/>
      <c r="N146" s="122"/>
    </row>
    <row r="147" spans="1:14" ht="15.75" customHeight="1">
      <c r="A147" s="122"/>
      <c r="B147" s="122"/>
      <c r="C147" s="122"/>
      <c r="D147" s="122"/>
      <c r="E147" s="122"/>
      <c r="F147" s="122"/>
      <c r="G147" s="122"/>
      <c r="H147" s="122"/>
      <c r="I147" s="122"/>
      <c r="J147" s="122"/>
      <c r="K147" s="122"/>
      <c r="L147" s="122"/>
      <c r="M147" s="122"/>
      <c r="N147" s="122"/>
    </row>
    <row r="148" spans="1:14">
      <c r="A148" s="122"/>
      <c r="B148" s="122"/>
      <c r="C148" s="122"/>
      <c r="D148" s="122"/>
      <c r="E148" s="122"/>
      <c r="F148" s="122"/>
      <c r="G148" s="122"/>
      <c r="H148" s="122"/>
      <c r="I148" s="122"/>
      <c r="J148" s="122"/>
      <c r="K148" s="122"/>
      <c r="L148" s="122"/>
      <c r="M148" s="122"/>
      <c r="N148" s="122"/>
    </row>
    <row r="149" spans="1:14">
      <c r="A149" s="122"/>
      <c r="B149" s="122"/>
      <c r="C149" s="122"/>
      <c r="D149" s="122"/>
      <c r="E149" s="122"/>
      <c r="F149" s="122"/>
      <c r="G149" s="122"/>
      <c r="H149" s="122"/>
      <c r="I149" s="122"/>
      <c r="J149" s="122"/>
      <c r="K149" s="122"/>
      <c r="L149" s="122"/>
      <c r="M149" s="122"/>
      <c r="N149" s="122"/>
    </row>
    <row r="150" spans="1:14">
      <c r="A150" s="122"/>
      <c r="B150" s="122"/>
      <c r="C150" s="122"/>
      <c r="D150" s="122"/>
      <c r="E150" s="122"/>
      <c r="F150" s="122"/>
      <c r="G150" s="122"/>
      <c r="H150" s="122"/>
      <c r="I150" s="122"/>
      <c r="J150" s="122"/>
      <c r="K150" s="122"/>
      <c r="L150" s="122"/>
      <c r="M150" s="122"/>
      <c r="N150" s="122"/>
    </row>
    <row r="151" spans="1:14" ht="26.25" customHeight="1">
      <c r="A151" s="122"/>
      <c r="B151" s="122"/>
      <c r="C151" s="122"/>
      <c r="D151" s="122"/>
      <c r="E151" s="122"/>
      <c r="F151" s="122"/>
      <c r="G151" s="122"/>
      <c r="H151" s="122"/>
      <c r="I151" s="122"/>
      <c r="J151" s="122"/>
      <c r="K151" s="122"/>
      <c r="L151" s="122"/>
      <c r="M151" s="122"/>
      <c r="N151" s="122"/>
    </row>
    <row r="152" spans="1:14" ht="48" customHeight="1">
      <c r="A152" s="122"/>
      <c r="B152" s="122"/>
      <c r="C152" s="122"/>
      <c r="D152" s="122"/>
      <c r="E152" s="122"/>
      <c r="F152" s="122"/>
      <c r="G152" s="122"/>
      <c r="H152" s="122"/>
      <c r="I152" s="122"/>
      <c r="J152" s="122"/>
      <c r="K152" s="122"/>
      <c r="L152" s="122"/>
      <c r="M152" s="122"/>
      <c r="N152" s="122"/>
    </row>
    <row r="153" spans="1:14" ht="33" customHeight="1">
      <c r="A153" s="122"/>
      <c r="B153" s="122"/>
      <c r="C153" s="122"/>
      <c r="D153" s="122"/>
      <c r="E153" s="122"/>
      <c r="F153" s="122"/>
      <c r="G153" s="122"/>
      <c r="H153" s="122"/>
      <c r="I153" s="122"/>
      <c r="J153" s="122"/>
      <c r="K153" s="122"/>
      <c r="L153" s="122"/>
      <c r="M153" s="122"/>
      <c r="N153" s="122"/>
    </row>
    <row r="154" spans="1:14" ht="32.1" customHeight="1">
      <c r="A154" s="122"/>
      <c r="B154" s="122"/>
      <c r="C154" s="122"/>
      <c r="D154" s="122"/>
      <c r="E154" s="122"/>
      <c r="F154" s="122"/>
      <c r="G154" s="122"/>
      <c r="H154" s="122"/>
      <c r="I154" s="122"/>
      <c r="J154" s="122"/>
      <c r="K154" s="122"/>
      <c r="L154" s="122"/>
      <c r="M154" s="105"/>
      <c r="N154" s="105"/>
    </row>
    <row r="155" spans="1:14" ht="138" customHeight="1">
      <c r="A155" s="122"/>
      <c r="B155" s="122"/>
      <c r="C155" s="122"/>
      <c r="D155" s="122"/>
      <c r="E155" s="122"/>
      <c r="F155" s="122"/>
      <c r="G155" s="122"/>
      <c r="H155" s="122"/>
      <c r="I155" s="122"/>
      <c r="J155" s="122"/>
      <c r="K155" s="122"/>
      <c r="L155" s="122"/>
      <c r="M155" s="105"/>
      <c r="N155" s="105"/>
    </row>
  </sheetData>
  <mergeCells count="392">
    <mergeCell ref="D136:N136"/>
    <mergeCell ref="D70:N70"/>
    <mergeCell ref="A52:C52"/>
    <mergeCell ref="C100:D100"/>
    <mergeCell ref="D28:N28"/>
    <mergeCell ref="A26:C26"/>
    <mergeCell ref="D31:N31"/>
    <mergeCell ref="K34:L34"/>
    <mergeCell ref="D119:N119"/>
    <mergeCell ref="A110:B110"/>
    <mergeCell ref="D40:N40"/>
    <mergeCell ref="A116:C116"/>
    <mergeCell ref="I100:J100"/>
    <mergeCell ref="K100:L100"/>
    <mergeCell ref="I155:J155"/>
    <mergeCell ref="K155:L155"/>
    <mergeCell ref="A33:B33"/>
    <mergeCell ref="D7:N7"/>
    <mergeCell ref="A83:C83"/>
    <mergeCell ref="D71:N71"/>
    <mergeCell ref="D58:N58"/>
    <mergeCell ref="A49:C49"/>
    <mergeCell ref="G143:H143"/>
    <mergeCell ref="D73:N73"/>
    <mergeCell ref="A118:C118"/>
    <mergeCell ref="E55:F55"/>
    <mergeCell ref="E67:F67"/>
    <mergeCell ref="G67:H67"/>
    <mergeCell ref="D131:N131"/>
    <mergeCell ref="D124:N124"/>
    <mergeCell ref="A29:C29"/>
    <mergeCell ref="D142:N142"/>
    <mergeCell ref="D129:N129"/>
    <mergeCell ref="A143:B143"/>
    <mergeCell ref="A149:C149"/>
    <mergeCell ref="A78:B78"/>
    <mergeCell ref="A151:C151"/>
    <mergeCell ref="C78:D78"/>
    <mergeCell ref="A4:C4"/>
    <mergeCell ref="I56:J56"/>
    <mergeCell ref="K56:L56"/>
    <mergeCell ref="D126:N126"/>
    <mergeCell ref="D53:N53"/>
    <mergeCell ref="D47:N47"/>
    <mergeCell ref="A31:C31"/>
    <mergeCell ref="A58:C58"/>
    <mergeCell ref="C110:D110"/>
    <mergeCell ref="E110:F110"/>
    <mergeCell ref="A73:C73"/>
    <mergeCell ref="A60:C60"/>
    <mergeCell ref="D15:N15"/>
    <mergeCell ref="A124:C124"/>
    <mergeCell ref="A34:B34"/>
    <mergeCell ref="C34:D34"/>
    <mergeCell ref="A84:C84"/>
    <mergeCell ref="G11:H11"/>
    <mergeCell ref="I11:J11"/>
    <mergeCell ref="D10:N10"/>
    <mergeCell ref="D81:N81"/>
    <mergeCell ref="A50:C50"/>
    <mergeCell ref="A86:C86"/>
    <mergeCell ref="A42:C42"/>
    <mergeCell ref="A150:C150"/>
    <mergeCell ref="K44:L44"/>
    <mergeCell ref="C44:D44"/>
    <mergeCell ref="D76:N76"/>
    <mergeCell ref="A55:B55"/>
    <mergeCell ref="A152:C152"/>
    <mergeCell ref="E77:F77"/>
    <mergeCell ref="E133:F133"/>
    <mergeCell ref="G133:H133"/>
    <mergeCell ref="E89:F89"/>
    <mergeCell ref="G89:H89"/>
    <mergeCell ref="A139:C139"/>
    <mergeCell ref="A140:C140"/>
    <mergeCell ref="D147:N147"/>
    <mergeCell ref="A144:B144"/>
    <mergeCell ref="C144:D144"/>
    <mergeCell ref="A87:C87"/>
    <mergeCell ref="E111:F111"/>
    <mergeCell ref="A105:C105"/>
    <mergeCell ref="A71:C71"/>
    <mergeCell ref="C77:D77"/>
    <mergeCell ref="A108:C108"/>
    <mergeCell ref="A128:C128"/>
    <mergeCell ref="D60:N60"/>
    <mergeCell ref="D3:N3"/>
    <mergeCell ref="D92:N92"/>
    <mergeCell ref="D30:N30"/>
    <mergeCell ref="A70:C70"/>
    <mergeCell ref="D5:N5"/>
    <mergeCell ref="D29:N29"/>
    <mergeCell ref="D94:N94"/>
    <mergeCell ref="A137:C137"/>
    <mergeCell ref="K121:L121"/>
    <mergeCell ref="D69:N69"/>
    <mergeCell ref="A74:C74"/>
    <mergeCell ref="C88:D88"/>
    <mergeCell ref="E88:F88"/>
    <mergeCell ref="K110:L110"/>
    <mergeCell ref="A76:C76"/>
    <mergeCell ref="C55:D55"/>
    <mergeCell ref="I12:J12"/>
    <mergeCell ref="K12:L12"/>
    <mergeCell ref="D16:N16"/>
    <mergeCell ref="A92:C92"/>
    <mergeCell ref="D18:N18"/>
    <mergeCell ref="A94:C94"/>
    <mergeCell ref="I78:J78"/>
    <mergeCell ref="D82:N82"/>
    <mergeCell ref="D6:N6"/>
    <mergeCell ref="D108:N108"/>
    <mergeCell ref="A99:B99"/>
    <mergeCell ref="D95:N95"/>
    <mergeCell ref="D97:N97"/>
    <mergeCell ref="D72:N72"/>
    <mergeCell ref="A148:C148"/>
    <mergeCell ref="A6:C6"/>
    <mergeCell ref="D42:N42"/>
    <mergeCell ref="E22:F22"/>
    <mergeCell ref="D113:N113"/>
    <mergeCell ref="G22:H22"/>
    <mergeCell ref="K78:L78"/>
    <mergeCell ref="D148:N148"/>
    <mergeCell ref="D26:N26"/>
    <mergeCell ref="D50:N50"/>
    <mergeCell ref="D115:N115"/>
    <mergeCell ref="E122:F122"/>
    <mergeCell ref="A45:B45"/>
    <mergeCell ref="D19:N19"/>
    <mergeCell ref="C45:D45"/>
    <mergeCell ref="A120:C120"/>
    <mergeCell ref="A77:B77"/>
    <mergeCell ref="A16:C16"/>
    <mergeCell ref="A3:C3"/>
    <mergeCell ref="K55:L55"/>
    <mergeCell ref="A95:C95"/>
    <mergeCell ref="I144:J144"/>
    <mergeCell ref="K144:L144"/>
    <mergeCell ref="A5:C5"/>
    <mergeCell ref="A32:C32"/>
    <mergeCell ref="A97:C97"/>
    <mergeCell ref="A89:B89"/>
    <mergeCell ref="A96:C96"/>
    <mergeCell ref="G33:H33"/>
    <mergeCell ref="I33:J33"/>
    <mergeCell ref="D103:N103"/>
    <mergeCell ref="D37:N37"/>
    <mergeCell ref="D9:N9"/>
    <mergeCell ref="D118:N118"/>
    <mergeCell ref="A100:B100"/>
    <mergeCell ref="K66:L66"/>
    <mergeCell ref="G99:H99"/>
    <mergeCell ref="C66:D66"/>
    <mergeCell ref="I99:J99"/>
    <mergeCell ref="E66:F66"/>
    <mergeCell ref="D98:N98"/>
    <mergeCell ref="D38:N38"/>
    <mergeCell ref="G155:H155"/>
    <mergeCell ref="D63:N63"/>
    <mergeCell ref="A18:C18"/>
    <mergeCell ref="E132:F132"/>
    <mergeCell ref="G132:H132"/>
    <mergeCell ref="G122:H122"/>
    <mergeCell ref="C143:D143"/>
    <mergeCell ref="A47:C47"/>
    <mergeCell ref="E143:F143"/>
    <mergeCell ref="D52:N52"/>
    <mergeCell ref="D27:N27"/>
    <mergeCell ref="D116:N116"/>
    <mergeCell ref="D91:N91"/>
    <mergeCell ref="D106:N106"/>
    <mergeCell ref="I23:J23"/>
    <mergeCell ref="A23:B23"/>
    <mergeCell ref="D93:N93"/>
    <mergeCell ref="K23:L23"/>
    <mergeCell ref="C23:D23"/>
    <mergeCell ref="A98:C98"/>
    <mergeCell ref="E56:F56"/>
    <mergeCell ref="C154:D154"/>
    <mergeCell ref="G56:H56"/>
    <mergeCell ref="I34:J34"/>
    <mergeCell ref="A17:C17"/>
    <mergeCell ref="A53:C53"/>
    <mergeCell ref="A109:C109"/>
    <mergeCell ref="D41:N41"/>
    <mergeCell ref="A19:C19"/>
    <mergeCell ref="K77:L77"/>
    <mergeCell ref="A117:C117"/>
    <mergeCell ref="C11:D11"/>
    <mergeCell ref="E11:F11"/>
    <mergeCell ref="D43:N43"/>
    <mergeCell ref="A37:C37"/>
    <mergeCell ref="D21:N21"/>
    <mergeCell ref="E12:F12"/>
    <mergeCell ref="G12:H12"/>
    <mergeCell ref="A38:C38"/>
    <mergeCell ref="A40:C40"/>
    <mergeCell ref="A15:C15"/>
    <mergeCell ref="K11:L11"/>
    <mergeCell ref="C22:D22"/>
    <mergeCell ref="D17:N17"/>
    <mergeCell ref="A28:C28"/>
    <mergeCell ref="A30:C30"/>
    <mergeCell ref="K33:L33"/>
    <mergeCell ref="A21:C21"/>
    <mergeCell ref="D137:N137"/>
    <mergeCell ref="A48:C48"/>
    <mergeCell ref="A142:C142"/>
    <mergeCell ref="D74:N74"/>
    <mergeCell ref="D130:N130"/>
    <mergeCell ref="A121:B121"/>
    <mergeCell ref="D117:N117"/>
    <mergeCell ref="A44:B44"/>
    <mergeCell ref="D59:N59"/>
    <mergeCell ref="I89:J89"/>
    <mergeCell ref="K89:L89"/>
    <mergeCell ref="C89:D89"/>
    <mergeCell ref="K88:L88"/>
    <mergeCell ref="D141:N141"/>
    <mergeCell ref="D75:N75"/>
    <mergeCell ref="D135:N135"/>
    <mergeCell ref="I111:J111"/>
    <mergeCell ref="C132:D132"/>
    <mergeCell ref="D104:N104"/>
    <mergeCell ref="D139:N139"/>
    <mergeCell ref="A126:C126"/>
    <mergeCell ref="A136:C136"/>
    <mergeCell ref="A113:C113"/>
    <mergeCell ref="C121:D121"/>
    <mergeCell ref="E155:F155"/>
    <mergeCell ref="A43:C43"/>
    <mergeCell ref="D48:N48"/>
    <mergeCell ref="G121:H121"/>
    <mergeCell ref="I121:J121"/>
    <mergeCell ref="A63:C63"/>
    <mergeCell ref="D87:N87"/>
    <mergeCell ref="A130:C130"/>
    <mergeCell ref="D62:N62"/>
    <mergeCell ref="G110:H110"/>
    <mergeCell ref="I110:J110"/>
    <mergeCell ref="I44:J44"/>
    <mergeCell ref="D114:N114"/>
    <mergeCell ref="A138:C138"/>
    <mergeCell ref="D64:N64"/>
    <mergeCell ref="A119:C119"/>
    <mergeCell ref="A111:B111"/>
    <mergeCell ref="D51:N51"/>
    <mergeCell ref="C111:D111"/>
    <mergeCell ref="A69:C69"/>
    <mergeCell ref="K143:L143"/>
    <mergeCell ref="D138:N138"/>
    <mergeCell ref="D140:N140"/>
    <mergeCell ref="A147:C147"/>
    <mergeCell ref="D127:N127"/>
    <mergeCell ref="A132:B132"/>
    <mergeCell ref="E154:F154"/>
    <mergeCell ref="G154:H154"/>
    <mergeCell ref="A51:C51"/>
    <mergeCell ref="A82:C82"/>
    <mergeCell ref="A146:C146"/>
    <mergeCell ref="D153:N153"/>
    <mergeCell ref="D128:N128"/>
    <mergeCell ref="D65:N65"/>
    <mergeCell ref="A141:C141"/>
    <mergeCell ref="A135:C135"/>
    <mergeCell ref="A133:B133"/>
    <mergeCell ref="C133:D133"/>
    <mergeCell ref="A62:C62"/>
    <mergeCell ref="E78:F78"/>
    <mergeCell ref="K111:L111"/>
    <mergeCell ref="G78:H78"/>
    <mergeCell ref="A72:C72"/>
    <mergeCell ref="A59:C59"/>
    <mergeCell ref="E144:F144"/>
    <mergeCell ref="G144:H144"/>
    <mergeCell ref="D83:N83"/>
    <mergeCell ref="A61:C61"/>
    <mergeCell ref="D125:N125"/>
    <mergeCell ref="G88:H88"/>
    <mergeCell ref="A153:C153"/>
    <mergeCell ref="D14:N14"/>
    <mergeCell ref="D85:N85"/>
    <mergeCell ref="A67:B67"/>
    <mergeCell ref="A54:C54"/>
    <mergeCell ref="A41:C41"/>
    <mergeCell ref="C33:D33"/>
    <mergeCell ref="E33:F33"/>
    <mergeCell ref="A27:C27"/>
    <mergeCell ref="A129:C129"/>
    <mergeCell ref="D80:N80"/>
    <mergeCell ref="D96:N96"/>
    <mergeCell ref="A85:C85"/>
    <mergeCell ref="C99:D99"/>
    <mergeCell ref="A131:C131"/>
    <mergeCell ref="A66:B66"/>
    <mergeCell ref="I55:J55"/>
    <mergeCell ref="I67:J67"/>
    <mergeCell ref="D149:N149"/>
    <mergeCell ref="D151:N151"/>
    <mergeCell ref="I88:J88"/>
    <mergeCell ref="D152:N152"/>
    <mergeCell ref="A80:C80"/>
    <mergeCell ref="D109:N109"/>
    <mergeCell ref="E23:F23"/>
    <mergeCell ref="G23:H23"/>
    <mergeCell ref="A88:B88"/>
    <mergeCell ref="D84:N84"/>
    <mergeCell ref="D86:N86"/>
    <mergeCell ref="I122:J122"/>
    <mergeCell ref="A91:C91"/>
    <mergeCell ref="A56:B56"/>
    <mergeCell ref="C56:D56"/>
    <mergeCell ref="A81:C81"/>
    <mergeCell ref="D61:N61"/>
    <mergeCell ref="I45:J45"/>
    <mergeCell ref="K45:L45"/>
    <mergeCell ref="K99:L99"/>
    <mergeCell ref="G66:H66"/>
    <mergeCell ref="I66:J66"/>
    <mergeCell ref="D4:N4"/>
    <mergeCell ref="A22:B22"/>
    <mergeCell ref="E100:F100"/>
    <mergeCell ref="G100:H100"/>
    <mergeCell ref="C67:D67"/>
    <mergeCell ref="G44:H44"/>
    <mergeCell ref="G77:H77"/>
    <mergeCell ref="I77:J77"/>
    <mergeCell ref="I133:J133"/>
    <mergeCell ref="A75:C75"/>
    <mergeCell ref="K133:L133"/>
    <mergeCell ref="A11:B11"/>
    <mergeCell ref="A104:C104"/>
    <mergeCell ref="D36:N36"/>
    <mergeCell ref="K122:L122"/>
    <mergeCell ref="A14:C14"/>
    <mergeCell ref="A106:C106"/>
    <mergeCell ref="A9:C9"/>
    <mergeCell ref="I132:J132"/>
    <mergeCell ref="K132:L132"/>
    <mergeCell ref="A122:B122"/>
    <mergeCell ref="C122:D122"/>
    <mergeCell ref="A36:C36"/>
    <mergeCell ref="D8:N8"/>
    <mergeCell ref="A155:B155"/>
    <mergeCell ref="C155:D155"/>
    <mergeCell ref="A7:C7"/>
    <mergeCell ref="A25:C25"/>
    <mergeCell ref="E121:F121"/>
    <mergeCell ref="E44:F44"/>
    <mergeCell ref="D105:N105"/>
    <mergeCell ref="D49:N49"/>
    <mergeCell ref="D120:N120"/>
    <mergeCell ref="D107:N107"/>
    <mergeCell ref="A20:C20"/>
    <mergeCell ref="A125:C125"/>
    <mergeCell ref="A12:B12"/>
    <mergeCell ref="I143:J143"/>
    <mergeCell ref="C12:D12"/>
    <mergeCell ref="A127:C127"/>
    <mergeCell ref="A114:C114"/>
    <mergeCell ref="D102:N102"/>
    <mergeCell ref="A64:C64"/>
    <mergeCell ref="D25:N25"/>
    <mergeCell ref="A107:C107"/>
    <mergeCell ref="D39:N39"/>
    <mergeCell ref="D54:N54"/>
    <mergeCell ref="I154:J154"/>
    <mergeCell ref="K154:L154"/>
    <mergeCell ref="A8:C8"/>
    <mergeCell ref="I22:J22"/>
    <mergeCell ref="D32:N32"/>
    <mergeCell ref="K22:L22"/>
    <mergeCell ref="A10:C10"/>
    <mergeCell ref="A115:C115"/>
    <mergeCell ref="A102:C102"/>
    <mergeCell ref="E45:F45"/>
    <mergeCell ref="G45:H45"/>
    <mergeCell ref="A39:C39"/>
    <mergeCell ref="D146:N146"/>
    <mergeCell ref="G55:H55"/>
    <mergeCell ref="A103:C103"/>
    <mergeCell ref="G111:H111"/>
    <mergeCell ref="A154:B154"/>
    <mergeCell ref="D150:N150"/>
    <mergeCell ref="E34:F34"/>
    <mergeCell ref="K67:L67"/>
    <mergeCell ref="G34:H34"/>
    <mergeCell ref="E99:F99"/>
    <mergeCell ref="A93:C93"/>
    <mergeCell ref="A65:C65"/>
    <mergeCell ref="D20:N20"/>
  </mergeCells>
  <hyperlinks>
    <hyperlink ref="A1" location="'Confiabilidad'!A1" display="Confiabilidad"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59999389629810485"/>
  </sheetPr>
  <dimension ref="A1:N177"/>
  <sheetViews>
    <sheetView topLeftCell="J1" workbookViewId="0">
      <selection activeCell="P174" sqref="P174"/>
    </sheetView>
  </sheetViews>
  <sheetFormatPr defaultColWidth="11.42578125" defaultRowHeight="15"/>
  <cols>
    <col min="1" max="1" width="12.28515625" style="43" bestFit="1" customWidth="1"/>
    <col min="2" max="2" width="11.42578125" style="43" customWidth="1"/>
    <col min="3" max="3" width="20" style="43" customWidth="1"/>
    <col min="4" max="4" width="17" style="43" customWidth="1"/>
    <col min="5" max="8" width="11.42578125" style="43" customWidth="1"/>
    <col min="9" max="9" width="23" style="43" customWidth="1"/>
    <col min="10" max="10" width="22.42578125" style="43" customWidth="1"/>
    <col min="11" max="11" width="27.85546875" style="43" customWidth="1"/>
    <col min="12" max="12" width="23.28515625" style="43" customWidth="1"/>
    <col min="13" max="13" width="11.42578125" style="43" customWidth="1"/>
    <col min="14" max="14" width="211.7109375" style="43" bestFit="1" customWidth="1"/>
    <col min="15" max="16384" width="11.42578125" style="43"/>
  </cols>
  <sheetData>
    <row r="1" spans="1:14">
      <c r="A1" s="42" t="s">
        <v>19</v>
      </c>
      <c r="B1" s="105"/>
      <c r="C1" s="105"/>
      <c r="D1" s="105"/>
      <c r="E1" s="105"/>
      <c r="F1" s="105"/>
      <c r="G1" s="105"/>
      <c r="H1" s="105"/>
      <c r="I1" s="105"/>
      <c r="J1" s="105"/>
      <c r="K1" s="105"/>
      <c r="L1" s="105"/>
      <c r="M1" s="105"/>
      <c r="N1" s="105"/>
    </row>
    <row r="2" spans="1:14">
      <c r="A2" s="44"/>
      <c r="B2" s="105"/>
      <c r="C2" s="105"/>
      <c r="D2" s="105"/>
      <c r="E2" s="105"/>
      <c r="F2" s="105"/>
      <c r="G2" s="105"/>
      <c r="H2" s="105"/>
      <c r="I2" s="105"/>
      <c r="J2" s="105"/>
      <c r="K2" s="105"/>
      <c r="L2" s="105"/>
      <c r="M2" s="105"/>
      <c r="N2" s="105"/>
    </row>
    <row r="3" spans="1:14">
      <c r="A3" s="94" t="s">
        <v>72</v>
      </c>
      <c r="B3" s="123"/>
      <c r="C3" s="124"/>
      <c r="D3" s="107" t="str">
        <f>$A$1</f>
        <v>Conformidad</v>
      </c>
      <c r="E3" s="108"/>
      <c r="F3" s="108"/>
      <c r="G3" s="108"/>
      <c r="H3" s="108"/>
      <c r="I3" s="108"/>
      <c r="J3" s="108"/>
      <c r="K3" s="108"/>
      <c r="L3" s="108"/>
      <c r="M3" s="108"/>
      <c r="N3" s="109"/>
    </row>
    <row r="4" spans="1:14" ht="18" customHeight="1">
      <c r="A4" s="95" t="s">
        <v>73</v>
      </c>
      <c r="B4" s="106"/>
      <c r="C4" s="125"/>
      <c r="D4" s="112" t="s">
        <v>40</v>
      </c>
      <c r="E4" s="108"/>
      <c r="F4" s="108"/>
      <c r="G4" s="108"/>
      <c r="H4" s="108"/>
      <c r="I4" s="108"/>
      <c r="J4" s="108"/>
      <c r="K4" s="108"/>
      <c r="L4" s="108"/>
      <c r="M4" s="108"/>
      <c r="N4" s="109"/>
    </row>
    <row r="5" spans="1:14">
      <c r="A5" s="93" t="s">
        <v>74</v>
      </c>
      <c r="B5" s="110"/>
      <c r="C5" s="126"/>
      <c r="D5" s="107" t="s">
        <v>226</v>
      </c>
      <c r="E5" s="108"/>
      <c r="F5" s="108"/>
      <c r="G5" s="108"/>
      <c r="H5" s="108"/>
      <c r="I5" s="108"/>
      <c r="J5" s="108"/>
      <c r="K5" s="108"/>
      <c r="L5" s="108"/>
      <c r="M5" s="108"/>
      <c r="N5" s="109"/>
    </row>
    <row r="6" spans="1:14">
      <c r="A6" s="93" t="s">
        <v>76</v>
      </c>
      <c r="B6" s="110"/>
      <c r="C6" s="126"/>
      <c r="D6" s="107" t="s">
        <v>227</v>
      </c>
      <c r="E6" s="108"/>
      <c r="F6" s="108"/>
      <c r="G6" s="108"/>
      <c r="H6" s="108"/>
      <c r="I6" s="108"/>
      <c r="J6" s="108"/>
      <c r="K6" s="108"/>
      <c r="L6" s="108"/>
      <c r="M6" s="108"/>
      <c r="N6" s="109"/>
    </row>
    <row r="7" spans="1:14">
      <c r="A7" s="93" t="s">
        <v>78</v>
      </c>
      <c r="B7" s="110"/>
      <c r="C7" s="126"/>
      <c r="D7" s="107" t="s">
        <v>79</v>
      </c>
      <c r="E7" s="108"/>
      <c r="F7" s="108"/>
      <c r="G7" s="108"/>
      <c r="H7" s="108"/>
      <c r="I7" s="108"/>
      <c r="J7" s="108"/>
      <c r="K7" s="108"/>
      <c r="L7" s="108"/>
      <c r="M7" s="108"/>
      <c r="N7" s="109"/>
    </row>
    <row r="8" spans="1:14" ht="42.75" customHeight="1">
      <c r="A8" s="90" t="s">
        <v>151</v>
      </c>
      <c r="B8" s="127"/>
      <c r="C8" s="128"/>
      <c r="D8" s="129" t="s">
        <v>228</v>
      </c>
      <c r="E8" s="120"/>
      <c r="F8" s="120"/>
      <c r="G8" s="120"/>
      <c r="H8" s="120"/>
      <c r="I8" s="120"/>
      <c r="J8" s="120"/>
      <c r="K8" s="120"/>
      <c r="L8" s="120"/>
      <c r="M8" s="120"/>
      <c r="N8" s="121"/>
    </row>
    <row r="9" spans="1:14" ht="68.25" customHeight="1">
      <c r="A9" s="92" t="s">
        <v>82</v>
      </c>
      <c r="B9" s="108"/>
      <c r="C9" s="109"/>
      <c r="D9" s="112" t="s">
        <v>229</v>
      </c>
      <c r="E9" s="108"/>
      <c r="F9" s="108"/>
      <c r="G9" s="108"/>
      <c r="H9" s="108"/>
      <c r="I9" s="108"/>
      <c r="J9" s="108"/>
      <c r="K9" s="108"/>
      <c r="L9" s="108"/>
      <c r="M9" s="108"/>
      <c r="N9" s="109"/>
    </row>
    <row r="10" spans="1:14" ht="38.25" customHeight="1">
      <c r="A10" s="92" t="s">
        <v>84</v>
      </c>
      <c r="B10" s="108"/>
      <c r="C10" s="109"/>
      <c r="D10" s="112" t="s">
        <v>230</v>
      </c>
      <c r="E10" s="108"/>
      <c r="F10" s="108"/>
      <c r="G10" s="108"/>
      <c r="H10" s="108"/>
      <c r="I10" s="108"/>
      <c r="J10" s="108"/>
      <c r="K10" s="108"/>
      <c r="L10" s="108"/>
      <c r="M10" s="108"/>
      <c r="N10" s="109"/>
    </row>
    <row r="11" spans="1:14" ht="32.1" customHeight="1">
      <c r="A11" s="91" t="s">
        <v>86</v>
      </c>
      <c r="B11" s="109"/>
      <c r="C11" s="91" t="s">
        <v>87</v>
      </c>
      <c r="D11" s="109"/>
      <c r="E11" s="91" t="s">
        <v>88</v>
      </c>
      <c r="F11" s="109"/>
      <c r="G11" s="91" t="s">
        <v>89</v>
      </c>
      <c r="H11" s="109"/>
      <c r="I11" s="91" t="s">
        <v>90</v>
      </c>
      <c r="J11" s="109"/>
      <c r="K11" s="91" t="s">
        <v>91</v>
      </c>
      <c r="L11" s="109"/>
      <c r="M11" s="45" t="s">
        <v>92</v>
      </c>
      <c r="N11" s="46" t="s">
        <v>93</v>
      </c>
    </row>
    <row r="12" spans="1:14" ht="96.75" customHeight="1">
      <c r="A12" s="130" t="s">
        <v>231</v>
      </c>
      <c r="B12" s="109"/>
      <c r="C12" s="130" t="s">
        <v>232</v>
      </c>
      <c r="D12" s="109"/>
      <c r="E12" s="130" t="s">
        <v>129</v>
      </c>
      <c r="F12" s="109"/>
      <c r="G12" s="130" t="s">
        <v>97</v>
      </c>
      <c r="H12" s="109"/>
      <c r="I12" s="130" t="s">
        <v>233</v>
      </c>
      <c r="J12" s="109"/>
      <c r="K12" s="130" t="s">
        <v>234</v>
      </c>
      <c r="L12" s="109"/>
      <c r="M12" s="131"/>
      <c r="N12" s="131" t="s">
        <v>235</v>
      </c>
    </row>
    <row r="13" spans="1:14">
      <c r="A13" s="105"/>
      <c r="B13" s="105"/>
      <c r="C13" s="105"/>
      <c r="D13" s="105"/>
      <c r="E13" s="105"/>
      <c r="F13" s="105"/>
      <c r="G13" s="105"/>
      <c r="H13" s="105"/>
      <c r="I13" s="105"/>
      <c r="J13" s="105"/>
      <c r="K13" s="105"/>
      <c r="L13" s="105"/>
      <c r="M13" s="105"/>
      <c r="N13" s="105"/>
    </row>
    <row r="14" spans="1:14">
      <c r="A14" s="94" t="s">
        <v>72</v>
      </c>
      <c r="B14" s="123"/>
      <c r="C14" s="124"/>
      <c r="D14" s="107" t="str">
        <f>$A$1</f>
        <v>Conformidad</v>
      </c>
      <c r="E14" s="108"/>
      <c r="F14" s="108"/>
      <c r="G14" s="108"/>
      <c r="H14" s="108"/>
      <c r="I14" s="108"/>
      <c r="J14" s="108"/>
      <c r="K14" s="108"/>
      <c r="L14" s="108"/>
      <c r="M14" s="108"/>
      <c r="N14" s="109"/>
    </row>
    <row r="15" spans="1:14" ht="18.75" customHeight="1">
      <c r="A15" s="95" t="s">
        <v>73</v>
      </c>
      <c r="B15" s="106"/>
      <c r="C15" s="125"/>
      <c r="D15" s="112" t="s">
        <v>40</v>
      </c>
      <c r="E15" s="108"/>
      <c r="F15" s="108"/>
      <c r="G15" s="108"/>
      <c r="H15" s="108"/>
      <c r="I15" s="108"/>
      <c r="J15" s="108"/>
      <c r="K15" s="108"/>
      <c r="L15" s="108"/>
      <c r="M15" s="108"/>
      <c r="N15" s="109"/>
    </row>
    <row r="16" spans="1:14">
      <c r="A16" s="93" t="s">
        <v>74</v>
      </c>
      <c r="B16" s="110"/>
      <c r="C16" s="126"/>
      <c r="D16" s="107" t="s">
        <v>236</v>
      </c>
      <c r="E16" s="108"/>
      <c r="F16" s="108"/>
      <c r="G16" s="108"/>
      <c r="H16" s="108"/>
      <c r="I16" s="108"/>
      <c r="J16" s="108"/>
      <c r="K16" s="108"/>
      <c r="L16" s="108"/>
      <c r="M16" s="108"/>
      <c r="N16" s="109"/>
    </row>
    <row r="17" spans="1:14">
      <c r="A17" s="93" t="s">
        <v>76</v>
      </c>
      <c r="B17" s="110"/>
      <c r="C17" s="126"/>
      <c r="D17" s="107" t="s">
        <v>237</v>
      </c>
      <c r="E17" s="108"/>
      <c r="F17" s="108"/>
      <c r="G17" s="108"/>
      <c r="H17" s="108"/>
      <c r="I17" s="108"/>
      <c r="J17" s="108"/>
      <c r="K17" s="108"/>
      <c r="L17" s="108"/>
      <c r="M17" s="108"/>
      <c r="N17" s="109"/>
    </row>
    <row r="18" spans="1:14">
      <c r="A18" s="93" t="s">
        <v>78</v>
      </c>
      <c r="B18" s="110"/>
      <c r="C18" s="126"/>
      <c r="D18" s="107" t="s">
        <v>103</v>
      </c>
      <c r="E18" s="108"/>
      <c r="F18" s="108"/>
      <c r="G18" s="108"/>
      <c r="H18" s="108"/>
      <c r="I18" s="108"/>
      <c r="J18" s="108"/>
      <c r="K18" s="108"/>
      <c r="L18" s="108"/>
      <c r="M18" s="108"/>
      <c r="N18" s="109"/>
    </row>
    <row r="19" spans="1:14" ht="34.5" customHeight="1">
      <c r="A19" s="90" t="s">
        <v>151</v>
      </c>
      <c r="B19" s="127"/>
      <c r="C19" s="128"/>
      <c r="D19" s="129" t="s">
        <v>238</v>
      </c>
      <c r="E19" s="120"/>
      <c r="F19" s="120"/>
      <c r="G19" s="120"/>
      <c r="H19" s="120"/>
      <c r="I19" s="120"/>
      <c r="J19" s="120"/>
      <c r="K19" s="120"/>
      <c r="L19" s="120"/>
      <c r="M19" s="120"/>
      <c r="N19" s="121"/>
    </row>
    <row r="20" spans="1:14" ht="66.75" customHeight="1">
      <c r="A20" s="92" t="s">
        <v>82</v>
      </c>
      <c r="B20" s="108"/>
      <c r="C20" s="109"/>
      <c r="D20" s="112" t="s">
        <v>239</v>
      </c>
      <c r="E20" s="108"/>
      <c r="F20" s="108"/>
      <c r="G20" s="108"/>
      <c r="H20" s="108"/>
      <c r="I20" s="108"/>
      <c r="J20" s="108"/>
      <c r="K20" s="108"/>
      <c r="L20" s="108"/>
      <c r="M20" s="108"/>
      <c r="N20" s="109"/>
    </row>
    <row r="21" spans="1:14" ht="51" customHeight="1">
      <c r="A21" s="92" t="s">
        <v>84</v>
      </c>
      <c r="B21" s="108"/>
      <c r="C21" s="109"/>
      <c r="D21" s="112" t="s">
        <v>240</v>
      </c>
      <c r="E21" s="108"/>
      <c r="F21" s="108"/>
      <c r="G21" s="108"/>
      <c r="H21" s="108"/>
      <c r="I21" s="108"/>
      <c r="J21" s="108"/>
      <c r="K21" s="108"/>
      <c r="L21" s="108"/>
      <c r="M21" s="108"/>
      <c r="N21" s="109"/>
    </row>
    <row r="22" spans="1:14" ht="32.1" customHeight="1">
      <c r="A22" s="91" t="s">
        <v>86</v>
      </c>
      <c r="B22" s="109"/>
      <c r="C22" s="91" t="s">
        <v>87</v>
      </c>
      <c r="D22" s="109"/>
      <c r="E22" s="91" t="s">
        <v>88</v>
      </c>
      <c r="F22" s="109"/>
      <c r="G22" s="91" t="s">
        <v>89</v>
      </c>
      <c r="H22" s="109"/>
      <c r="I22" s="91" t="s">
        <v>90</v>
      </c>
      <c r="J22" s="109"/>
      <c r="K22" s="91" t="s">
        <v>91</v>
      </c>
      <c r="L22" s="109"/>
      <c r="M22" s="45" t="s">
        <v>92</v>
      </c>
      <c r="N22" s="46" t="s">
        <v>93</v>
      </c>
    </row>
    <row r="23" spans="1:14" ht="139.5" customHeight="1">
      <c r="A23" s="130" t="s">
        <v>107</v>
      </c>
      <c r="B23" s="109"/>
      <c r="C23" s="130" t="s">
        <v>241</v>
      </c>
      <c r="D23" s="109"/>
      <c r="E23" s="130" t="s">
        <v>129</v>
      </c>
      <c r="F23" s="109"/>
      <c r="G23" s="130" t="s">
        <v>97</v>
      </c>
      <c r="H23" s="109"/>
      <c r="I23" s="130" t="s">
        <v>242</v>
      </c>
      <c r="J23" s="109"/>
      <c r="K23" s="130" t="s">
        <v>243</v>
      </c>
      <c r="L23" s="109"/>
      <c r="M23" s="131"/>
      <c r="N23" s="131" t="s">
        <v>244</v>
      </c>
    </row>
    <row r="24" spans="1:14">
      <c r="A24" s="105"/>
      <c r="B24" s="105"/>
      <c r="C24" s="105"/>
      <c r="D24" s="105"/>
      <c r="E24" s="105"/>
      <c r="F24" s="105"/>
      <c r="G24" s="105"/>
      <c r="H24" s="105"/>
      <c r="I24" s="105"/>
      <c r="J24" s="105"/>
      <c r="K24" s="105"/>
      <c r="L24" s="105"/>
      <c r="M24" s="105"/>
      <c r="N24" s="105"/>
    </row>
    <row r="25" spans="1:14">
      <c r="A25" s="94" t="s">
        <v>72</v>
      </c>
      <c r="B25" s="123"/>
      <c r="C25" s="124"/>
      <c r="D25" s="107" t="str">
        <f>$A$1</f>
        <v>Conformidad</v>
      </c>
      <c r="E25" s="108"/>
      <c r="F25" s="108"/>
      <c r="G25" s="108"/>
      <c r="H25" s="108"/>
      <c r="I25" s="108"/>
      <c r="J25" s="108"/>
      <c r="K25" s="108"/>
      <c r="L25" s="108"/>
      <c r="M25" s="108"/>
      <c r="N25" s="109"/>
    </row>
    <row r="26" spans="1:14" ht="19.5" customHeight="1">
      <c r="A26" s="95" t="s">
        <v>73</v>
      </c>
      <c r="B26" s="106"/>
      <c r="C26" s="125"/>
      <c r="D26" s="112" t="s">
        <v>41</v>
      </c>
      <c r="E26" s="108"/>
      <c r="F26" s="108"/>
      <c r="G26" s="108"/>
      <c r="H26" s="108"/>
      <c r="I26" s="108"/>
      <c r="J26" s="108"/>
      <c r="K26" s="108"/>
      <c r="L26" s="108"/>
      <c r="M26" s="108"/>
      <c r="N26" s="109"/>
    </row>
    <row r="27" spans="1:14">
      <c r="A27" s="93" t="s">
        <v>74</v>
      </c>
      <c r="B27" s="110"/>
      <c r="C27" s="126"/>
      <c r="D27" s="107" t="s">
        <v>245</v>
      </c>
      <c r="E27" s="108"/>
      <c r="F27" s="108"/>
      <c r="G27" s="108"/>
      <c r="H27" s="108"/>
      <c r="I27" s="108"/>
      <c r="J27" s="108"/>
      <c r="K27" s="108"/>
      <c r="L27" s="108"/>
      <c r="M27" s="108"/>
      <c r="N27" s="109"/>
    </row>
    <row r="28" spans="1:14">
      <c r="A28" s="93" t="s">
        <v>76</v>
      </c>
      <c r="B28" s="110"/>
      <c r="C28" s="126"/>
      <c r="D28" s="107" t="s">
        <v>246</v>
      </c>
      <c r="E28" s="108"/>
      <c r="F28" s="108"/>
      <c r="G28" s="108"/>
      <c r="H28" s="108"/>
      <c r="I28" s="108"/>
      <c r="J28" s="108"/>
      <c r="K28" s="108"/>
      <c r="L28" s="108"/>
      <c r="M28" s="108"/>
      <c r="N28" s="109"/>
    </row>
    <row r="29" spans="1:14">
      <c r="A29" s="93" t="s">
        <v>78</v>
      </c>
      <c r="B29" s="110"/>
      <c r="C29" s="126"/>
      <c r="D29" s="107" t="s">
        <v>79</v>
      </c>
      <c r="E29" s="108"/>
      <c r="F29" s="108"/>
      <c r="G29" s="108"/>
      <c r="H29" s="108"/>
      <c r="I29" s="108"/>
      <c r="J29" s="108"/>
      <c r="K29" s="108"/>
      <c r="L29" s="108"/>
      <c r="M29" s="108"/>
      <c r="N29" s="109"/>
    </row>
    <row r="30" spans="1:14" ht="32.25" customHeight="1">
      <c r="A30" s="90" t="s">
        <v>151</v>
      </c>
      <c r="B30" s="127"/>
      <c r="C30" s="128"/>
      <c r="D30" s="129" t="s">
        <v>247</v>
      </c>
      <c r="E30" s="120"/>
      <c r="F30" s="120"/>
      <c r="G30" s="120"/>
      <c r="H30" s="120"/>
      <c r="I30" s="120"/>
      <c r="J30" s="120"/>
      <c r="K30" s="120"/>
      <c r="L30" s="120"/>
      <c r="M30" s="120"/>
      <c r="N30" s="121"/>
    </row>
    <row r="31" spans="1:14" ht="59.25" customHeight="1">
      <c r="A31" s="92" t="s">
        <v>82</v>
      </c>
      <c r="B31" s="108"/>
      <c r="C31" s="109"/>
      <c r="D31" s="112" t="s">
        <v>248</v>
      </c>
      <c r="E31" s="108"/>
      <c r="F31" s="108"/>
      <c r="G31" s="108"/>
      <c r="H31" s="108"/>
      <c r="I31" s="108"/>
      <c r="J31" s="108"/>
      <c r="K31" s="108"/>
      <c r="L31" s="108"/>
      <c r="M31" s="108"/>
      <c r="N31" s="109"/>
    </row>
    <row r="32" spans="1:14" ht="30" customHeight="1">
      <c r="A32" s="92" t="s">
        <v>84</v>
      </c>
      <c r="B32" s="108"/>
      <c r="C32" s="109"/>
      <c r="D32" s="112" t="s">
        <v>249</v>
      </c>
      <c r="E32" s="108"/>
      <c r="F32" s="108"/>
      <c r="G32" s="108"/>
      <c r="H32" s="108"/>
      <c r="I32" s="108"/>
      <c r="J32" s="108"/>
      <c r="K32" s="108"/>
      <c r="L32" s="108"/>
      <c r="M32" s="108"/>
      <c r="N32" s="109"/>
    </row>
    <row r="33" spans="1:14" ht="32.1" customHeight="1">
      <c r="A33" s="91" t="s">
        <v>86</v>
      </c>
      <c r="B33" s="109"/>
      <c r="C33" s="91" t="s">
        <v>87</v>
      </c>
      <c r="D33" s="109"/>
      <c r="E33" s="91" t="s">
        <v>88</v>
      </c>
      <c r="F33" s="109"/>
      <c r="G33" s="91" t="s">
        <v>89</v>
      </c>
      <c r="H33" s="109"/>
      <c r="I33" s="91" t="s">
        <v>90</v>
      </c>
      <c r="J33" s="109"/>
      <c r="K33" s="91" t="s">
        <v>91</v>
      </c>
      <c r="L33" s="109"/>
      <c r="M33" s="45" t="s">
        <v>92</v>
      </c>
      <c r="N33" s="46" t="s">
        <v>93</v>
      </c>
    </row>
    <row r="34" spans="1:14" ht="118.5" customHeight="1">
      <c r="A34" s="130" t="s">
        <v>250</v>
      </c>
      <c r="B34" s="109"/>
      <c r="C34" s="130" t="s">
        <v>251</v>
      </c>
      <c r="D34" s="109"/>
      <c r="E34" s="130" t="s">
        <v>129</v>
      </c>
      <c r="F34" s="109"/>
      <c r="G34" s="130" t="s">
        <v>97</v>
      </c>
      <c r="H34" s="109"/>
      <c r="I34" s="130" t="s">
        <v>252</v>
      </c>
      <c r="J34" s="109"/>
      <c r="K34" s="130" t="s">
        <v>253</v>
      </c>
      <c r="L34" s="109"/>
      <c r="M34" s="131"/>
      <c r="N34" s="131" t="s">
        <v>235</v>
      </c>
    </row>
    <row r="35" spans="1:14">
      <c r="A35" s="105"/>
      <c r="B35" s="105"/>
      <c r="C35" s="105"/>
      <c r="D35" s="105"/>
      <c r="E35" s="105"/>
      <c r="F35" s="105"/>
      <c r="G35" s="105"/>
      <c r="H35" s="105"/>
      <c r="I35" s="105"/>
      <c r="J35" s="105"/>
      <c r="K35" s="105"/>
      <c r="L35" s="105"/>
      <c r="M35" s="105"/>
      <c r="N35" s="105"/>
    </row>
    <row r="36" spans="1:14">
      <c r="A36" s="94" t="s">
        <v>72</v>
      </c>
      <c r="B36" s="123"/>
      <c r="C36" s="124"/>
      <c r="D36" s="107" t="str">
        <f>$A$1</f>
        <v>Conformidad</v>
      </c>
      <c r="E36" s="108"/>
      <c r="F36" s="108"/>
      <c r="G36" s="108"/>
      <c r="H36" s="108"/>
      <c r="I36" s="108"/>
      <c r="J36" s="108"/>
      <c r="K36" s="108"/>
      <c r="L36" s="108"/>
      <c r="M36" s="108"/>
      <c r="N36" s="109"/>
    </row>
    <row r="37" spans="1:14" ht="15.75" customHeight="1">
      <c r="A37" s="95" t="s">
        <v>73</v>
      </c>
      <c r="B37" s="106"/>
      <c r="C37" s="125"/>
      <c r="D37" s="112" t="s">
        <v>41</v>
      </c>
      <c r="E37" s="108"/>
      <c r="F37" s="108"/>
      <c r="G37" s="108"/>
      <c r="H37" s="108"/>
      <c r="I37" s="108"/>
      <c r="J37" s="108"/>
      <c r="K37" s="108"/>
      <c r="L37" s="108"/>
      <c r="M37" s="108"/>
      <c r="N37" s="109"/>
    </row>
    <row r="38" spans="1:14">
      <c r="A38" s="93" t="s">
        <v>74</v>
      </c>
      <c r="B38" s="110"/>
      <c r="C38" s="126"/>
      <c r="D38" s="107" t="s">
        <v>254</v>
      </c>
      <c r="E38" s="108"/>
      <c r="F38" s="108"/>
      <c r="G38" s="108"/>
      <c r="H38" s="108"/>
      <c r="I38" s="108"/>
      <c r="J38" s="108"/>
      <c r="K38" s="108"/>
      <c r="L38" s="108"/>
      <c r="M38" s="108"/>
      <c r="N38" s="109"/>
    </row>
    <row r="39" spans="1:14">
      <c r="A39" s="93" t="s">
        <v>76</v>
      </c>
      <c r="B39" s="110"/>
      <c r="C39" s="126"/>
      <c r="D39" s="107" t="s">
        <v>255</v>
      </c>
      <c r="E39" s="108"/>
      <c r="F39" s="108"/>
      <c r="G39" s="108"/>
      <c r="H39" s="108"/>
      <c r="I39" s="108"/>
      <c r="J39" s="108"/>
      <c r="K39" s="108"/>
      <c r="L39" s="108"/>
      <c r="M39" s="108"/>
      <c r="N39" s="109"/>
    </row>
    <row r="40" spans="1:14">
      <c r="A40" s="93" t="s">
        <v>78</v>
      </c>
      <c r="B40" s="110"/>
      <c r="C40" s="126"/>
      <c r="D40" s="107" t="s">
        <v>103</v>
      </c>
      <c r="E40" s="108"/>
      <c r="F40" s="108"/>
      <c r="G40" s="108"/>
      <c r="H40" s="108"/>
      <c r="I40" s="108"/>
      <c r="J40" s="108"/>
      <c r="K40" s="108"/>
      <c r="L40" s="108"/>
      <c r="M40" s="108"/>
      <c r="N40" s="109"/>
    </row>
    <row r="41" spans="1:14" ht="33.75" customHeight="1">
      <c r="A41" s="90" t="s">
        <v>151</v>
      </c>
      <c r="B41" s="127"/>
      <c r="C41" s="128"/>
      <c r="D41" s="129" t="s">
        <v>256</v>
      </c>
      <c r="E41" s="120"/>
      <c r="F41" s="120"/>
      <c r="G41" s="120"/>
      <c r="H41" s="120"/>
      <c r="I41" s="120"/>
      <c r="J41" s="120"/>
      <c r="K41" s="120"/>
      <c r="L41" s="120"/>
      <c r="M41" s="120"/>
      <c r="N41" s="121"/>
    </row>
    <row r="42" spans="1:14" ht="45.75" customHeight="1">
      <c r="A42" s="92" t="s">
        <v>82</v>
      </c>
      <c r="B42" s="108"/>
      <c r="C42" s="109"/>
      <c r="D42" s="112" t="s">
        <v>257</v>
      </c>
      <c r="E42" s="108"/>
      <c r="F42" s="108"/>
      <c r="G42" s="108"/>
      <c r="H42" s="108"/>
      <c r="I42" s="108"/>
      <c r="J42" s="108"/>
      <c r="K42" s="108"/>
      <c r="L42" s="108"/>
      <c r="M42" s="108"/>
      <c r="N42" s="109"/>
    </row>
    <row r="43" spans="1:14" ht="40.5" customHeight="1">
      <c r="A43" s="92" t="s">
        <v>84</v>
      </c>
      <c r="B43" s="108"/>
      <c r="C43" s="109"/>
      <c r="D43" s="112" t="s">
        <v>258</v>
      </c>
      <c r="E43" s="108"/>
      <c r="F43" s="108"/>
      <c r="G43" s="108"/>
      <c r="H43" s="108"/>
      <c r="I43" s="108"/>
      <c r="J43" s="108"/>
      <c r="K43" s="108"/>
      <c r="L43" s="108"/>
      <c r="M43" s="108"/>
      <c r="N43" s="109"/>
    </row>
    <row r="44" spans="1:14" ht="32.1" customHeight="1">
      <c r="A44" s="91" t="s">
        <v>86</v>
      </c>
      <c r="B44" s="109"/>
      <c r="C44" s="91" t="s">
        <v>87</v>
      </c>
      <c r="D44" s="109"/>
      <c r="E44" s="91" t="s">
        <v>88</v>
      </c>
      <c r="F44" s="109"/>
      <c r="G44" s="91" t="s">
        <v>89</v>
      </c>
      <c r="H44" s="109"/>
      <c r="I44" s="91" t="s">
        <v>90</v>
      </c>
      <c r="J44" s="109"/>
      <c r="K44" s="91" t="s">
        <v>91</v>
      </c>
      <c r="L44" s="109"/>
      <c r="M44" s="45" t="s">
        <v>92</v>
      </c>
      <c r="N44" s="46" t="s">
        <v>93</v>
      </c>
    </row>
    <row r="45" spans="1:14" ht="159" customHeight="1">
      <c r="A45" s="130" t="s">
        <v>259</v>
      </c>
      <c r="B45" s="109"/>
      <c r="C45" s="130" t="s">
        <v>260</v>
      </c>
      <c r="D45" s="109"/>
      <c r="E45" s="130" t="s">
        <v>129</v>
      </c>
      <c r="F45" s="109"/>
      <c r="G45" s="130" t="s">
        <v>97</v>
      </c>
      <c r="H45" s="109"/>
      <c r="I45" s="130" t="s">
        <v>261</v>
      </c>
      <c r="J45" s="109"/>
      <c r="K45" s="130" t="s">
        <v>262</v>
      </c>
      <c r="L45" s="109"/>
      <c r="M45" s="131"/>
      <c r="N45" s="131" t="s">
        <v>244</v>
      </c>
    </row>
    <row r="47" spans="1:14">
      <c r="A47" s="122"/>
      <c r="B47" s="122"/>
      <c r="C47" s="122"/>
      <c r="D47" s="122"/>
      <c r="E47" s="122"/>
      <c r="F47" s="122"/>
      <c r="G47" s="122"/>
      <c r="H47" s="122"/>
      <c r="I47" s="122"/>
      <c r="J47" s="122"/>
      <c r="K47" s="122"/>
      <c r="L47" s="122"/>
      <c r="M47" s="122"/>
      <c r="N47" s="122"/>
    </row>
    <row r="48" spans="1:14" ht="17.25" customHeight="1">
      <c r="A48" s="122"/>
      <c r="B48" s="122"/>
      <c r="C48" s="122"/>
      <c r="D48" s="122"/>
      <c r="E48" s="122"/>
      <c r="F48" s="122"/>
      <c r="G48" s="122"/>
      <c r="H48" s="122"/>
      <c r="I48" s="122"/>
      <c r="J48" s="122"/>
      <c r="K48" s="122"/>
      <c r="L48" s="122"/>
      <c r="M48" s="122"/>
      <c r="N48" s="122"/>
    </row>
    <row r="49" spans="1:14">
      <c r="A49" s="122"/>
      <c r="B49" s="122"/>
      <c r="C49" s="122"/>
      <c r="D49" s="122"/>
      <c r="E49" s="122"/>
      <c r="F49" s="122"/>
      <c r="G49" s="122"/>
      <c r="H49" s="122"/>
      <c r="I49" s="122"/>
      <c r="J49" s="122"/>
      <c r="K49" s="122"/>
      <c r="L49" s="122"/>
      <c r="M49" s="122"/>
      <c r="N49" s="122"/>
    </row>
    <row r="50" spans="1:14">
      <c r="A50" s="122"/>
      <c r="B50" s="122"/>
      <c r="C50" s="122"/>
      <c r="D50" s="122"/>
      <c r="E50" s="122"/>
      <c r="F50" s="122"/>
      <c r="G50" s="122"/>
      <c r="H50" s="122"/>
      <c r="I50" s="122"/>
      <c r="J50" s="122"/>
      <c r="K50" s="122"/>
      <c r="L50" s="122"/>
      <c r="M50" s="122"/>
      <c r="N50" s="122"/>
    </row>
    <row r="51" spans="1:14">
      <c r="A51" s="122"/>
      <c r="B51" s="122"/>
      <c r="C51" s="122"/>
      <c r="D51" s="122"/>
      <c r="E51" s="122"/>
      <c r="F51" s="122"/>
      <c r="G51" s="122"/>
      <c r="H51" s="122"/>
      <c r="I51" s="122"/>
      <c r="J51" s="122"/>
      <c r="K51" s="122"/>
      <c r="L51" s="122"/>
      <c r="M51" s="122"/>
      <c r="N51" s="122"/>
    </row>
    <row r="52" spans="1:14" ht="33" customHeight="1">
      <c r="A52" s="122"/>
      <c r="B52" s="122"/>
      <c r="C52" s="122"/>
      <c r="D52" s="122"/>
      <c r="E52" s="122"/>
      <c r="F52" s="122"/>
      <c r="G52" s="122"/>
      <c r="H52" s="122"/>
      <c r="I52" s="122"/>
      <c r="J52" s="122"/>
      <c r="K52" s="122"/>
      <c r="L52" s="122"/>
      <c r="M52" s="122"/>
      <c r="N52" s="122"/>
    </row>
    <row r="53" spans="1:14" ht="52.5" customHeight="1">
      <c r="A53" s="122"/>
      <c r="B53" s="122"/>
      <c r="C53" s="122"/>
      <c r="D53" s="122"/>
      <c r="E53" s="122"/>
      <c r="F53" s="122"/>
      <c r="G53" s="122"/>
      <c r="H53" s="122"/>
      <c r="I53" s="122"/>
      <c r="J53" s="122"/>
      <c r="K53" s="122"/>
      <c r="L53" s="122"/>
      <c r="M53" s="122"/>
      <c r="N53" s="122"/>
    </row>
    <row r="54" spans="1:14" ht="30" customHeight="1">
      <c r="A54" s="122"/>
      <c r="B54" s="122"/>
      <c r="C54" s="122"/>
      <c r="D54" s="122"/>
      <c r="E54" s="122"/>
      <c r="F54" s="122"/>
      <c r="G54" s="122"/>
      <c r="H54" s="122"/>
      <c r="I54" s="122"/>
      <c r="J54" s="122"/>
      <c r="K54" s="122"/>
      <c r="L54" s="122"/>
      <c r="M54" s="122"/>
      <c r="N54" s="122"/>
    </row>
    <row r="55" spans="1:14" ht="32.1" customHeight="1">
      <c r="A55" s="122"/>
      <c r="B55" s="122"/>
      <c r="C55" s="122"/>
      <c r="D55" s="122"/>
      <c r="E55" s="122"/>
      <c r="F55" s="122"/>
      <c r="G55" s="122"/>
      <c r="H55" s="122"/>
      <c r="I55" s="122"/>
      <c r="J55" s="122"/>
      <c r="K55" s="122"/>
      <c r="L55" s="122"/>
      <c r="M55" s="105"/>
      <c r="N55" s="105"/>
    </row>
    <row r="56" spans="1:14" ht="98.25" customHeight="1">
      <c r="A56" s="122"/>
      <c r="B56" s="122"/>
      <c r="C56" s="122"/>
      <c r="D56" s="122"/>
      <c r="E56" s="122"/>
      <c r="F56" s="122"/>
      <c r="G56" s="122"/>
      <c r="H56" s="122"/>
      <c r="I56" s="122"/>
      <c r="J56" s="122"/>
      <c r="K56" s="122"/>
      <c r="L56" s="122"/>
      <c r="M56" s="105"/>
      <c r="N56" s="105"/>
    </row>
    <row r="58" spans="1:14">
      <c r="A58" s="122"/>
      <c r="B58" s="122"/>
      <c r="C58" s="122"/>
      <c r="D58" s="122"/>
      <c r="E58" s="122"/>
      <c r="F58" s="122"/>
      <c r="G58" s="122"/>
      <c r="H58" s="122"/>
      <c r="I58" s="122"/>
      <c r="J58" s="122"/>
      <c r="K58" s="122"/>
      <c r="L58" s="122"/>
      <c r="M58" s="122"/>
      <c r="N58" s="122"/>
    </row>
    <row r="59" spans="1:14" ht="17.25" customHeight="1">
      <c r="A59" s="122"/>
      <c r="B59" s="122"/>
      <c r="C59" s="122"/>
      <c r="D59" s="122"/>
      <c r="E59" s="122"/>
      <c r="F59" s="122"/>
      <c r="G59" s="122"/>
      <c r="H59" s="122"/>
      <c r="I59" s="122"/>
      <c r="J59" s="122"/>
      <c r="K59" s="122"/>
      <c r="L59" s="122"/>
      <c r="M59" s="122"/>
      <c r="N59" s="122"/>
    </row>
    <row r="60" spans="1:14">
      <c r="A60" s="122"/>
      <c r="B60" s="122"/>
      <c r="C60" s="122"/>
      <c r="D60" s="122"/>
      <c r="E60" s="122"/>
      <c r="F60" s="122"/>
      <c r="G60" s="122"/>
      <c r="H60" s="122"/>
      <c r="I60" s="122"/>
      <c r="J60" s="122"/>
      <c r="K60" s="122"/>
      <c r="L60" s="122"/>
      <c r="M60" s="122"/>
      <c r="N60" s="122"/>
    </row>
    <row r="61" spans="1:14">
      <c r="A61" s="122"/>
      <c r="B61" s="122"/>
      <c r="C61" s="122"/>
      <c r="D61" s="122"/>
      <c r="E61" s="122"/>
      <c r="F61" s="122"/>
      <c r="G61" s="122"/>
      <c r="H61" s="122"/>
      <c r="I61" s="122"/>
      <c r="J61" s="122"/>
      <c r="K61" s="122"/>
      <c r="L61" s="122"/>
      <c r="M61" s="122"/>
      <c r="N61" s="122"/>
    </row>
    <row r="62" spans="1:14">
      <c r="A62" s="122"/>
      <c r="B62" s="122"/>
      <c r="C62" s="122"/>
      <c r="D62" s="122"/>
      <c r="E62" s="122"/>
      <c r="F62" s="122"/>
      <c r="G62" s="122"/>
      <c r="H62" s="122"/>
      <c r="I62" s="122"/>
      <c r="J62" s="122"/>
      <c r="K62" s="122"/>
      <c r="L62" s="122"/>
      <c r="M62" s="122"/>
      <c r="N62" s="122"/>
    </row>
    <row r="63" spans="1:14" ht="40.5" customHeight="1">
      <c r="A63" s="122"/>
      <c r="B63" s="122"/>
      <c r="C63" s="122"/>
      <c r="D63" s="122"/>
      <c r="E63" s="122"/>
      <c r="F63" s="122"/>
      <c r="G63" s="122"/>
      <c r="H63" s="122"/>
      <c r="I63" s="122"/>
      <c r="J63" s="122"/>
      <c r="K63" s="122"/>
      <c r="L63" s="122"/>
      <c r="M63" s="122"/>
      <c r="N63" s="122"/>
    </row>
    <row r="64" spans="1:14" ht="46.5" customHeight="1">
      <c r="A64" s="122"/>
      <c r="B64" s="122"/>
      <c r="C64" s="122"/>
      <c r="D64" s="122"/>
      <c r="E64" s="122"/>
      <c r="F64" s="122"/>
      <c r="G64" s="122"/>
      <c r="H64" s="122"/>
      <c r="I64" s="122"/>
      <c r="J64" s="122"/>
      <c r="K64" s="122"/>
      <c r="L64" s="122"/>
      <c r="M64" s="122"/>
      <c r="N64" s="122"/>
    </row>
    <row r="65" spans="1:14" ht="36.75" customHeight="1">
      <c r="A65" s="122"/>
      <c r="B65" s="122"/>
      <c r="C65" s="122"/>
      <c r="D65" s="122"/>
      <c r="E65" s="122"/>
      <c r="F65" s="122"/>
      <c r="G65" s="122"/>
      <c r="H65" s="122"/>
      <c r="I65" s="122"/>
      <c r="J65" s="122"/>
      <c r="K65" s="122"/>
      <c r="L65" s="122"/>
      <c r="M65" s="122"/>
      <c r="N65" s="122"/>
    </row>
    <row r="66" spans="1:14" ht="32.1" customHeight="1">
      <c r="A66" s="122"/>
      <c r="B66" s="122"/>
      <c r="C66" s="122"/>
      <c r="D66" s="122"/>
      <c r="E66" s="122"/>
      <c r="F66" s="122"/>
      <c r="G66" s="122"/>
      <c r="H66" s="122"/>
      <c r="I66" s="122"/>
      <c r="J66" s="122"/>
      <c r="K66" s="122"/>
      <c r="L66" s="122"/>
      <c r="M66" s="105"/>
      <c r="N66" s="105"/>
    </row>
    <row r="67" spans="1:14" ht="94.5" customHeight="1">
      <c r="A67" s="122"/>
      <c r="B67" s="122"/>
      <c r="C67" s="122"/>
      <c r="D67" s="122"/>
      <c r="E67" s="122"/>
      <c r="F67" s="122"/>
      <c r="G67" s="122"/>
      <c r="H67" s="122"/>
      <c r="I67" s="122"/>
      <c r="J67" s="122"/>
      <c r="K67" s="122"/>
      <c r="L67" s="122"/>
      <c r="M67" s="105"/>
      <c r="N67" s="105"/>
    </row>
    <row r="69" spans="1:14">
      <c r="A69" s="122"/>
      <c r="B69" s="122"/>
      <c r="C69" s="122"/>
      <c r="D69" s="122"/>
      <c r="E69" s="122"/>
      <c r="F69" s="122"/>
      <c r="G69" s="122"/>
      <c r="H69" s="122"/>
      <c r="I69" s="122"/>
      <c r="J69" s="122"/>
      <c r="K69" s="122"/>
      <c r="L69" s="122"/>
      <c r="M69" s="122"/>
      <c r="N69" s="122"/>
    </row>
    <row r="70" spans="1:14" ht="21" customHeight="1">
      <c r="A70" s="122"/>
      <c r="B70" s="122"/>
      <c r="C70" s="122"/>
      <c r="D70" s="122"/>
      <c r="E70" s="122"/>
      <c r="F70" s="122"/>
      <c r="G70" s="122"/>
      <c r="H70" s="122"/>
      <c r="I70" s="122"/>
      <c r="J70" s="122"/>
      <c r="K70" s="122"/>
      <c r="L70" s="122"/>
      <c r="M70" s="122"/>
      <c r="N70" s="122"/>
    </row>
    <row r="71" spans="1:14">
      <c r="A71" s="122"/>
      <c r="B71" s="122"/>
      <c r="C71" s="122"/>
      <c r="D71" s="122"/>
      <c r="E71" s="122"/>
      <c r="F71" s="122"/>
      <c r="G71" s="122"/>
      <c r="H71" s="122"/>
      <c r="I71" s="122"/>
      <c r="J71" s="122"/>
      <c r="K71" s="122"/>
      <c r="L71" s="122"/>
      <c r="M71" s="122"/>
      <c r="N71" s="122"/>
    </row>
    <row r="72" spans="1:14">
      <c r="A72" s="122"/>
      <c r="B72" s="122"/>
      <c r="C72" s="122"/>
      <c r="D72" s="122"/>
      <c r="E72" s="122"/>
      <c r="F72" s="122"/>
      <c r="G72" s="122"/>
      <c r="H72" s="122"/>
      <c r="I72" s="122"/>
      <c r="J72" s="122"/>
      <c r="K72" s="122"/>
      <c r="L72" s="122"/>
      <c r="M72" s="122"/>
      <c r="N72" s="122"/>
    </row>
    <row r="73" spans="1:14">
      <c r="A73" s="122"/>
      <c r="B73" s="122"/>
      <c r="C73" s="122"/>
      <c r="D73" s="122"/>
      <c r="E73" s="122"/>
      <c r="F73" s="122"/>
      <c r="G73" s="122"/>
      <c r="H73" s="122"/>
      <c r="I73" s="122"/>
      <c r="J73" s="122"/>
      <c r="K73" s="122"/>
      <c r="L73" s="122"/>
      <c r="M73" s="122"/>
      <c r="N73" s="122"/>
    </row>
    <row r="74" spans="1:14" ht="32.25" customHeight="1">
      <c r="A74" s="122"/>
      <c r="B74" s="122"/>
      <c r="C74" s="122"/>
      <c r="D74" s="122"/>
      <c r="E74" s="122"/>
      <c r="F74" s="122"/>
      <c r="G74" s="122"/>
      <c r="H74" s="122"/>
      <c r="I74" s="122"/>
      <c r="J74" s="122"/>
      <c r="K74" s="122"/>
      <c r="L74" s="122"/>
      <c r="M74" s="122"/>
      <c r="N74" s="122"/>
    </row>
    <row r="75" spans="1:14" ht="31.5" customHeight="1">
      <c r="A75" s="122"/>
      <c r="B75" s="122"/>
      <c r="C75" s="122"/>
      <c r="D75" s="122"/>
      <c r="E75" s="122"/>
      <c r="F75" s="122"/>
      <c r="G75" s="122"/>
      <c r="H75" s="122"/>
      <c r="I75" s="122"/>
      <c r="J75" s="122"/>
      <c r="K75" s="122"/>
      <c r="L75" s="122"/>
      <c r="M75" s="122"/>
      <c r="N75" s="122"/>
    </row>
    <row r="76" spans="1:14" ht="36.75" customHeight="1">
      <c r="A76" s="122"/>
      <c r="B76" s="122"/>
      <c r="C76" s="122"/>
      <c r="D76" s="122"/>
      <c r="E76" s="122"/>
      <c r="F76" s="122"/>
      <c r="G76" s="122"/>
      <c r="H76" s="122"/>
      <c r="I76" s="122"/>
      <c r="J76" s="122"/>
      <c r="K76" s="122"/>
      <c r="L76" s="122"/>
      <c r="M76" s="122"/>
      <c r="N76" s="122"/>
    </row>
    <row r="77" spans="1:14" ht="32.1" customHeight="1">
      <c r="A77" s="122"/>
      <c r="B77" s="122"/>
      <c r="C77" s="122"/>
      <c r="D77" s="122"/>
      <c r="E77" s="122"/>
      <c r="F77" s="122"/>
      <c r="G77" s="122"/>
      <c r="H77" s="122"/>
      <c r="I77" s="122"/>
      <c r="J77" s="122"/>
      <c r="K77" s="122"/>
      <c r="L77" s="122"/>
      <c r="M77" s="105"/>
      <c r="N77" s="105"/>
    </row>
    <row r="78" spans="1:14" ht="94.5" customHeight="1">
      <c r="A78" s="122"/>
      <c r="B78" s="122"/>
      <c r="C78" s="122"/>
      <c r="D78" s="122"/>
      <c r="E78" s="122"/>
      <c r="F78" s="122"/>
      <c r="G78" s="122"/>
      <c r="H78" s="122"/>
      <c r="I78" s="122"/>
      <c r="J78" s="122"/>
      <c r="K78" s="122"/>
      <c r="L78" s="122"/>
      <c r="M78" s="105"/>
      <c r="N78" s="105"/>
    </row>
    <row r="80" spans="1:14">
      <c r="A80" s="122"/>
      <c r="B80" s="122"/>
      <c r="C80" s="122"/>
      <c r="D80" s="122"/>
      <c r="E80" s="122"/>
      <c r="F80" s="122"/>
      <c r="G80" s="122"/>
      <c r="H80" s="122"/>
      <c r="I80" s="122"/>
      <c r="J80" s="122"/>
      <c r="K80" s="122"/>
      <c r="L80" s="122"/>
      <c r="M80" s="122"/>
      <c r="N80" s="122"/>
    </row>
    <row r="81" spans="1:14" ht="19.5" customHeight="1">
      <c r="A81" s="122"/>
      <c r="B81" s="122"/>
      <c r="C81" s="122"/>
      <c r="D81" s="122"/>
      <c r="E81" s="122"/>
      <c r="F81" s="122"/>
      <c r="G81" s="122"/>
      <c r="H81" s="122"/>
      <c r="I81" s="122"/>
      <c r="J81" s="122"/>
      <c r="K81" s="122"/>
      <c r="L81" s="122"/>
      <c r="M81" s="122"/>
      <c r="N81" s="122"/>
    </row>
    <row r="82" spans="1:14">
      <c r="A82" s="122"/>
      <c r="B82" s="122"/>
      <c r="C82" s="122"/>
      <c r="D82" s="122"/>
      <c r="E82" s="122"/>
      <c r="F82" s="122"/>
      <c r="G82" s="122"/>
      <c r="H82" s="122"/>
      <c r="I82" s="122"/>
      <c r="J82" s="122"/>
      <c r="K82" s="122"/>
      <c r="L82" s="122"/>
      <c r="M82" s="122"/>
      <c r="N82" s="122"/>
    </row>
    <row r="83" spans="1:14">
      <c r="A83" s="122"/>
      <c r="B83" s="122"/>
      <c r="C83" s="122"/>
      <c r="D83" s="122"/>
      <c r="E83" s="122"/>
      <c r="F83" s="122"/>
      <c r="G83" s="122"/>
      <c r="H83" s="122"/>
      <c r="I83" s="122"/>
      <c r="J83" s="122"/>
      <c r="K83" s="122"/>
      <c r="L83" s="122"/>
      <c r="M83" s="122"/>
      <c r="N83" s="122"/>
    </row>
    <row r="84" spans="1:14">
      <c r="A84" s="122"/>
      <c r="B84" s="122"/>
      <c r="C84" s="122"/>
      <c r="D84" s="122"/>
      <c r="E84" s="122"/>
      <c r="F84" s="122"/>
      <c r="G84" s="122"/>
      <c r="H84" s="122"/>
      <c r="I84" s="122"/>
      <c r="J84" s="122"/>
      <c r="K84" s="122"/>
      <c r="L84" s="122"/>
      <c r="M84" s="122"/>
      <c r="N84" s="122"/>
    </row>
    <row r="85" spans="1:14" ht="32.25" customHeight="1">
      <c r="A85" s="122"/>
      <c r="B85" s="122"/>
      <c r="C85" s="122"/>
      <c r="D85" s="122"/>
      <c r="E85" s="122"/>
      <c r="F85" s="122"/>
      <c r="G85" s="122"/>
      <c r="H85" s="122"/>
      <c r="I85" s="122"/>
      <c r="J85" s="122"/>
      <c r="K85" s="122"/>
      <c r="L85" s="122"/>
      <c r="M85" s="122"/>
      <c r="N85" s="122"/>
    </row>
    <row r="86" spans="1:14" ht="48" customHeight="1">
      <c r="A86" s="122"/>
      <c r="B86" s="122"/>
      <c r="C86" s="122"/>
      <c r="D86" s="122"/>
      <c r="E86" s="122"/>
      <c r="F86" s="122"/>
      <c r="G86" s="122"/>
      <c r="H86" s="122"/>
      <c r="I86" s="122"/>
      <c r="J86" s="122"/>
      <c r="K86" s="122"/>
      <c r="L86" s="122"/>
      <c r="M86" s="122"/>
      <c r="N86" s="122"/>
    </row>
    <row r="87" spans="1:14" ht="31.5" customHeight="1">
      <c r="A87" s="122"/>
      <c r="B87" s="122"/>
      <c r="C87" s="122"/>
      <c r="D87" s="122"/>
      <c r="E87" s="122"/>
      <c r="F87" s="122"/>
      <c r="G87" s="122"/>
      <c r="H87" s="122"/>
      <c r="I87" s="122"/>
      <c r="J87" s="122"/>
      <c r="K87" s="122"/>
      <c r="L87" s="122"/>
      <c r="M87" s="122"/>
      <c r="N87" s="122"/>
    </row>
    <row r="88" spans="1:14" ht="23.25" customHeight="1">
      <c r="A88" s="122"/>
      <c r="B88" s="122"/>
      <c r="C88" s="122"/>
      <c r="D88" s="122"/>
      <c r="E88" s="122"/>
      <c r="F88" s="122"/>
      <c r="G88" s="122"/>
      <c r="H88" s="122"/>
      <c r="I88" s="122"/>
      <c r="J88" s="122"/>
      <c r="K88" s="122"/>
      <c r="L88" s="122"/>
      <c r="M88" s="105"/>
      <c r="N88" s="105"/>
    </row>
    <row r="89" spans="1:14" ht="107.25" customHeight="1">
      <c r="A89" s="122"/>
      <c r="B89" s="122"/>
      <c r="C89" s="122"/>
      <c r="D89" s="122"/>
      <c r="E89" s="122"/>
      <c r="F89" s="122"/>
      <c r="G89" s="122"/>
      <c r="H89" s="122"/>
      <c r="I89" s="122"/>
      <c r="J89" s="122"/>
      <c r="K89" s="122"/>
      <c r="L89" s="122"/>
      <c r="M89" s="105"/>
      <c r="N89" s="105"/>
    </row>
    <row r="91" spans="1:14">
      <c r="A91" s="122"/>
      <c r="B91" s="122"/>
      <c r="C91" s="122"/>
      <c r="D91" s="122"/>
      <c r="E91" s="122"/>
      <c r="F91" s="122"/>
      <c r="G91" s="122"/>
      <c r="H91" s="122"/>
      <c r="I91" s="122"/>
      <c r="J91" s="122"/>
      <c r="K91" s="122"/>
      <c r="L91" s="122"/>
      <c r="M91" s="122"/>
      <c r="N91" s="122"/>
    </row>
    <row r="92" spans="1:14">
      <c r="A92" s="122"/>
      <c r="B92" s="122"/>
      <c r="C92" s="122"/>
      <c r="D92" s="122"/>
      <c r="E92" s="122"/>
      <c r="F92" s="122"/>
      <c r="G92" s="122"/>
      <c r="H92" s="122"/>
      <c r="I92" s="122"/>
      <c r="J92" s="122"/>
      <c r="K92" s="122"/>
      <c r="L92" s="122"/>
      <c r="M92" s="122"/>
      <c r="N92" s="122"/>
    </row>
    <row r="93" spans="1:14">
      <c r="A93" s="122"/>
      <c r="B93" s="122"/>
      <c r="C93" s="122"/>
      <c r="D93" s="122"/>
      <c r="E93" s="122"/>
      <c r="F93" s="122"/>
      <c r="G93" s="122"/>
      <c r="H93" s="122"/>
      <c r="I93" s="122"/>
      <c r="J93" s="122"/>
      <c r="K93" s="122"/>
      <c r="L93" s="122"/>
      <c r="M93" s="122"/>
      <c r="N93" s="122"/>
    </row>
    <row r="94" spans="1:14">
      <c r="A94" s="122"/>
      <c r="B94" s="122"/>
      <c r="C94" s="122"/>
      <c r="D94" s="122"/>
      <c r="E94" s="122"/>
      <c r="F94" s="122"/>
      <c r="G94" s="122"/>
      <c r="H94" s="122"/>
      <c r="I94" s="122"/>
      <c r="J94" s="122"/>
      <c r="K94" s="122"/>
      <c r="L94" s="122"/>
      <c r="M94" s="122"/>
      <c r="N94" s="122"/>
    </row>
    <row r="95" spans="1:14" ht="33" customHeight="1">
      <c r="A95" s="122"/>
      <c r="B95" s="122"/>
      <c r="C95" s="122"/>
      <c r="D95" s="122"/>
      <c r="E95" s="122"/>
      <c r="F95" s="122"/>
      <c r="G95" s="122"/>
      <c r="H95" s="122"/>
      <c r="I95" s="122"/>
      <c r="J95" s="122"/>
      <c r="K95" s="122"/>
      <c r="L95" s="122"/>
      <c r="M95" s="122"/>
      <c r="N95" s="122"/>
    </row>
    <row r="96" spans="1:14" ht="42" customHeight="1">
      <c r="A96" s="122"/>
      <c r="B96" s="122"/>
      <c r="C96" s="122"/>
      <c r="D96" s="122"/>
      <c r="E96" s="122"/>
      <c r="F96" s="122"/>
      <c r="G96" s="122"/>
      <c r="H96" s="122"/>
      <c r="I96" s="122"/>
      <c r="J96" s="122"/>
      <c r="K96" s="122"/>
      <c r="L96" s="122"/>
      <c r="M96" s="122"/>
      <c r="N96" s="122"/>
    </row>
    <row r="97" spans="1:14" ht="50.25" customHeight="1">
      <c r="A97" s="122"/>
      <c r="B97" s="122"/>
      <c r="C97" s="122"/>
      <c r="D97" s="122"/>
      <c r="E97" s="122"/>
      <c r="F97" s="122"/>
      <c r="G97" s="122"/>
      <c r="H97" s="122"/>
      <c r="I97" s="122"/>
      <c r="J97" s="122"/>
      <c r="K97" s="122"/>
      <c r="L97" s="122"/>
      <c r="M97" s="122"/>
      <c r="N97" s="122"/>
    </row>
    <row r="98" spans="1:14">
      <c r="A98" s="122"/>
      <c r="B98" s="122"/>
      <c r="C98" s="122"/>
      <c r="D98" s="122"/>
      <c r="E98" s="122"/>
      <c r="F98" s="122"/>
      <c r="G98" s="122"/>
      <c r="H98" s="122"/>
      <c r="I98" s="122"/>
      <c r="J98" s="122"/>
      <c r="K98" s="122"/>
      <c r="L98" s="122"/>
      <c r="M98" s="122"/>
      <c r="N98" s="122"/>
    </row>
    <row r="99" spans="1:14" ht="32.1" customHeight="1">
      <c r="A99" s="122"/>
      <c r="B99" s="122"/>
      <c r="C99" s="122"/>
      <c r="D99" s="122"/>
      <c r="E99" s="122"/>
      <c r="F99" s="122"/>
      <c r="G99" s="122"/>
      <c r="H99" s="122"/>
      <c r="I99" s="122"/>
      <c r="J99" s="122"/>
      <c r="K99" s="122"/>
      <c r="L99" s="122"/>
      <c r="M99" s="105"/>
      <c r="N99" s="105"/>
    </row>
    <row r="100" spans="1:14" ht="114.75" customHeight="1">
      <c r="A100" s="122"/>
      <c r="B100" s="122"/>
      <c r="C100" s="122"/>
      <c r="D100" s="122"/>
      <c r="E100" s="122"/>
      <c r="F100" s="122"/>
      <c r="G100" s="122"/>
      <c r="H100" s="122"/>
      <c r="I100" s="122"/>
      <c r="J100" s="122"/>
      <c r="K100" s="122"/>
      <c r="L100" s="122"/>
      <c r="M100" s="105"/>
      <c r="N100" s="105"/>
    </row>
    <row r="102" spans="1:14">
      <c r="A102" s="122"/>
      <c r="B102" s="122"/>
      <c r="C102" s="122"/>
      <c r="D102" s="122"/>
      <c r="E102" s="122"/>
      <c r="F102" s="122"/>
      <c r="G102" s="122"/>
      <c r="H102" s="122"/>
      <c r="I102" s="122"/>
      <c r="J102" s="122"/>
      <c r="K102" s="122"/>
      <c r="L102" s="122"/>
      <c r="M102" s="122"/>
      <c r="N102" s="122"/>
    </row>
    <row r="103" spans="1:14">
      <c r="A103" s="122"/>
      <c r="B103" s="122"/>
      <c r="C103" s="122"/>
      <c r="D103" s="122"/>
      <c r="E103" s="122"/>
      <c r="F103" s="122"/>
      <c r="G103" s="122"/>
      <c r="H103" s="122"/>
      <c r="I103" s="122"/>
      <c r="J103" s="122"/>
      <c r="K103" s="122"/>
      <c r="L103" s="122"/>
      <c r="M103" s="122"/>
      <c r="N103" s="122"/>
    </row>
    <row r="104" spans="1:14">
      <c r="A104" s="122"/>
      <c r="B104" s="122"/>
      <c r="C104" s="122"/>
      <c r="D104" s="122"/>
      <c r="E104" s="122"/>
      <c r="F104" s="122"/>
      <c r="G104" s="122"/>
      <c r="H104" s="122"/>
      <c r="I104" s="122"/>
      <c r="J104" s="122"/>
      <c r="K104" s="122"/>
      <c r="L104" s="122"/>
      <c r="M104" s="122"/>
      <c r="N104" s="122"/>
    </row>
    <row r="105" spans="1:14">
      <c r="A105" s="122"/>
      <c r="B105" s="122"/>
      <c r="C105" s="122"/>
      <c r="D105" s="122"/>
      <c r="E105" s="122"/>
      <c r="F105" s="122"/>
      <c r="G105" s="122"/>
      <c r="H105" s="122"/>
      <c r="I105" s="122"/>
      <c r="J105" s="122"/>
      <c r="K105" s="122"/>
      <c r="L105" s="122"/>
      <c r="M105" s="122"/>
      <c r="N105" s="122"/>
    </row>
    <row r="106" spans="1:14">
      <c r="A106" s="122"/>
      <c r="B106" s="122"/>
      <c r="C106" s="122"/>
      <c r="D106" s="122"/>
      <c r="E106" s="122"/>
      <c r="F106" s="122"/>
      <c r="G106" s="122"/>
      <c r="H106" s="122"/>
      <c r="I106" s="122"/>
      <c r="J106" s="122"/>
      <c r="K106" s="122"/>
      <c r="L106" s="122"/>
      <c r="M106" s="122"/>
      <c r="N106" s="122"/>
    </row>
    <row r="107" spans="1:14" ht="35.25" customHeight="1">
      <c r="A107" s="122"/>
      <c r="B107" s="122"/>
      <c r="C107" s="122"/>
      <c r="D107" s="122"/>
      <c r="E107" s="122"/>
      <c r="F107" s="122"/>
      <c r="G107" s="122"/>
      <c r="H107" s="122"/>
      <c r="I107" s="122"/>
      <c r="J107" s="122"/>
      <c r="K107" s="122"/>
      <c r="L107" s="122"/>
      <c r="M107" s="122"/>
      <c r="N107" s="122"/>
    </row>
    <row r="108" spans="1:14" ht="41.25" customHeight="1">
      <c r="A108" s="122"/>
      <c r="B108" s="122"/>
      <c r="C108" s="122"/>
      <c r="D108" s="122"/>
      <c r="E108" s="122"/>
      <c r="F108" s="122"/>
      <c r="G108" s="122"/>
      <c r="H108" s="122"/>
      <c r="I108" s="122"/>
      <c r="J108" s="122"/>
      <c r="K108" s="122"/>
      <c r="L108" s="122"/>
      <c r="M108" s="122"/>
      <c r="N108" s="122"/>
    </row>
    <row r="109" spans="1:14" ht="30" customHeight="1">
      <c r="A109" s="122"/>
      <c r="B109" s="122"/>
      <c r="C109" s="122"/>
      <c r="D109" s="122"/>
      <c r="E109" s="122"/>
      <c r="F109" s="122"/>
      <c r="G109" s="122"/>
      <c r="H109" s="122"/>
      <c r="I109" s="122"/>
      <c r="J109" s="122"/>
      <c r="K109" s="122"/>
      <c r="L109" s="122"/>
      <c r="M109" s="122"/>
      <c r="N109" s="122"/>
    </row>
    <row r="110" spans="1:14" ht="32.1" customHeight="1">
      <c r="A110" s="122"/>
      <c r="B110" s="122"/>
      <c r="C110" s="122"/>
      <c r="D110" s="122"/>
      <c r="E110" s="122"/>
      <c r="F110" s="122"/>
      <c r="G110" s="122"/>
      <c r="H110" s="122"/>
      <c r="I110" s="122"/>
      <c r="J110" s="122"/>
      <c r="K110" s="122"/>
      <c r="L110" s="122"/>
      <c r="M110" s="105"/>
      <c r="N110" s="105"/>
    </row>
    <row r="111" spans="1:14" ht="100.5" customHeight="1">
      <c r="A111" s="122"/>
      <c r="B111" s="122"/>
      <c r="C111" s="122"/>
      <c r="D111" s="122"/>
      <c r="E111" s="122"/>
      <c r="F111" s="122"/>
      <c r="G111" s="122"/>
      <c r="H111" s="122"/>
      <c r="I111" s="122"/>
      <c r="J111" s="122"/>
      <c r="K111" s="122"/>
      <c r="L111" s="122"/>
      <c r="M111" s="105"/>
      <c r="N111" s="105"/>
    </row>
    <row r="113" spans="1:14">
      <c r="A113" s="122"/>
      <c r="B113" s="122"/>
      <c r="C113" s="122"/>
      <c r="D113" s="122"/>
      <c r="E113" s="122"/>
      <c r="F113" s="122"/>
      <c r="G113" s="122"/>
      <c r="H113" s="122"/>
      <c r="I113" s="122"/>
      <c r="J113" s="122"/>
      <c r="K113" s="122"/>
      <c r="L113" s="122"/>
      <c r="M113" s="122"/>
      <c r="N113" s="122"/>
    </row>
    <row r="114" spans="1:14">
      <c r="A114" s="122"/>
      <c r="B114" s="122"/>
      <c r="C114" s="122"/>
      <c r="D114" s="122"/>
      <c r="E114" s="122"/>
      <c r="F114" s="122"/>
      <c r="G114" s="122"/>
      <c r="H114" s="122"/>
      <c r="I114" s="122"/>
      <c r="J114" s="122"/>
      <c r="K114" s="122"/>
      <c r="L114" s="122"/>
      <c r="M114" s="122"/>
      <c r="N114" s="122"/>
    </row>
    <row r="115" spans="1:14">
      <c r="A115" s="122"/>
      <c r="B115" s="122"/>
      <c r="C115" s="122"/>
      <c r="D115" s="122"/>
      <c r="E115" s="122"/>
      <c r="F115" s="122"/>
      <c r="G115" s="122"/>
      <c r="H115" s="122"/>
      <c r="I115" s="122"/>
      <c r="J115" s="122"/>
      <c r="K115" s="122"/>
      <c r="L115" s="122"/>
      <c r="M115" s="122"/>
      <c r="N115" s="122"/>
    </row>
    <row r="116" spans="1:14">
      <c r="A116" s="122"/>
      <c r="B116" s="122"/>
      <c r="C116" s="122"/>
      <c r="D116" s="122"/>
      <c r="E116" s="122"/>
      <c r="F116" s="122"/>
      <c r="G116" s="122"/>
      <c r="H116" s="122"/>
      <c r="I116" s="122"/>
      <c r="J116" s="122"/>
      <c r="K116" s="122"/>
      <c r="L116" s="122"/>
      <c r="M116" s="122"/>
      <c r="N116" s="122"/>
    </row>
    <row r="117" spans="1:14">
      <c r="A117" s="122"/>
      <c r="B117" s="122"/>
      <c r="C117" s="122"/>
      <c r="D117" s="122"/>
      <c r="E117" s="122"/>
      <c r="F117" s="122"/>
      <c r="G117" s="122"/>
      <c r="H117" s="122"/>
      <c r="I117" s="122"/>
      <c r="J117" s="122"/>
      <c r="K117" s="122"/>
      <c r="L117" s="122"/>
      <c r="M117" s="122"/>
      <c r="N117" s="122"/>
    </row>
    <row r="118" spans="1:14" ht="30" customHeight="1">
      <c r="A118" s="122"/>
      <c r="B118" s="122"/>
      <c r="C118" s="122"/>
      <c r="D118" s="122"/>
      <c r="E118" s="122"/>
      <c r="F118" s="122"/>
      <c r="G118" s="122"/>
      <c r="H118" s="122"/>
      <c r="I118" s="122"/>
      <c r="J118" s="122"/>
      <c r="K118" s="122"/>
      <c r="L118" s="122"/>
      <c r="M118" s="122"/>
      <c r="N118" s="122"/>
    </row>
    <row r="119" spans="1:14" ht="41.25" customHeight="1">
      <c r="A119" s="122"/>
      <c r="B119" s="122"/>
      <c r="C119" s="122"/>
      <c r="D119" s="122"/>
      <c r="E119" s="122"/>
      <c r="F119" s="122"/>
      <c r="G119" s="122"/>
      <c r="H119" s="122"/>
      <c r="I119" s="122"/>
      <c r="J119" s="122"/>
      <c r="K119" s="122"/>
      <c r="L119" s="122"/>
      <c r="M119" s="122"/>
      <c r="N119" s="122"/>
    </row>
    <row r="120" spans="1:14" ht="30" customHeight="1">
      <c r="A120" s="122"/>
      <c r="B120" s="122"/>
      <c r="C120" s="122"/>
      <c r="D120" s="122"/>
      <c r="E120" s="122"/>
      <c r="F120" s="122"/>
      <c r="G120" s="122"/>
      <c r="H120" s="122"/>
      <c r="I120" s="122"/>
      <c r="J120" s="122"/>
      <c r="K120" s="122"/>
      <c r="L120" s="122"/>
      <c r="M120" s="122"/>
      <c r="N120" s="122"/>
    </row>
    <row r="121" spans="1:14" ht="32.1" customHeight="1">
      <c r="A121" s="122"/>
      <c r="B121" s="122"/>
      <c r="C121" s="122"/>
      <c r="D121" s="122"/>
      <c r="E121" s="122"/>
      <c r="F121" s="122"/>
      <c r="G121" s="122"/>
      <c r="H121" s="122"/>
      <c r="I121" s="122"/>
      <c r="J121" s="122"/>
      <c r="K121" s="122"/>
      <c r="L121" s="122"/>
      <c r="M121" s="105"/>
      <c r="N121" s="105"/>
    </row>
    <row r="122" spans="1:14" ht="110.25" customHeight="1">
      <c r="A122" s="122"/>
      <c r="B122" s="122"/>
      <c r="C122" s="122"/>
      <c r="D122" s="122"/>
      <c r="E122" s="122"/>
      <c r="F122" s="122"/>
      <c r="G122" s="122"/>
      <c r="H122" s="122"/>
      <c r="I122" s="122"/>
      <c r="J122" s="122"/>
      <c r="K122" s="122"/>
      <c r="L122" s="122"/>
      <c r="M122" s="105"/>
      <c r="N122" s="105"/>
    </row>
    <row r="124" spans="1:14">
      <c r="A124" s="122"/>
      <c r="B124" s="122"/>
      <c r="C124" s="122"/>
      <c r="D124" s="122"/>
      <c r="E124" s="122"/>
      <c r="F124" s="122"/>
      <c r="G124" s="122"/>
      <c r="H124" s="122"/>
      <c r="I124" s="122"/>
      <c r="J124" s="122"/>
      <c r="K124" s="122"/>
      <c r="L124" s="122"/>
      <c r="M124" s="122"/>
      <c r="N124" s="122"/>
    </row>
    <row r="125" spans="1:14">
      <c r="A125" s="122"/>
      <c r="B125" s="122"/>
      <c r="C125" s="122"/>
      <c r="D125" s="122"/>
      <c r="E125" s="122"/>
      <c r="F125" s="122"/>
      <c r="G125" s="122"/>
      <c r="H125" s="122"/>
      <c r="I125" s="122"/>
      <c r="J125" s="122"/>
      <c r="K125" s="122"/>
      <c r="L125" s="122"/>
      <c r="M125" s="122"/>
      <c r="N125" s="122"/>
    </row>
    <row r="126" spans="1:14">
      <c r="A126" s="122"/>
      <c r="B126" s="122"/>
      <c r="C126" s="122"/>
      <c r="D126" s="122"/>
      <c r="E126" s="122"/>
      <c r="F126" s="122"/>
      <c r="G126" s="122"/>
      <c r="H126" s="122"/>
      <c r="I126" s="122"/>
      <c r="J126" s="122"/>
      <c r="K126" s="122"/>
      <c r="L126" s="122"/>
      <c r="M126" s="122"/>
      <c r="N126" s="122"/>
    </row>
    <row r="127" spans="1:14">
      <c r="A127" s="122"/>
      <c r="B127" s="122"/>
      <c r="C127" s="122"/>
      <c r="D127" s="122"/>
      <c r="E127" s="122"/>
      <c r="F127" s="122"/>
      <c r="G127" s="122"/>
      <c r="H127" s="122"/>
      <c r="I127" s="122"/>
      <c r="J127" s="122"/>
      <c r="K127" s="122"/>
      <c r="L127" s="122"/>
      <c r="M127" s="122"/>
      <c r="N127" s="122"/>
    </row>
    <row r="128" spans="1:14">
      <c r="A128" s="122"/>
      <c r="B128" s="122"/>
      <c r="C128" s="122"/>
      <c r="D128" s="122"/>
      <c r="E128" s="122"/>
      <c r="F128" s="122"/>
      <c r="G128" s="122"/>
      <c r="H128" s="122"/>
      <c r="I128" s="122"/>
      <c r="J128" s="122"/>
      <c r="K128" s="122"/>
      <c r="L128" s="122"/>
      <c r="M128" s="122"/>
      <c r="N128" s="122"/>
    </row>
    <row r="129" spans="1:14" ht="52.5" customHeight="1">
      <c r="A129" s="122"/>
      <c r="B129" s="122"/>
      <c r="C129" s="122"/>
      <c r="D129" s="122"/>
      <c r="E129" s="122"/>
      <c r="F129" s="122"/>
      <c r="G129" s="122"/>
      <c r="H129" s="122"/>
      <c r="I129" s="122"/>
      <c r="J129" s="122"/>
      <c r="K129" s="122"/>
      <c r="L129" s="122"/>
      <c r="M129" s="122"/>
      <c r="N129" s="122"/>
    </row>
    <row r="130" spans="1:14" ht="47.25" customHeight="1">
      <c r="A130" s="122"/>
      <c r="B130" s="122"/>
      <c r="C130" s="122"/>
      <c r="D130" s="122"/>
      <c r="E130" s="122"/>
      <c r="F130" s="122"/>
      <c r="G130" s="122"/>
      <c r="H130" s="122"/>
      <c r="I130" s="122"/>
      <c r="J130" s="122"/>
      <c r="K130" s="122"/>
      <c r="L130" s="122"/>
      <c r="M130" s="122"/>
      <c r="N130" s="122"/>
    </row>
    <row r="131" spans="1:14" ht="54.75" customHeight="1">
      <c r="A131" s="122"/>
      <c r="B131" s="122"/>
      <c r="C131" s="122"/>
      <c r="D131" s="122"/>
      <c r="E131" s="122"/>
      <c r="F131" s="122"/>
      <c r="G131" s="122"/>
      <c r="H131" s="122"/>
      <c r="I131" s="122"/>
      <c r="J131" s="122"/>
      <c r="K131" s="122"/>
      <c r="L131" s="122"/>
      <c r="M131" s="122"/>
      <c r="N131" s="122"/>
    </row>
    <row r="132" spans="1:14" ht="32.1" customHeight="1">
      <c r="A132" s="122"/>
      <c r="B132" s="122"/>
      <c r="C132" s="122"/>
      <c r="D132" s="122"/>
      <c r="E132" s="122"/>
      <c r="F132" s="122"/>
      <c r="G132" s="122"/>
      <c r="H132" s="122"/>
      <c r="I132" s="122"/>
      <c r="J132" s="122"/>
      <c r="K132" s="122"/>
      <c r="L132" s="122"/>
      <c r="M132" s="105"/>
      <c r="N132" s="105"/>
    </row>
    <row r="133" spans="1:14" ht="137.25" customHeight="1">
      <c r="A133" s="122"/>
      <c r="B133" s="122"/>
      <c r="C133" s="122"/>
      <c r="D133" s="122"/>
      <c r="E133" s="122"/>
      <c r="F133" s="122"/>
      <c r="G133" s="122"/>
      <c r="H133" s="122"/>
      <c r="I133" s="122"/>
      <c r="J133" s="122"/>
      <c r="K133" s="122"/>
      <c r="L133" s="122"/>
      <c r="M133" s="105"/>
      <c r="N133" s="105"/>
    </row>
    <row r="135" spans="1:14">
      <c r="A135" s="122"/>
      <c r="B135" s="122"/>
      <c r="C135" s="122"/>
      <c r="D135" s="122"/>
      <c r="E135" s="122"/>
      <c r="F135" s="122"/>
      <c r="G135" s="122"/>
      <c r="H135" s="122"/>
      <c r="I135" s="122"/>
      <c r="J135" s="122"/>
      <c r="K135" s="122"/>
      <c r="L135" s="122"/>
      <c r="M135" s="122"/>
      <c r="N135" s="122"/>
    </row>
    <row r="136" spans="1:14">
      <c r="A136" s="122"/>
      <c r="B136" s="122"/>
      <c r="C136" s="122"/>
      <c r="D136" s="122"/>
      <c r="E136" s="122"/>
      <c r="F136" s="122"/>
      <c r="G136" s="122"/>
      <c r="H136" s="122"/>
      <c r="I136" s="122"/>
      <c r="J136" s="122"/>
      <c r="K136" s="122"/>
      <c r="L136" s="122"/>
      <c r="M136" s="122"/>
      <c r="N136" s="122"/>
    </row>
    <row r="137" spans="1:14">
      <c r="A137" s="122"/>
      <c r="B137" s="122"/>
      <c r="C137" s="122"/>
      <c r="D137" s="122"/>
      <c r="E137" s="122"/>
      <c r="F137" s="122"/>
      <c r="G137" s="122"/>
      <c r="H137" s="122"/>
      <c r="I137" s="122"/>
      <c r="J137" s="122"/>
      <c r="K137" s="122"/>
      <c r="L137" s="122"/>
      <c r="M137" s="122"/>
      <c r="N137" s="122"/>
    </row>
    <row r="138" spans="1:14">
      <c r="A138" s="122"/>
      <c r="B138" s="122"/>
      <c r="C138" s="122"/>
      <c r="D138" s="122"/>
      <c r="E138" s="122"/>
      <c r="F138" s="122"/>
      <c r="G138" s="122"/>
      <c r="H138" s="122"/>
      <c r="I138" s="122"/>
      <c r="J138" s="122"/>
      <c r="K138" s="122"/>
      <c r="L138" s="122"/>
      <c r="M138" s="122"/>
      <c r="N138" s="122"/>
    </row>
    <row r="139" spans="1:14">
      <c r="A139" s="122"/>
      <c r="B139" s="122"/>
      <c r="C139" s="122"/>
      <c r="D139" s="122"/>
      <c r="E139" s="122"/>
      <c r="F139" s="122"/>
      <c r="G139" s="122"/>
      <c r="H139" s="122"/>
      <c r="I139" s="122"/>
      <c r="J139" s="122"/>
      <c r="K139" s="122"/>
      <c r="L139" s="122"/>
      <c r="M139" s="122"/>
      <c r="N139" s="122"/>
    </row>
    <row r="140" spans="1:14" ht="39" customHeight="1">
      <c r="A140" s="122"/>
      <c r="B140" s="122"/>
      <c r="C140" s="122"/>
      <c r="D140" s="122"/>
      <c r="E140" s="122"/>
      <c r="F140" s="122"/>
      <c r="G140" s="122"/>
      <c r="H140" s="122"/>
      <c r="I140" s="122"/>
      <c r="J140" s="122"/>
      <c r="K140" s="122"/>
      <c r="L140" s="122"/>
      <c r="M140" s="122"/>
      <c r="N140" s="122"/>
    </row>
    <row r="141" spans="1:14" ht="49.5" customHeight="1">
      <c r="A141" s="122"/>
      <c r="B141" s="122"/>
      <c r="C141" s="122"/>
      <c r="D141" s="122"/>
      <c r="E141" s="122"/>
      <c r="F141" s="122"/>
      <c r="G141" s="122"/>
      <c r="H141" s="122"/>
      <c r="I141" s="122"/>
      <c r="J141" s="122"/>
      <c r="K141" s="122"/>
      <c r="L141" s="122"/>
      <c r="M141" s="122"/>
      <c r="N141" s="122"/>
    </row>
    <row r="142" spans="1:14" ht="40.5" customHeight="1">
      <c r="A142" s="122"/>
      <c r="B142" s="122"/>
      <c r="C142" s="122"/>
      <c r="D142" s="122"/>
      <c r="E142" s="122"/>
      <c r="F142" s="122"/>
      <c r="G142" s="122"/>
      <c r="H142" s="122"/>
      <c r="I142" s="122"/>
      <c r="J142" s="122"/>
      <c r="K142" s="122"/>
      <c r="L142" s="122"/>
      <c r="M142" s="122"/>
      <c r="N142" s="122"/>
    </row>
    <row r="143" spans="1:14" ht="32.1" customHeight="1">
      <c r="A143" s="122"/>
      <c r="B143" s="122"/>
      <c r="C143" s="122"/>
      <c r="D143" s="122"/>
      <c r="E143" s="122"/>
      <c r="F143" s="122"/>
      <c r="G143" s="122"/>
      <c r="H143" s="122"/>
      <c r="I143" s="122"/>
      <c r="J143" s="122"/>
      <c r="K143" s="122"/>
      <c r="L143" s="122"/>
      <c r="M143" s="105"/>
      <c r="N143" s="105"/>
    </row>
    <row r="144" spans="1:14" ht="109.5" customHeight="1">
      <c r="A144" s="122"/>
      <c r="B144" s="122"/>
      <c r="C144" s="122"/>
      <c r="D144" s="122"/>
      <c r="E144" s="122"/>
      <c r="F144" s="122"/>
      <c r="G144" s="122"/>
      <c r="H144" s="122"/>
      <c r="I144" s="122"/>
      <c r="J144" s="122"/>
      <c r="K144" s="122"/>
      <c r="L144" s="122"/>
      <c r="M144" s="105"/>
      <c r="N144" s="105"/>
    </row>
    <row r="146" spans="1:14">
      <c r="A146" s="122"/>
      <c r="B146" s="122"/>
      <c r="C146" s="122"/>
      <c r="D146" s="122"/>
      <c r="E146" s="122"/>
      <c r="F146" s="122"/>
      <c r="G146" s="122"/>
      <c r="H146" s="122"/>
      <c r="I146" s="122"/>
      <c r="J146" s="122"/>
      <c r="K146" s="122"/>
      <c r="L146" s="122"/>
      <c r="M146" s="122"/>
      <c r="N146" s="122"/>
    </row>
    <row r="147" spans="1:14">
      <c r="A147" s="122"/>
      <c r="B147" s="122"/>
      <c r="C147" s="122"/>
      <c r="D147" s="122"/>
      <c r="E147" s="122"/>
      <c r="F147" s="122"/>
      <c r="G147" s="122"/>
      <c r="H147" s="122"/>
      <c r="I147" s="122"/>
      <c r="J147" s="122"/>
      <c r="K147" s="122"/>
      <c r="L147" s="122"/>
      <c r="M147" s="122"/>
      <c r="N147" s="122"/>
    </row>
    <row r="148" spans="1:14">
      <c r="A148" s="122"/>
      <c r="B148" s="122"/>
      <c r="C148" s="122"/>
      <c r="D148" s="122"/>
      <c r="E148" s="122"/>
      <c r="F148" s="122"/>
      <c r="G148" s="122"/>
      <c r="H148" s="122"/>
      <c r="I148" s="122"/>
      <c r="J148" s="122"/>
      <c r="K148" s="122"/>
      <c r="L148" s="122"/>
      <c r="M148" s="122"/>
      <c r="N148" s="122"/>
    </row>
    <row r="149" spans="1:14">
      <c r="A149" s="122"/>
      <c r="B149" s="122"/>
      <c r="C149" s="122"/>
      <c r="D149" s="122"/>
      <c r="E149" s="122"/>
      <c r="F149" s="122"/>
      <c r="G149" s="122"/>
      <c r="H149" s="122"/>
      <c r="I149" s="122"/>
      <c r="J149" s="122"/>
      <c r="K149" s="122"/>
      <c r="L149" s="122"/>
      <c r="M149" s="122"/>
      <c r="N149" s="122"/>
    </row>
    <row r="150" spans="1:14">
      <c r="A150" s="122"/>
      <c r="B150" s="122"/>
      <c r="C150" s="122"/>
      <c r="D150" s="122"/>
      <c r="E150" s="122"/>
      <c r="F150" s="122"/>
      <c r="G150" s="122"/>
      <c r="H150" s="122"/>
      <c r="I150" s="122"/>
      <c r="J150" s="122"/>
      <c r="K150" s="122"/>
      <c r="L150" s="122"/>
      <c r="M150" s="122"/>
      <c r="N150" s="122"/>
    </row>
    <row r="151" spans="1:14" ht="48" customHeight="1">
      <c r="A151" s="122"/>
      <c r="B151" s="122"/>
      <c r="C151" s="122"/>
      <c r="D151" s="122"/>
      <c r="E151" s="122"/>
      <c r="F151" s="122"/>
      <c r="G151" s="122"/>
      <c r="H151" s="122"/>
      <c r="I151" s="122"/>
      <c r="J151" s="122"/>
      <c r="K151" s="122"/>
      <c r="L151" s="122"/>
      <c r="M151" s="122"/>
      <c r="N151" s="122"/>
    </row>
    <row r="152" spans="1:14" ht="46.5" customHeight="1">
      <c r="A152" s="122"/>
      <c r="B152" s="122"/>
      <c r="C152" s="122"/>
      <c r="D152" s="122"/>
      <c r="E152" s="122"/>
      <c r="F152" s="122"/>
      <c r="G152" s="122"/>
      <c r="H152" s="122"/>
      <c r="I152" s="122"/>
      <c r="J152" s="122"/>
      <c r="K152" s="122"/>
      <c r="L152" s="122"/>
      <c r="M152" s="122"/>
      <c r="N152" s="122"/>
    </row>
    <row r="153" spans="1:14" ht="44.25" customHeight="1">
      <c r="A153" s="122"/>
      <c r="B153" s="122"/>
      <c r="C153" s="122"/>
      <c r="D153" s="122"/>
      <c r="E153" s="122"/>
      <c r="F153" s="122"/>
      <c r="G153" s="122"/>
      <c r="H153" s="122"/>
      <c r="I153" s="122"/>
      <c r="J153" s="122"/>
      <c r="K153" s="122"/>
      <c r="L153" s="122"/>
      <c r="M153" s="122"/>
      <c r="N153" s="122"/>
    </row>
    <row r="154" spans="1:14" ht="32.1" customHeight="1">
      <c r="A154" s="122"/>
      <c r="B154" s="122"/>
      <c r="C154" s="122"/>
      <c r="D154" s="122"/>
      <c r="E154" s="122"/>
      <c r="F154" s="122"/>
      <c r="G154" s="122"/>
      <c r="H154" s="122"/>
      <c r="I154" s="122"/>
      <c r="J154" s="122"/>
      <c r="K154" s="122"/>
      <c r="L154" s="122"/>
      <c r="M154" s="105"/>
      <c r="N154" s="105"/>
    </row>
    <row r="155" spans="1:14" ht="114" customHeight="1">
      <c r="A155" s="122"/>
      <c r="B155" s="122"/>
      <c r="C155" s="122"/>
      <c r="D155" s="122"/>
      <c r="E155" s="122"/>
      <c r="F155" s="122"/>
      <c r="G155" s="122"/>
      <c r="H155" s="122"/>
      <c r="I155" s="122"/>
      <c r="J155" s="122"/>
      <c r="K155" s="122"/>
      <c r="L155" s="122"/>
      <c r="M155" s="105"/>
      <c r="N155" s="105"/>
    </row>
    <row r="157" spans="1:14">
      <c r="A157" s="122"/>
      <c r="B157" s="122"/>
      <c r="C157" s="122"/>
      <c r="D157" s="122"/>
      <c r="E157" s="122"/>
      <c r="F157" s="122"/>
      <c r="G157" s="122"/>
      <c r="H157" s="122"/>
      <c r="I157" s="122"/>
      <c r="J157" s="122"/>
      <c r="K157" s="122"/>
      <c r="L157" s="122"/>
      <c r="M157" s="122"/>
      <c r="N157" s="122"/>
    </row>
    <row r="158" spans="1:14">
      <c r="A158" s="122"/>
      <c r="B158" s="122"/>
      <c r="C158" s="122"/>
      <c r="D158" s="122"/>
      <c r="E158" s="122"/>
      <c r="F158" s="122"/>
      <c r="G158" s="122"/>
      <c r="H158" s="122"/>
      <c r="I158" s="122"/>
      <c r="J158" s="122"/>
      <c r="K158" s="122"/>
      <c r="L158" s="122"/>
      <c r="M158" s="122"/>
      <c r="N158" s="122"/>
    </row>
    <row r="159" spans="1:14">
      <c r="A159" s="122"/>
      <c r="B159" s="122"/>
      <c r="C159" s="122"/>
      <c r="D159" s="122"/>
      <c r="E159" s="122"/>
      <c r="F159" s="122"/>
      <c r="G159" s="122"/>
      <c r="H159" s="122"/>
      <c r="I159" s="122"/>
      <c r="J159" s="122"/>
      <c r="K159" s="122"/>
      <c r="L159" s="122"/>
      <c r="M159" s="122"/>
      <c r="N159" s="122"/>
    </row>
    <row r="160" spans="1:14">
      <c r="A160" s="122"/>
      <c r="B160" s="122"/>
      <c r="C160" s="122"/>
      <c r="D160" s="122"/>
      <c r="E160" s="122"/>
      <c r="F160" s="122"/>
      <c r="G160" s="122"/>
      <c r="H160" s="122"/>
      <c r="I160" s="122"/>
      <c r="J160" s="122"/>
      <c r="K160" s="122"/>
      <c r="L160" s="122"/>
      <c r="M160" s="122"/>
      <c r="N160" s="122"/>
    </row>
    <row r="161" spans="1:14">
      <c r="A161" s="122"/>
      <c r="B161" s="122"/>
      <c r="C161" s="122"/>
      <c r="D161" s="122"/>
      <c r="E161" s="122"/>
      <c r="F161" s="122"/>
      <c r="G161" s="122"/>
      <c r="H161" s="122"/>
      <c r="I161" s="122"/>
      <c r="J161" s="122"/>
      <c r="K161" s="122"/>
      <c r="L161" s="122"/>
      <c r="M161" s="122"/>
      <c r="N161" s="122"/>
    </row>
    <row r="162" spans="1:14" ht="42.75" customHeight="1">
      <c r="A162" s="122"/>
      <c r="B162" s="122"/>
      <c r="C162" s="122"/>
      <c r="D162" s="122"/>
      <c r="E162" s="122"/>
      <c r="F162" s="122"/>
      <c r="G162" s="122"/>
      <c r="H162" s="122"/>
      <c r="I162" s="122"/>
      <c r="J162" s="122"/>
      <c r="K162" s="122"/>
      <c r="L162" s="122"/>
      <c r="M162" s="122"/>
      <c r="N162" s="122"/>
    </row>
    <row r="163" spans="1:14" ht="54" customHeight="1">
      <c r="A163" s="122"/>
      <c r="B163" s="122"/>
      <c r="C163" s="122"/>
      <c r="D163" s="122"/>
      <c r="E163" s="122"/>
      <c r="F163" s="122"/>
      <c r="G163" s="122"/>
      <c r="H163" s="122"/>
      <c r="I163" s="122"/>
      <c r="J163" s="122"/>
      <c r="K163" s="122"/>
      <c r="L163" s="122"/>
      <c r="M163" s="122"/>
      <c r="N163" s="122"/>
    </row>
    <row r="164" spans="1:14">
      <c r="A164" s="122"/>
      <c r="B164" s="122"/>
      <c r="C164" s="122"/>
      <c r="D164" s="122"/>
      <c r="E164" s="122"/>
      <c r="F164" s="122"/>
      <c r="G164" s="122"/>
      <c r="H164" s="122"/>
      <c r="I164" s="122"/>
      <c r="J164" s="122"/>
      <c r="K164" s="122"/>
      <c r="L164" s="122"/>
      <c r="M164" s="122"/>
      <c r="N164" s="122"/>
    </row>
    <row r="165" spans="1:14" ht="32.1" customHeight="1">
      <c r="A165" s="122"/>
      <c r="B165" s="122"/>
      <c r="C165" s="122"/>
      <c r="D165" s="122"/>
      <c r="E165" s="122"/>
      <c r="F165" s="122"/>
      <c r="G165" s="122"/>
      <c r="H165" s="122"/>
      <c r="I165" s="122"/>
      <c r="J165" s="122"/>
      <c r="K165" s="122"/>
      <c r="L165" s="122"/>
      <c r="M165" s="105"/>
      <c r="N165" s="105"/>
    </row>
    <row r="166" spans="1:14" ht="109.5" customHeight="1">
      <c r="A166" s="122"/>
      <c r="B166" s="122"/>
      <c r="C166" s="122"/>
      <c r="D166" s="122"/>
      <c r="E166" s="122"/>
      <c r="F166" s="122"/>
      <c r="G166" s="122"/>
      <c r="H166" s="122"/>
      <c r="I166" s="122"/>
      <c r="J166" s="122"/>
      <c r="K166" s="122"/>
      <c r="L166" s="122"/>
      <c r="M166" s="105"/>
      <c r="N166" s="105"/>
    </row>
    <row r="168" spans="1:14">
      <c r="A168" s="122"/>
      <c r="B168" s="122"/>
      <c r="C168" s="122"/>
      <c r="D168" s="122"/>
      <c r="E168" s="122"/>
      <c r="F168" s="122"/>
      <c r="G168" s="122"/>
      <c r="H168" s="122"/>
      <c r="I168" s="122"/>
      <c r="J168" s="122"/>
      <c r="K168" s="122"/>
      <c r="L168" s="122"/>
      <c r="M168" s="122"/>
      <c r="N168" s="122"/>
    </row>
    <row r="169" spans="1:14">
      <c r="A169" s="122"/>
      <c r="B169" s="122"/>
      <c r="C169" s="122"/>
      <c r="D169" s="122"/>
      <c r="E169" s="122"/>
      <c r="F169" s="122"/>
      <c r="G169" s="122"/>
      <c r="H169" s="122"/>
      <c r="I169" s="122"/>
      <c r="J169" s="122"/>
      <c r="K169" s="122"/>
      <c r="L169" s="122"/>
      <c r="M169" s="122"/>
      <c r="N169" s="122"/>
    </row>
    <row r="170" spans="1:14">
      <c r="A170" s="122"/>
      <c r="B170" s="122"/>
      <c r="C170" s="122"/>
      <c r="D170" s="122"/>
      <c r="E170" s="122"/>
      <c r="F170" s="122"/>
      <c r="G170" s="122"/>
      <c r="H170" s="122"/>
      <c r="I170" s="122"/>
      <c r="J170" s="122"/>
      <c r="K170" s="122"/>
      <c r="L170" s="122"/>
      <c r="M170" s="122"/>
      <c r="N170" s="122"/>
    </row>
    <row r="171" spans="1:14">
      <c r="A171" s="122"/>
      <c r="B171" s="122"/>
      <c r="C171" s="122"/>
      <c r="D171" s="122"/>
      <c r="E171" s="122"/>
      <c r="F171" s="122"/>
      <c r="G171" s="122"/>
      <c r="H171" s="122"/>
      <c r="I171" s="122"/>
      <c r="J171" s="122"/>
      <c r="K171" s="122"/>
      <c r="L171" s="122"/>
      <c r="M171" s="122"/>
      <c r="N171" s="122"/>
    </row>
    <row r="172" spans="1:14">
      <c r="A172" s="122"/>
      <c r="B172" s="122"/>
      <c r="C172" s="122"/>
      <c r="D172" s="122"/>
      <c r="E172" s="122"/>
      <c r="F172" s="122"/>
      <c r="G172" s="122"/>
      <c r="H172" s="122"/>
      <c r="I172" s="122"/>
      <c r="J172" s="122"/>
      <c r="K172" s="122"/>
      <c r="L172" s="122"/>
      <c r="M172" s="122"/>
      <c r="N172" s="122"/>
    </row>
    <row r="173" spans="1:14" ht="42.75" customHeight="1">
      <c r="A173" s="122"/>
      <c r="B173" s="122"/>
      <c r="C173" s="122"/>
      <c r="D173" s="122"/>
      <c r="E173" s="122"/>
      <c r="F173" s="122"/>
      <c r="G173" s="122"/>
      <c r="H173" s="122"/>
      <c r="I173" s="122"/>
      <c r="J173" s="122"/>
      <c r="K173" s="122"/>
      <c r="L173" s="122"/>
      <c r="M173" s="122"/>
      <c r="N173" s="122"/>
    </row>
    <row r="174" spans="1:14" ht="54.75" customHeight="1">
      <c r="A174" s="122"/>
      <c r="B174" s="122"/>
      <c r="C174" s="122"/>
      <c r="D174" s="122"/>
      <c r="E174" s="122"/>
      <c r="F174" s="122"/>
      <c r="G174" s="122"/>
      <c r="H174" s="122"/>
      <c r="I174" s="122"/>
      <c r="J174" s="122"/>
      <c r="K174" s="122"/>
      <c r="L174" s="122"/>
      <c r="M174" s="122"/>
      <c r="N174" s="122"/>
    </row>
    <row r="175" spans="1:14" ht="28.5" customHeight="1">
      <c r="A175" s="122"/>
      <c r="B175" s="122"/>
      <c r="C175" s="122"/>
      <c r="D175" s="122"/>
      <c r="E175" s="122"/>
      <c r="F175" s="122"/>
      <c r="G175" s="122"/>
      <c r="H175" s="122"/>
      <c r="I175" s="122"/>
      <c r="J175" s="122"/>
      <c r="K175" s="122"/>
      <c r="L175" s="122"/>
      <c r="M175" s="122"/>
      <c r="N175" s="122"/>
    </row>
    <row r="176" spans="1:14" ht="32.1" customHeight="1">
      <c r="A176" s="122"/>
      <c r="B176" s="122"/>
      <c r="C176" s="122"/>
      <c r="D176" s="122"/>
      <c r="E176" s="122"/>
      <c r="F176" s="122"/>
      <c r="G176" s="122"/>
      <c r="H176" s="122"/>
      <c r="I176" s="122"/>
      <c r="J176" s="122"/>
      <c r="K176" s="122"/>
      <c r="L176" s="122"/>
      <c r="M176" s="105"/>
      <c r="N176" s="105"/>
    </row>
    <row r="177" spans="1:12" ht="126.75" customHeight="1">
      <c r="A177" s="122"/>
      <c r="B177" s="122"/>
      <c r="C177" s="122"/>
      <c r="D177" s="122"/>
      <c r="E177" s="122"/>
      <c r="F177" s="122"/>
      <c r="G177" s="122"/>
      <c r="H177" s="122"/>
      <c r="I177" s="122"/>
      <c r="J177" s="122"/>
      <c r="K177" s="122"/>
      <c r="L177" s="122"/>
    </row>
  </sheetData>
  <mergeCells count="448">
    <mergeCell ref="D60:N60"/>
    <mergeCell ref="K177:L177"/>
    <mergeCell ref="K33:L33"/>
    <mergeCell ref="D174:N174"/>
    <mergeCell ref="A136:C136"/>
    <mergeCell ref="A21:C21"/>
    <mergeCell ref="A113:C113"/>
    <mergeCell ref="C121:D121"/>
    <mergeCell ref="K99:L99"/>
    <mergeCell ref="G66:H66"/>
    <mergeCell ref="I66:J66"/>
    <mergeCell ref="D136:N136"/>
    <mergeCell ref="D70:N70"/>
    <mergeCell ref="A52:C52"/>
    <mergeCell ref="I155:J155"/>
    <mergeCell ref="E166:F166"/>
    <mergeCell ref="K155:L155"/>
    <mergeCell ref="A33:B33"/>
    <mergeCell ref="D139:N139"/>
    <mergeCell ref="A126:C126"/>
    <mergeCell ref="A150:C150"/>
    <mergeCell ref="K44:L44"/>
    <mergeCell ref="C44:D44"/>
    <mergeCell ref="D7:N7"/>
    <mergeCell ref="A83:C83"/>
    <mergeCell ref="D71:N71"/>
    <mergeCell ref="D58:N58"/>
    <mergeCell ref="A49:C49"/>
    <mergeCell ref="G143:H143"/>
    <mergeCell ref="D73:N73"/>
    <mergeCell ref="A174:C174"/>
    <mergeCell ref="A118:C118"/>
    <mergeCell ref="E55:F55"/>
    <mergeCell ref="E67:F67"/>
    <mergeCell ref="G67:H67"/>
    <mergeCell ref="D131:N131"/>
    <mergeCell ref="D124:N124"/>
    <mergeCell ref="A29:C29"/>
    <mergeCell ref="D10:N10"/>
    <mergeCell ref="D81:N81"/>
    <mergeCell ref="A50:C50"/>
    <mergeCell ref="A86:C86"/>
    <mergeCell ref="A42:C42"/>
    <mergeCell ref="A78:B78"/>
    <mergeCell ref="A151:C151"/>
    <mergeCell ref="C78:D78"/>
    <mergeCell ref="C100:D100"/>
    <mergeCell ref="A4:C4"/>
    <mergeCell ref="I56:J56"/>
    <mergeCell ref="K56:L56"/>
    <mergeCell ref="D126:N126"/>
    <mergeCell ref="I176:J176"/>
    <mergeCell ref="D53:N53"/>
    <mergeCell ref="D47:N47"/>
    <mergeCell ref="A31:C31"/>
    <mergeCell ref="A58:C58"/>
    <mergeCell ref="C110:D110"/>
    <mergeCell ref="E110:F110"/>
    <mergeCell ref="A73:C73"/>
    <mergeCell ref="A60:C60"/>
    <mergeCell ref="D15:N15"/>
    <mergeCell ref="D142:N142"/>
    <mergeCell ref="A124:C124"/>
    <mergeCell ref="D129:N129"/>
    <mergeCell ref="A34:B34"/>
    <mergeCell ref="A143:B143"/>
    <mergeCell ref="C34:D34"/>
    <mergeCell ref="A84:C84"/>
    <mergeCell ref="G11:H11"/>
    <mergeCell ref="A149:C149"/>
    <mergeCell ref="I11:J11"/>
    <mergeCell ref="K176:L176"/>
    <mergeCell ref="A139:C139"/>
    <mergeCell ref="D170:N170"/>
    <mergeCell ref="A140:C140"/>
    <mergeCell ref="D147:N147"/>
    <mergeCell ref="A144:B144"/>
    <mergeCell ref="C144:D144"/>
    <mergeCell ref="D82:N82"/>
    <mergeCell ref="A87:C87"/>
    <mergeCell ref="E111:F111"/>
    <mergeCell ref="A105:C105"/>
    <mergeCell ref="A171:C171"/>
    <mergeCell ref="A173:C173"/>
    <mergeCell ref="A161:C161"/>
    <mergeCell ref="A165:B165"/>
    <mergeCell ref="C166:D166"/>
    <mergeCell ref="A128:C128"/>
    <mergeCell ref="D3:N3"/>
    <mergeCell ref="D92:N92"/>
    <mergeCell ref="D30:N30"/>
    <mergeCell ref="A70:C70"/>
    <mergeCell ref="D5:N5"/>
    <mergeCell ref="D29:N29"/>
    <mergeCell ref="D94:N94"/>
    <mergeCell ref="A137:C137"/>
    <mergeCell ref="K121:L121"/>
    <mergeCell ref="D69:N69"/>
    <mergeCell ref="A74:C74"/>
    <mergeCell ref="C88:D88"/>
    <mergeCell ref="E88:F88"/>
    <mergeCell ref="K110:L110"/>
    <mergeCell ref="A76:C76"/>
    <mergeCell ref="C55:D55"/>
    <mergeCell ref="I12:J12"/>
    <mergeCell ref="K12:L12"/>
    <mergeCell ref="D16:N16"/>
    <mergeCell ref="A92:C92"/>
    <mergeCell ref="D18:N18"/>
    <mergeCell ref="A94:C94"/>
    <mergeCell ref="I78:J78"/>
    <mergeCell ref="D76:N76"/>
    <mergeCell ref="D6:N6"/>
    <mergeCell ref="D108:N108"/>
    <mergeCell ref="A99:B99"/>
    <mergeCell ref="D95:N95"/>
    <mergeCell ref="D160:N160"/>
    <mergeCell ref="D97:N97"/>
    <mergeCell ref="D72:N72"/>
    <mergeCell ref="A148:C148"/>
    <mergeCell ref="A6:C6"/>
    <mergeCell ref="D42:N42"/>
    <mergeCell ref="E22:F22"/>
    <mergeCell ref="D113:N113"/>
    <mergeCell ref="G22:H22"/>
    <mergeCell ref="K78:L78"/>
    <mergeCell ref="D148:N148"/>
    <mergeCell ref="D26:N26"/>
    <mergeCell ref="D50:N50"/>
    <mergeCell ref="D115:N115"/>
    <mergeCell ref="E122:F122"/>
    <mergeCell ref="A45:B45"/>
    <mergeCell ref="D28:N28"/>
    <mergeCell ref="A55:B55"/>
    <mergeCell ref="A152:C152"/>
    <mergeCell ref="E77:F77"/>
    <mergeCell ref="A3:C3"/>
    <mergeCell ref="K55:L55"/>
    <mergeCell ref="A95:C95"/>
    <mergeCell ref="A160:C160"/>
    <mergeCell ref="I144:J144"/>
    <mergeCell ref="K144:L144"/>
    <mergeCell ref="A5:C5"/>
    <mergeCell ref="A32:C32"/>
    <mergeCell ref="A159:C159"/>
    <mergeCell ref="A97:C97"/>
    <mergeCell ref="A89:B89"/>
    <mergeCell ref="A96:C96"/>
    <mergeCell ref="A100:B100"/>
    <mergeCell ref="A77:B77"/>
    <mergeCell ref="D63:N63"/>
    <mergeCell ref="A18:C18"/>
    <mergeCell ref="E132:F132"/>
    <mergeCell ref="G132:H132"/>
    <mergeCell ref="G122:H122"/>
    <mergeCell ref="C143:D143"/>
    <mergeCell ref="A47:C47"/>
    <mergeCell ref="A26:C26"/>
    <mergeCell ref="D31:N31"/>
    <mergeCell ref="D158:N158"/>
    <mergeCell ref="G177:H177"/>
    <mergeCell ref="G33:H33"/>
    <mergeCell ref="I177:J177"/>
    <mergeCell ref="I33:J33"/>
    <mergeCell ref="D103:N103"/>
    <mergeCell ref="D37:N37"/>
    <mergeCell ref="D168:N168"/>
    <mergeCell ref="D9:N9"/>
    <mergeCell ref="D118:N118"/>
    <mergeCell ref="D161:N161"/>
    <mergeCell ref="C165:D165"/>
    <mergeCell ref="K66:L66"/>
    <mergeCell ref="G99:H99"/>
    <mergeCell ref="C66:D66"/>
    <mergeCell ref="I99:J99"/>
    <mergeCell ref="E66:F66"/>
    <mergeCell ref="D98:N98"/>
    <mergeCell ref="D38:N38"/>
    <mergeCell ref="D169:N169"/>
    <mergeCell ref="A16:C16"/>
    <mergeCell ref="C77:D77"/>
    <mergeCell ref="A108:C108"/>
    <mergeCell ref="A166:B166"/>
    <mergeCell ref="G155:H155"/>
    <mergeCell ref="A169:C169"/>
    <mergeCell ref="D157:N157"/>
    <mergeCell ref="A162:C162"/>
    <mergeCell ref="E56:F56"/>
    <mergeCell ref="C154:D154"/>
    <mergeCell ref="G56:H56"/>
    <mergeCell ref="I34:J34"/>
    <mergeCell ref="K34:L34"/>
    <mergeCell ref="A164:C164"/>
    <mergeCell ref="D119:N119"/>
    <mergeCell ref="A110:B110"/>
    <mergeCell ref="D40:N40"/>
    <mergeCell ref="A116:C116"/>
    <mergeCell ref="I100:J100"/>
    <mergeCell ref="K100:L100"/>
    <mergeCell ref="D104:N104"/>
    <mergeCell ref="K165:L165"/>
    <mergeCell ref="D137:N137"/>
    <mergeCell ref="A142:C142"/>
    <mergeCell ref="D130:N130"/>
    <mergeCell ref="A121:B121"/>
    <mergeCell ref="E143:F143"/>
    <mergeCell ref="D52:N52"/>
    <mergeCell ref="D116:N116"/>
    <mergeCell ref="C11:D11"/>
    <mergeCell ref="E11:F11"/>
    <mergeCell ref="D43:N43"/>
    <mergeCell ref="A48:C48"/>
    <mergeCell ref="D74:N74"/>
    <mergeCell ref="D117:N117"/>
    <mergeCell ref="A44:B44"/>
    <mergeCell ref="D59:N59"/>
    <mergeCell ref="A37:C37"/>
    <mergeCell ref="I89:J89"/>
    <mergeCell ref="K89:L89"/>
    <mergeCell ref="C89:D89"/>
    <mergeCell ref="C111:D111"/>
    <mergeCell ref="A69:C69"/>
    <mergeCell ref="E12:F12"/>
    <mergeCell ref="G12:H12"/>
    <mergeCell ref="A38:C38"/>
    <mergeCell ref="A23:B23"/>
    <mergeCell ref="C23:D23"/>
    <mergeCell ref="A98:C98"/>
    <mergeCell ref="D27:N27"/>
    <mergeCell ref="D91:N91"/>
    <mergeCell ref="D106:N106"/>
    <mergeCell ref="I23:J23"/>
    <mergeCell ref="G176:H176"/>
    <mergeCell ref="K88:L88"/>
    <mergeCell ref="D21:N21"/>
    <mergeCell ref="C177:D177"/>
    <mergeCell ref="E155:F155"/>
    <mergeCell ref="A43:C43"/>
    <mergeCell ref="D48:N48"/>
    <mergeCell ref="G121:H121"/>
    <mergeCell ref="I121:J121"/>
    <mergeCell ref="A63:C63"/>
    <mergeCell ref="D87:N87"/>
    <mergeCell ref="A130:C130"/>
    <mergeCell ref="D62:N62"/>
    <mergeCell ref="G110:H110"/>
    <mergeCell ref="I110:J110"/>
    <mergeCell ref="I166:J166"/>
    <mergeCell ref="I44:J44"/>
    <mergeCell ref="K166:L166"/>
    <mergeCell ref="D114:N114"/>
    <mergeCell ref="A138:C138"/>
    <mergeCell ref="D64:N64"/>
    <mergeCell ref="A119:C119"/>
    <mergeCell ref="A111:B111"/>
    <mergeCell ref="D51:N51"/>
    <mergeCell ref="A15:C15"/>
    <mergeCell ref="E154:F154"/>
    <mergeCell ref="G154:H154"/>
    <mergeCell ref="A51:C51"/>
    <mergeCell ref="A82:C82"/>
    <mergeCell ref="A146:C146"/>
    <mergeCell ref="D153:N153"/>
    <mergeCell ref="D128:N128"/>
    <mergeCell ref="D83:N83"/>
    <mergeCell ref="A61:C61"/>
    <mergeCell ref="A153:C153"/>
    <mergeCell ref="A17:C17"/>
    <mergeCell ref="A53:C53"/>
    <mergeCell ref="A109:C109"/>
    <mergeCell ref="D41:N41"/>
    <mergeCell ref="A19:C19"/>
    <mergeCell ref="K77:L77"/>
    <mergeCell ref="A117:C117"/>
    <mergeCell ref="K23:L23"/>
    <mergeCell ref="D93:N93"/>
    <mergeCell ref="K143:L143"/>
    <mergeCell ref="D138:N138"/>
    <mergeCell ref="D140:N140"/>
    <mergeCell ref="D19:N19"/>
    <mergeCell ref="K11:L11"/>
    <mergeCell ref="A141:C141"/>
    <mergeCell ref="A135:C135"/>
    <mergeCell ref="E177:F177"/>
    <mergeCell ref="A133:B133"/>
    <mergeCell ref="C133:D133"/>
    <mergeCell ref="A62:C62"/>
    <mergeCell ref="C22:D22"/>
    <mergeCell ref="E78:F78"/>
    <mergeCell ref="C176:D176"/>
    <mergeCell ref="K111:L111"/>
    <mergeCell ref="E176:F176"/>
    <mergeCell ref="G78:H78"/>
    <mergeCell ref="A72:C72"/>
    <mergeCell ref="D17:N17"/>
    <mergeCell ref="A28:C28"/>
    <mergeCell ref="A30:C30"/>
    <mergeCell ref="A59:C59"/>
    <mergeCell ref="E144:F144"/>
    <mergeCell ref="G144:H144"/>
    <mergeCell ref="A147:C147"/>
    <mergeCell ref="D141:N141"/>
    <mergeCell ref="D75:N75"/>
    <mergeCell ref="D135:N135"/>
    <mergeCell ref="D8:N8"/>
    <mergeCell ref="A65:C65"/>
    <mergeCell ref="D20:N20"/>
    <mergeCell ref="A80:C80"/>
    <mergeCell ref="D109:N109"/>
    <mergeCell ref="E23:F23"/>
    <mergeCell ref="G23:H23"/>
    <mergeCell ref="A88:B88"/>
    <mergeCell ref="D84:N84"/>
    <mergeCell ref="D86:N86"/>
    <mergeCell ref="A91:C91"/>
    <mergeCell ref="A56:B56"/>
    <mergeCell ref="C56:D56"/>
    <mergeCell ref="E34:F34"/>
    <mergeCell ref="K67:L67"/>
    <mergeCell ref="G34:H34"/>
    <mergeCell ref="E99:F99"/>
    <mergeCell ref="D14:N14"/>
    <mergeCell ref="D85:N85"/>
    <mergeCell ref="A67:B67"/>
    <mergeCell ref="A54:C54"/>
    <mergeCell ref="A41:C41"/>
    <mergeCell ref="C33:D33"/>
    <mergeCell ref="E33:F33"/>
    <mergeCell ref="D4:N4"/>
    <mergeCell ref="A157:C157"/>
    <mergeCell ref="A22:B22"/>
    <mergeCell ref="E100:F100"/>
    <mergeCell ref="G100:H100"/>
    <mergeCell ref="C67:D67"/>
    <mergeCell ref="G165:H165"/>
    <mergeCell ref="D164:N164"/>
    <mergeCell ref="G44:H44"/>
    <mergeCell ref="G77:H77"/>
    <mergeCell ref="I77:J77"/>
    <mergeCell ref="I133:J133"/>
    <mergeCell ref="A75:C75"/>
    <mergeCell ref="K133:L133"/>
    <mergeCell ref="A11:B11"/>
    <mergeCell ref="A7:C7"/>
    <mergeCell ref="A8:C8"/>
    <mergeCell ref="A10:C10"/>
    <mergeCell ref="A9:C9"/>
    <mergeCell ref="I132:J132"/>
    <mergeCell ref="K132:L132"/>
    <mergeCell ref="A122:B122"/>
    <mergeCell ref="C122:D122"/>
    <mergeCell ref="A36:C36"/>
    <mergeCell ref="A177:B177"/>
    <mergeCell ref="A106:C106"/>
    <mergeCell ref="A81:C81"/>
    <mergeCell ref="D61:N61"/>
    <mergeCell ref="A170:C170"/>
    <mergeCell ref="D175:N175"/>
    <mergeCell ref="D125:N125"/>
    <mergeCell ref="G88:H88"/>
    <mergeCell ref="I88:J88"/>
    <mergeCell ref="D152:N152"/>
    <mergeCell ref="D127:N127"/>
    <mergeCell ref="A155:B155"/>
    <mergeCell ref="C155:D155"/>
    <mergeCell ref="A172:C172"/>
    <mergeCell ref="E121:F121"/>
    <mergeCell ref="A163:C163"/>
    <mergeCell ref="I122:J122"/>
    <mergeCell ref="D159:N159"/>
    <mergeCell ref="A129:C129"/>
    <mergeCell ref="D80:N80"/>
    <mergeCell ref="D96:N96"/>
    <mergeCell ref="A85:C85"/>
    <mergeCell ref="C99:D99"/>
    <mergeCell ref="A131:C131"/>
    <mergeCell ref="A12:B12"/>
    <mergeCell ref="I143:J143"/>
    <mergeCell ref="C12:D12"/>
    <mergeCell ref="I22:J22"/>
    <mergeCell ref="K22:L22"/>
    <mergeCell ref="D172:N172"/>
    <mergeCell ref="A104:C104"/>
    <mergeCell ref="A175:C175"/>
    <mergeCell ref="D36:N36"/>
    <mergeCell ref="K122:L122"/>
    <mergeCell ref="A14:C14"/>
    <mergeCell ref="A25:C25"/>
    <mergeCell ref="E44:F44"/>
    <mergeCell ref="A27:C27"/>
    <mergeCell ref="A66:B66"/>
    <mergeCell ref="I55:J55"/>
    <mergeCell ref="I67:J67"/>
    <mergeCell ref="D149:N149"/>
    <mergeCell ref="D151:N151"/>
    <mergeCell ref="A154:B154"/>
    <mergeCell ref="D150:N150"/>
    <mergeCell ref="A93:C93"/>
    <mergeCell ref="A158:C158"/>
    <mergeCell ref="I45:J45"/>
    <mergeCell ref="A103:C103"/>
    <mergeCell ref="A168:C168"/>
    <mergeCell ref="G166:H166"/>
    <mergeCell ref="D105:N105"/>
    <mergeCell ref="D49:N49"/>
    <mergeCell ref="D120:N120"/>
    <mergeCell ref="D107:N107"/>
    <mergeCell ref="D163:N163"/>
    <mergeCell ref="A20:C20"/>
    <mergeCell ref="A125:C125"/>
    <mergeCell ref="K45:L45"/>
    <mergeCell ref="D65:N65"/>
    <mergeCell ref="I111:J111"/>
    <mergeCell ref="A40:C40"/>
    <mergeCell ref="C132:D132"/>
    <mergeCell ref="I165:J165"/>
    <mergeCell ref="D162:N162"/>
    <mergeCell ref="C45:D45"/>
    <mergeCell ref="A120:C120"/>
    <mergeCell ref="A71:C71"/>
    <mergeCell ref="E133:F133"/>
    <mergeCell ref="G133:H133"/>
    <mergeCell ref="E89:F89"/>
    <mergeCell ref="G89:H89"/>
    <mergeCell ref="D173:N173"/>
    <mergeCell ref="G111:H111"/>
    <mergeCell ref="A176:B176"/>
    <mergeCell ref="D171:N171"/>
    <mergeCell ref="A127:C127"/>
    <mergeCell ref="A114:C114"/>
    <mergeCell ref="D102:N102"/>
    <mergeCell ref="A64:C64"/>
    <mergeCell ref="D25:N25"/>
    <mergeCell ref="A107:C107"/>
    <mergeCell ref="D39:N39"/>
    <mergeCell ref="D54:N54"/>
    <mergeCell ref="I154:J154"/>
    <mergeCell ref="E165:F165"/>
    <mergeCell ref="A132:B132"/>
    <mergeCell ref="K154:L154"/>
    <mergeCell ref="D32:N32"/>
    <mergeCell ref="A115:C115"/>
    <mergeCell ref="A102:C102"/>
    <mergeCell ref="E45:F45"/>
    <mergeCell ref="G45:H45"/>
    <mergeCell ref="A39:C39"/>
    <mergeCell ref="D146:N146"/>
    <mergeCell ref="G55:H55"/>
  </mergeCells>
  <hyperlinks>
    <hyperlink ref="A1" location="'Conformidad'!A1" display="Conformidad"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6">
    <tabColor theme="9" tint="0.59999389629810485"/>
  </sheetPr>
  <dimension ref="A1:N177"/>
  <sheetViews>
    <sheetView topLeftCell="K1" workbookViewId="0">
      <selection activeCell="M166" sqref="M166"/>
    </sheetView>
  </sheetViews>
  <sheetFormatPr defaultColWidth="11.42578125" defaultRowHeight="15"/>
  <cols>
    <col min="1" max="1" width="17.42578125" style="43" customWidth="1"/>
    <col min="2" max="8" width="11.42578125" style="43" customWidth="1"/>
    <col min="9" max="10" width="20.7109375" style="43" customWidth="1"/>
    <col min="11" max="11" width="31.140625" style="43" customWidth="1"/>
    <col min="12" max="12" width="26.85546875" style="43" customWidth="1"/>
    <col min="13" max="13" width="11.42578125" style="43" customWidth="1"/>
    <col min="14" max="14" width="175.140625" style="43" bestFit="1" customWidth="1"/>
    <col min="15" max="16384" width="11.42578125" style="43"/>
  </cols>
  <sheetData>
    <row r="1" spans="1:14">
      <c r="A1" s="42" t="s">
        <v>11</v>
      </c>
      <c r="B1" s="105"/>
      <c r="C1" s="105"/>
      <c r="D1" s="105"/>
      <c r="E1" s="105"/>
      <c r="F1" s="105"/>
      <c r="G1" s="105"/>
      <c r="H1" s="105"/>
      <c r="I1" s="105"/>
      <c r="J1" s="105"/>
      <c r="K1" s="105"/>
      <c r="L1" s="105"/>
      <c r="M1" s="105"/>
      <c r="N1" s="105"/>
    </row>
    <row r="2" spans="1:14">
      <c r="A2" s="44"/>
      <c r="B2" s="105"/>
      <c r="C2" s="105"/>
      <c r="D2" s="105"/>
      <c r="E2" s="105"/>
      <c r="F2" s="105"/>
      <c r="G2" s="105"/>
      <c r="H2" s="105"/>
      <c r="I2" s="105"/>
      <c r="J2" s="105"/>
      <c r="K2" s="105"/>
      <c r="L2" s="105"/>
      <c r="M2" s="105"/>
      <c r="N2" s="105"/>
    </row>
    <row r="3" spans="1:14">
      <c r="A3" s="94" t="s">
        <v>72</v>
      </c>
      <c r="B3" s="123"/>
      <c r="C3" s="124"/>
      <c r="D3" s="107" t="str">
        <f>$A$1</f>
        <v>Disponibilidad</v>
      </c>
      <c r="E3" s="108"/>
      <c r="F3" s="108"/>
      <c r="G3" s="108"/>
      <c r="H3" s="108"/>
      <c r="I3" s="108"/>
      <c r="J3" s="108"/>
      <c r="K3" s="108"/>
      <c r="L3" s="108"/>
      <c r="M3" s="108"/>
      <c r="N3" s="109"/>
    </row>
    <row r="4" spans="1:14" ht="15" customHeight="1">
      <c r="A4" s="95" t="s">
        <v>73</v>
      </c>
      <c r="B4" s="106"/>
      <c r="C4" s="125"/>
      <c r="D4" s="112" t="s">
        <v>43</v>
      </c>
      <c r="E4" s="108"/>
      <c r="F4" s="108"/>
      <c r="G4" s="108"/>
      <c r="H4" s="108"/>
      <c r="I4" s="108"/>
      <c r="J4" s="108"/>
      <c r="K4" s="108"/>
      <c r="L4" s="108"/>
      <c r="M4" s="108"/>
      <c r="N4" s="109"/>
    </row>
    <row r="5" spans="1:14">
      <c r="A5" s="93" t="s">
        <v>74</v>
      </c>
      <c r="B5" s="110"/>
      <c r="C5" s="126"/>
      <c r="D5" s="107" t="s">
        <v>263</v>
      </c>
      <c r="E5" s="108"/>
      <c r="F5" s="108"/>
      <c r="G5" s="108"/>
      <c r="H5" s="108"/>
      <c r="I5" s="108"/>
      <c r="J5" s="108"/>
      <c r="K5" s="108"/>
      <c r="L5" s="108"/>
      <c r="M5" s="108"/>
      <c r="N5" s="109"/>
    </row>
    <row r="6" spans="1:14">
      <c r="A6" s="93" t="s">
        <v>76</v>
      </c>
      <c r="B6" s="110"/>
      <c r="C6" s="126"/>
      <c r="D6" s="107" t="s">
        <v>264</v>
      </c>
      <c r="E6" s="108"/>
      <c r="F6" s="108"/>
      <c r="G6" s="108"/>
      <c r="H6" s="108"/>
      <c r="I6" s="108"/>
      <c r="J6" s="108"/>
      <c r="K6" s="108"/>
      <c r="L6" s="108"/>
      <c r="M6" s="108"/>
      <c r="N6" s="109"/>
    </row>
    <row r="7" spans="1:14">
      <c r="A7" s="93" t="s">
        <v>78</v>
      </c>
      <c r="B7" s="110"/>
      <c r="C7" s="126"/>
      <c r="D7" s="107" t="s">
        <v>79</v>
      </c>
      <c r="E7" s="108"/>
      <c r="F7" s="108"/>
      <c r="G7" s="108"/>
      <c r="H7" s="108"/>
      <c r="I7" s="108"/>
      <c r="J7" s="108"/>
      <c r="K7" s="108"/>
      <c r="L7" s="108"/>
      <c r="M7" s="108"/>
      <c r="N7" s="109"/>
    </row>
    <row r="8" spans="1:14" ht="30" customHeight="1">
      <c r="A8" s="90" t="s">
        <v>151</v>
      </c>
      <c r="B8" s="127"/>
      <c r="C8" s="128"/>
      <c r="D8" s="129" t="s">
        <v>265</v>
      </c>
      <c r="E8" s="120"/>
      <c r="F8" s="120"/>
      <c r="G8" s="120"/>
      <c r="H8" s="120"/>
      <c r="I8" s="120"/>
      <c r="J8" s="120"/>
      <c r="K8" s="120"/>
      <c r="L8" s="120"/>
      <c r="M8" s="120"/>
      <c r="N8" s="121"/>
    </row>
    <row r="9" spans="1:14" ht="31.5" customHeight="1">
      <c r="A9" s="92" t="s">
        <v>82</v>
      </c>
      <c r="B9" s="108"/>
      <c r="C9" s="109"/>
      <c r="D9" s="112" t="s">
        <v>266</v>
      </c>
      <c r="E9" s="108"/>
      <c r="F9" s="108"/>
      <c r="G9" s="108"/>
      <c r="H9" s="108"/>
      <c r="I9" s="108"/>
      <c r="J9" s="108"/>
      <c r="K9" s="108"/>
      <c r="L9" s="108"/>
      <c r="M9" s="108"/>
      <c r="N9" s="109"/>
    </row>
    <row r="10" spans="1:14" ht="33.75" customHeight="1">
      <c r="A10" s="92" t="s">
        <v>84</v>
      </c>
      <c r="B10" s="108"/>
      <c r="C10" s="109"/>
      <c r="D10" s="112" t="s">
        <v>267</v>
      </c>
      <c r="E10" s="108"/>
      <c r="F10" s="108"/>
      <c r="G10" s="108"/>
      <c r="H10" s="108"/>
      <c r="I10" s="108"/>
      <c r="J10" s="108"/>
      <c r="K10" s="108"/>
      <c r="L10" s="108"/>
      <c r="M10" s="108"/>
      <c r="N10" s="109"/>
    </row>
    <row r="11" spans="1:14" ht="32.1" customHeight="1">
      <c r="A11" s="91" t="s">
        <v>86</v>
      </c>
      <c r="B11" s="109"/>
      <c r="C11" s="91" t="s">
        <v>87</v>
      </c>
      <c r="D11" s="109"/>
      <c r="E11" s="91" t="s">
        <v>88</v>
      </c>
      <c r="F11" s="109"/>
      <c r="G11" s="91" t="s">
        <v>89</v>
      </c>
      <c r="H11" s="109"/>
      <c r="I11" s="91" t="s">
        <v>90</v>
      </c>
      <c r="J11" s="109"/>
      <c r="K11" s="91" t="s">
        <v>91</v>
      </c>
      <c r="L11" s="109"/>
      <c r="M11" s="45" t="s">
        <v>92</v>
      </c>
      <c r="N11" s="46" t="s">
        <v>93</v>
      </c>
    </row>
    <row r="12" spans="1:14" ht="87.75" customHeight="1">
      <c r="A12" s="130" t="s">
        <v>268</v>
      </c>
      <c r="B12" s="109"/>
      <c r="C12" s="130" t="s">
        <v>269</v>
      </c>
      <c r="D12" s="109"/>
      <c r="E12" s="130" t="s">
        <v>129</v>
      </c>
      <c r="F12" s="109"/>
      <c r="G12" s="130" t="s">
        <v>97</v>
      </c>
      <c r="H12" s="109"/>
      <c r="I12" s="130" t="s">
        <v>270</v>
      </c>
      <c r="J12" s="109"/>
      <c r="K12" s="130" t="s">
        <v>271</v>
      </c>
      <c r="L12" s="109"/>
      <c r="M12" s="131"/>
      <c r="N12" s="131" t="s">
        <v>272</v>
      </c>
    </row>
    <row r="14" spans="1:14">
      <c r="A14" s="122"/>
      <c r="B14" s="122"/>
      <c r="C14" s="122"/>
      <c r="D14" s="122"/>
      <c r="E14" s="122"/>
      <c r="F14" s="122"/>
      <c r="G14" s="122"/>
      <c r="H14" s="122"/>
      <c r="I14" s="122"/>
      <c r="J14" s="122"/>
      <c r="K14" s="122"/>
      <c r="L14" s="122"/>
      <c r="M14" s="122"/>
      <c r="N14" s="122"/>
    </row>
    <row r="15" spans="1:14" ht="18.75" customHeight="1">
      <c r="A15" s="122"/>
      <c r="B15" s="122"/>
      <c r="C15" s="122"/>
      <c r="D15" s="122"/>
      <c r="E15" s="122"/>
      <c r="F15" s="122"/>
      <c r="G15" s="122"/>
      <c r="H15" s="122"/>
      <c r="I15" s="122"/>
      <c r="J15" s="122"/>
      <c r="K15" s="122"/>
      <c r="L15" s="122"/>
      <c r="M15" s="122"/>
      <c r="N15" s="122"/>
    </row>
    <row r="16" spans="1:14">
      <c r="A16" s="122"/>
      <c r="B16" s="122"/>
      <c r="C16" s="122"/>
      <c r="D16" s="122"/>
      <c r="E16" s="122"/>
      <c r="F16" s="122"/>
      <c r="G16" s="122"/>
      <c r="H16" s="122"/>
      <c r="I16" s="122"/>
      <c r="J16" s="122"/>
      <c r="K16" s="122"/>
      <c r="L16" s="122"/>
      <c r="M16" s="122"/>
      <c r="N16" s="122"/>
    </row>
    <row r="17" spans="1:14">
      <c r="A17" s="122"/>
      <c r="B17" s="122"/>
      <c r="C17" s="122"/>
      <c r="D17" s="122"/>
      <c r="E17" s="122"/>
      <c r="F17" s="122"/>
      <c r="G17" s="122"/>
      <c r="H17" s="122"/>
      <c r="I17" s="122"/>
      <c r="J17" s="122"/>
      <c r="K17" s="122"/>
      <c r="L17" s="122"/>
      <c r="M17" s="122"/>
      <c r="N17" s="122"/>
    </row>
    <row r="18" spans="1:14">
      <c r="A18" s="122"/>
      <c r="B18" s="122"/>
      <c r="C18" s="122"/>
      <c r="D18" s="122"/>
      <c r="E18" s="122"/>
      <c r="F18" s="122"/>
      <c r="G18" s="122"/>
      <c r="H18" s="122"/>
      <c r="I18" s="122"/>
      <c r="J18" s="122"/>
      <c r="K18" s="122"/>
      <c r="L18" s="122"/>
      <c r="M18" s="122"/>
      <c r="N18" s="122"/>
    </row>
    <row r="19" spans="1:14" ht="41.25" customHeight="1">
      <c r="A19" s="122"/>
      <c r="B19" s="122"/>
      <c r="C19" s="122"/>
      <c r="D19" s="122"/>
      <c r="E19" s="122"/>
      <c r="F19" s="122"/>
      <c r="G19" s="122"/>
      <c r="H19" s="122"/>
      <c r="I19" s="122"/>
      <c r="J19" s="122"/>
      <c r="K19" s="122"/>
      <c r="L19" s="122"/>
      <c r="M19" s="122"/>
      <c r="N19" s="122"/>
    </row>
    <row r="20" spans="1:14" ht="34.5" customHeight="1">
      <c r="A20" s="122"/>
      <c r="B20" s="122"/>
      <c r="C20" s="122"/>
      <c r="D20" s="122"/>
      <c r="E20" s="122"/>
      <c r="F20" s="122"/>
      <c r="G20" s="122"/>
      <c r="H20" s="122"/>
      <c r="I20" s="122"/>
      <c r="J20" s="122"/>
      <c r="K20" s="122"/>
      <c r="L20" s="122"/>
      <c r="M20" s="122"/>
      <c r="N20" s="122"/>
    </row>
    <row r="21" spans="1:14" ht="36.75" customHeight="1">
      <c r="A21" s="122"/>
      <c r="B21" s="122"/>
      <c r="C21" s="122"/>
      <c r="D21" s="122"/>
      <c r="E21" s="122"/>
      <c r="F21" s="122"/>
      <c r="G21" s="122"/>
      <c r="H21" s="122"/>
      <c r="I21" s="122"/>
      <c r="J21" s="122"/>
      <c r="K21" s="122"/>
      <c r="L21" s="122"/>
      <c r="M21" s="122"/>
      <c r="N21" s="122"/>
    </row>
    <row r="22" spans="1:14" ht="32.1" customHeight="1">
      <c r="A22" s="122"/>
      <c r="B22" s="122"/>
      <c r="C22" s="122"/>
      <c r="D22" s="122"/>
      <c r="E22" s="122"/>
      <c r="F22" s="122"/>
      <c r="G22" s="122"/>
      <c r="H22" s="122"/>
      <c r="I22" s="122"/>
      <c r="J22" s="122"/>
      <c r="K22" s="122"/>
      <c r="L22" s="122"/>
      <c r="M22" s="105"/>
      <c r="N22" s="105"/>
    </row>
    <row r="23" spans="1:14" ht="95.25" customHeight="1">
      <c r="A23" s="122"/>
      <c r="B23" s="122"/>
      <c r="C23" s="122"/>
      <c r="D23" s="122"/>
      <c r="E23" s="122"/>
      <c r="F23" s="122"/>
      <c r="G23" s="122"/>
      <c r="H23" s="122"/>
      <c r="I23" s="122"/>
      <c r="J23" s="122"/>
      <c r="K23" s="122"/>
      <c r="L23" s="122"/>
      <c r="M23" s="105"/>
      <c r="N23" s="105"/>
    </row>
    <row r="25" spans="1:14">
      <c r="A25" s="122"/>
      <c r="B25" s="122"/>
      <c r="C25" s="122"/>
      <c r="D25" s="122"/>
      <c r="E25" s="122"/>
      <c r="F25" s="122"/>
      <c r="G25" s="122"/>
      <c r="H25" s="122"/>
      <c r="I25" s="122"/>
      <c r="J25" s="122"/>
      <c r="K25" s="122"/>
      <c r="L25" s="122"/>
      <c r="M25" s="122"/>
      <c r="N25" s="122"/>
    </row>
    <row r="26" spans="1:14" ht="19.5" customHeight="1">
      <c r="A26" s="122"/>
      <c r="B26" s="122"/>
      <c r="C26" s="122"/>
      <c r="D26" s="122"/>
      <c r="E26" s="122"/>
      <c r="F26" s="122"/>
      <c r="G26" s="122"/>
      <c r="H26" s="122"/>
      <c r="I26" s="122"/>
      <c r="J26" s="122"/>
      <c r="K26" s="122"/>
      <c r="L26" s="122"/>
      <c r="M26" s="122"/>
      <c r="N26" s="122"/>
    </row>
    <row r="27" spans="1:14">
      <c r="A27" s="122"/>
      <c r="B27" s="122"/>
      <c r="C27" s="122"/>
      <c r="D27" s="122"/>
      <c r="E27" s="122"/>
      <c r="F27" s="122"/>
      <c r="G27" s="122"/>
      <c r="H27" s="122"/>
      <c r="I27" s="122"/>
      <c r="J27" s="122"/>
      <c r="K27" s="122"/>
      <c r="L27" s="122"/>
      <c r="M27" s="122"/>
      <c r="N27" s="122"/>
    </row>
    <row r="28" spans="1:14">
      <c r="A28" s="122"/>
      <c r="B28" s="122"/>
      <c r="C28" s="122"/>
      <c r="D28" s="122"/>
      <c r="E28" s="122"/>
      <c r="F28" s="122"/>
      <c r="G28" s="122"/>
      <c r="H28" s="122"/>
      <c r="I28" s="122"/>
      <c r="J28" s="122"/>
      <c r="K28" s="122"/>
      <c r="L28" s="122"/>
      <c r="M28" s="122"/>
      <c r="N28" s="122"/>
    </row>
    <row r="29" spans="1:14">
      <c r="A29" s="122"/>
      <c r="B29" s="122"/>
      <c r="C29" s="122"/>
      <c r="D29" s="122"/>
      <c r="E29" s="122"/>
      <c r="F29" s="122"/>
      <c r="G29" s="122"/>
      <c r="H29" s="122"/>
      <c r="I29" s="122"/>
      <c r="J29" s="122"/>
      <c r="K29" s="122"/>
      <c r="L29" s="122"/>
      <c r="M29" s="122"/>
      <c r="N29" s="122"/>
    </row>
    <row r="30" spans="1:14" ht="33" customHeight="1">
      <c r="A30" s="122"/>
      <c r="B30" s="122"/>
      <c r="C30" s="122"/>
      <c r="D30" s="122"/>
      <c r="E30" s="122"/>
      <c r="F30" s="122"/>
      <c r="G30" s="122"/>
      <c r="H30" s="122"/>
      <c r="I30" s="122"/>
      <c r="J30" s="122"/>
      <c r="K30" s="122"/>
      <c r="L30" s="122"/>
      <c r="M30" s="122"/>
      <c r="N30" s="122"/>
    </row>
    <row r="31" spans="1:14" ht="33" customHeight="1">
      <c r="A31" s="122"/>
      <c r="B31" s="122"/>
      <c r="C31" s="122"/>
      <c r="D31" s="122"/>
      <c r="E31" s="122"/>
      <c r="F31" s="122"/>
      <c r="G31" s="122"/>
      <c r="H31" s="122"/>
      <c r="I31" s="122"/>
      <c r="J31" s="122"/>
      <c r="K31" s="122"/>
      <c r="L31" s="122"/>
      <c r="M31" s="122"/>
      <c r="N31" s="122"/>
    </row>
    <row r="32" spans="1:14" ht="37.5" customHeight="1">
      <c r="A32" s="122"/>
      <c r="B32" s="122"/>
      <c r="C32" s="122"/>
      <c r="D32" s="122"/>
      <c r="E32" s="122"/>
      <c r="F32" s="122"/>
      <c r="G32" s="122"/>
      <c r="H32" s="122"/>
      <c r="I32" s="122"/>
      <c r="J32" s="122"/>
      <c r="K32" s="122"/>
      <c r="L32" s="122"/>
      <c r="M32" s="122"/>
      <c r="N32" s="122"/>
    </row>
    <row r="33" spans="1:14" ht="32.1" customHeight="1">
      <c r="A33" s="122"/>
      <c r="B33" s="122"/>
      <c r="C33" s="122"/>
      <c r="D33" s="122"/>
      <c r="E33" s="122"/>
      <c r="F33" s="122"/>
      <c r="G33" s="122"/>
      <c r="H33" s="122"/>
      <c r="I33" s="122"/>
      <c r="J33" s="122"/>
      <c r="K33" s="122"/>
      <c r="L33" s="122"/>
      <c r="M33" s="105"/>
      <c r="N33" s="105"/>
    </row>
    <row r="34" spans="1:14" ht="106.5" customHeight="1">
      <c r="A34" s="122"/>
      <c r="B34" s="122"/>
      <c r="C34" s="122"/>
      <c r="D34" s="122"/>
      <c r="E34" s="122"/>
      <c r="F34" s="122"/>
      <c r="G34" s="122"/>
      <c r="H34" s="122"/>
      <c r="I34" s="122"/>
      <c r="J34" s="122"/>
      <c r="K34" s="122"/>
      <c r="L34" s="122"/>
      <c r="M34" s="105"/>
      <c r="N34" s="105"/>
    </row>
    <row r="36" spans="1:14">
      <c r="A36" s="122"/>
      <c r="B36" s="122"/>
      <c r="C36" s="122"/>
      <c r="D36" s="122"/>
      <c r="E36" s="122"/>
      <c r="F36" s="122"/>
      <c r="G36" s="122"/>
      <c r="H36" s="122"/>
      <c r="I36" s="122"/>
      <c r="J36" s="122"/>
      <c r="K36" s="122"/>
      <c r="L36" s="122"/>
      <c r="M36" s="122"/>
      <c r="N36" s="122"/>
    </row>
    <row r="37" spans="1:14" ht="18.75" customHeight="1">
      <c r="A37" s="122"/>
      <c r="B37" s="122"/>
      <c r="C37" s="122"/>
      <c r="D37" s="122"/>
      <c r="E37" s="122"/>
      <c r="F37" s="122"/>
      <c r="G37" s="122"/>
      <c r="H37" s="122"/>
      <c r="I37" s="122"/>
      <c r="J37" s="122"/>
      <c r="K37" s="122"/>
      <c r="L37" s="122"/>
      <c r="M37" s="122"/>
      <c r="N37" s="122"/>
    </row>
    <row r="38" spans="1:14">
      <c r="A38" s="122"/>
      <c r="B38" s="122"/>
      <c r="C38" s="122"/>
      <c r="D38" s="122"/>
      <c r="E38" s="122"/>
      <c r="F38" s="122"/>
      <c r="G38" s="122"/>
      <c r="H38" s="122"/>
      <c r="I38" s="122"/>
      <c r="J38" s="122"/>
      <c r="K38" s="122"/>
      <c r="L38" s="122"/>
      <c r="M38" s="122"/>
      <c r="N38" s="122"/>
    </row>
    <row r="39" spans="1:14">
      <c r="A39" s="122"/>
      <c r="B39" s="122"/>
      <c r="C39" s="122"/>
      <c r="D39" s="122"/>
      <c r="E39" s="122"/>
      <c r="F39" s="122"/>
      <c r="G39" s="122"/>
      <c r="H39" s="122"/>
      <c r="I39" s="122"/>
      <c r="J39" s="122"/>
      <c r="K39" s="122"/>
      <c r="L39" s="122"/>
      <c r="M39" s="122"/>
      <c r="N39" s="122"/>
    </row>
    <row r="40" spans="1:14">
      <c r="A40" s="122"/>
      <c r="B40" s="122"/>
      <c r="C40" s="122"/>
      <c r="D40" s="122"/>
      <c r="E40" s="122"/>
      <c r="F40" s="122"/>
      <c r="G40" s="122"/>
      <c r="H40" s="122"/>
      <c r="I40" s="122"/>
      <c r="J40" s="122"/>
      <c r="K40" s="122"/>
      <c r="L40" s="122"/>
      <c r="M40" s="122"/>
      <c r="N40" s="122"/>
    </row>
    <row r="41" spans="1:14" ht="29.25" customHeight="1">
      <c r="A41" s="122"/>
      <c r="B41" s="122"/>
      <c r="C41" s="122"/>
      <c r="D41" s="122"/>
      <c r="E41" s="122"/>
      <c r="F41" s="122"/>
      <c r="G41" s="122"/>
      <c r="H41" s="122"/>
      <c r="I41" s="122"/>
      <c r="J41" s="122"/>
      <c r="K41" s="122"/>
      <c r="L41" s="122"/>
      <c r="M41" s="122"/>
      <c r="N41" s="122"/>
    </row>
    <row r="42" spans="1:14" ht="30.75" customHeight="1">
      <c r="A42" s="122"/>
      <c r="B42" s="122"/>
      <c r="C42" s="122"/>
      <c r="D42" s="122"/>
      <c r="E42" s="122"/>
      <c r="F42" s="122"/>
      <c r="G42" s="122"/>
      <c r="H42" s="122"/>
      <c r="I42" s="122"/>
      <c r="J42" s="122"/>
      <c r="K42" s="122"/>
      <c r="L42" s="122"/>
      <c r="M42" s="122"/>
      <c r="N42" s="122"/>
    </row>
    <row r="43" spans="1:14" ht="31.5" customHeight="1">
      <c r="A43" s="122"/>
      <c r="B43" s="122"/>
      <c r="C43" s="122"/>
      <c r="D43" s="122"/>
      <c r="E43" s="122"/>
      <c r="F43" s="122"/>
      <c r="G43" s="122"/>
      <c r="H43" s="122"/>
      <c r="I43" s="122"/>
      <c r="J43" s="122"/>
      <c r="K43" s="122"/>
      <c r="L43" s="122"/>
      <c r="M43" s="122"/>
      <c r="N43" s="122"/>
    </row>
    <row r="44" spans="1:14" ht="32.1" customHeight="1">
      <c r="A44" s="122"/>
      <c r="B44" s="122"/>
      <c r="C44" s="122"/>
      <c r="D44" s="122"/>
      <c r="E44" s="122"/>
      <c r="F44" s="122"/>
      <c r="G44" s="122"/>
      <c r="H44" s="122"/>
      <c r="I44" s="122"/>
      <c r="J44" s="122"/>
      <c r="K44" s="122"/>
      <c r="L44" s="122"/>
      <c r="M44" s="105"/>
      <c r="N44" s="105"/>
    </row>
    <row r="45" spans="1:14" ht="77.25" customHeight="1">
      <c r="A45" s="122"/>
      <c r="B45" s="122"/>
      <c r="C45" s="122"/>
      <c r="D45" s="122"/>
      <c r="E45" s="122"/>
      <c r="F45" s="122"/>
      <c r="G45" s="122"/>
      <c r="H45" s="122"/>
      <c r="I45" s="122"/>
      <c r="J45" s="122"/>
      <c r="K45" s="122"/>
      <c r="L45" s="122"/>
      <c r="M45" s="105"/>
      <c r="N45" s="105"/>
    </row>
    <row r="47" spans="1:14">
      <c r="A47" s="122"/>
      <c r="B47" s="122"/>
      <c r="C47" s="122"/>
      <c r="D47" s="122"/>
      <c r="E47" s="122"/>
      <c r="F47" s="122"/>
      <c r="G47" s="122"/>
      <c r="H47" s="122"/>
      <c r="I47" s="122"/>
      <c r="J47" s="122"/>
      <c r="K47" s="122"/>
      <c r="L47" s="122"/>
      <c r="M47" s="122"/>
      <c r="N47" s="122"/>
    </row>
    <row r="48" spans="1:14" ht="20.25" customHeight="1">
      <c r="A48" s="122"/>
      <c r="B48" s="122"/>
      <c r="C48" s="122"/>
      <c r="D48" s="122"/>
      <c r="E48" s="122"/>
      <c r="F48" s="122"/>
      <c r="G48" s="122"/>
      <c r="H48" s="122"/>
      <c r="I48" s="122"/>
      <c r="J48" s="122"/>
      <c r="K48" s="122"/>
      <c r="L48" s="122"/>
      <c r="M48" s="122"/>
      <c r="N48" s="122"/>
    </row>
    <row r="49" spans="1:14">
      <c r="A49" s="122"/>
      <c r="B49" s="122"/>
      <c r="C49" s="122"/>
      <c r="D49" s="122"/>
      <c r="E49" s="122"/>
      <c r="F49" s="122"/>
      <c r="G49" s="122"/>
      <c r="H49" s="122"/>
      <c r="I49" s="122"/>
      <c r="J49" s="122"/>
      <c r="K49" s="122"/>
      <c r="L49" s="122"/>
      <c r="M49" s="122"/>
      <c r="N49" s="122"/>
    </row>
    <row r="50" spans="1:14">
      <c r="A50" s="122"/>
      <c r="B50" s="122"/>
      <c r="C50" s="122"/>
      <c r="D50" s="122"/>
      <c r="E50" s="122"/>
      <c r="F50" s="122"/>
      <c r="G50" s="122"/>
      <c r="H50" s="122"/>
      <c r="I50" s="122"/>
      <c r="J50" s="122"/>
      <c r="K50" s="122"/>
      <c r="L50" s="122"/>
      <c r="M50" s="122"/>
      <c r="N50" s="122"/>
    </row>
    <row r="51" spans="1:14">
      <c r="A51" s="122"/>
      <c r="B51" s="122"/>
      <c r="C51" s="122"/>
      <c r="D51" s="122"/>
      <c r="E51" s="122"/>
      <c r="F51" s="122"/>
      <c r="G51" s="122"/>
      <c r="H51" s="122"/>
      <c r="I51" s="122"/>
      <c r="J51" s="122"/>
      <c r="K51" s="122"/>
      <c r="L51" s="122"/>
      <c r="M51" s="122"/>
      <c r="N51" s="122"/>
    </row>
    <row r="52" spans="1:14">
      <c r="A52" s="122"/>
      <c r="B52" s="122"/>
      <c r="C52" s="122"/>
      <c r="D52" s="122"/>
      <c r="E52" s="122"/>
      <c r="F52" s="122"/>
      <c r="G52" s="122"/>
      <c r="H52" s="122"/>
      <c r="I52" s="122"/>
      <c r="J52" s="122"/>
      <c r="K52" s="122"/>
      <c r="L52" s="122"/>
      <c r="M52" s="122"/>
      <c r="N52" s="122"/>
    </row>
    <row r="53" spans="1:14" ht="36" customHeight="1">
      <c r="A53" s="122"/>
      <c r="B53" s="122"/>
      <c r="C53" s="122"/>
      <c r="D53" s="122"/>
      <c r="E53" s="122"/>
      <c r="F53" s="122"/>
      <c r="G53" s="122"/>
      <c r="H53" s="122"/>
      <c r="I53" s="122"/>
      <c r="J53" s="122"/>
      <c r="K53" s="122"/>
      <c r="L53" s="122"/>
      <c r="M53" s="122"/>
      <c r="N53" s="122"/>
    </row>
    <row r="54" spans="1:14">
      <c r="A54" s="122"/>
      <c r="B54" s="122"/>
      <c r="C54" s="122"/>
      <c r="D54" s="122"/>
      <c r="E54" s="122"/>
      <c r="F54" s="122"/>
      <c r="G54" s="122"/>
      <c r="H54" s="122"/>
      <c r="I54" s="122"/>
      <c r="J54" s="122"/>
      <c r="K54" s="122"/>
      <c r="L54" s="122"/>
      <c r="M54" s="122"/>
      <c r="N54" s="122"/>
    </row>
    <row r="55" spans="1:14" ht="32.1" customHeight="1">
      <c r="A55" s="122"/>
      <c r="B55" s="122"/>
      <c r="C55" s="122"/>
      <c r="D55" s="122"/>
      <c r="E55" s="122"/>
      <c r="F55" s="122"/>
      <c r="G55" s="122"/>
      <c r="H55" s="122"/>
      <c r="I55" s="122"/>
      <c r="J55" s="122"/>
      <c r="K55" s="122"/>
      <c r="L55" s="122"/>
      <c r="M55" s="105"/>
      <c r="N55" s="105"/>
    </row>
    <row r="56" spans="1:14" ht="94.5" customHeight="1">
      <c r="A56" s="122"/>
      <c r="B56" s="122"/>
      <c r="C56" s="122"/>
      <c r="D56" s="122"/>
      <c r="E56" s="122"/>
      <c r="F56" s="122"/>
      <c r="G56" s="122"/>
      <c r="H56" s="122"/>
      <c r="I56" s="122"/>
      <c r="J56" s="122"/>
      <c r="K56" s="122"/>
      <c r="L56" s="122"/>
      <c r="M56" s="105"/>
      <c r="N56" s="105"/>
    </row>
    <row r="58" spans="1:14">
      <c r="A58" s="122"/>
      <c r="B58" s="122"/>
      <c r="C58" s="122"/>
      <c r="D58" s="122"/>
      <c r="E58" s="122"/>
      <c r="F58" s="122"/>
      <c r="G58" s="122"/>
      <c r="H58" s="122"/>
      <c r="I58" s="122"/>
      <c r="J58" s="122"/>
      <c r="K58" s="122"/>
      <c r="L58" s="122"/>
      <c r="M58" s="122"/>
      <c r="N58" s="122"/>
    </row>
    <row r="59" spans="1:14" ht="28.5" customHeight="1">
      <c r="A59" s="122"/>
      <c r="B59" s="122"/>
      <c r="C59" s="122"/>
      <c r="D59" s="122"/>
      <c r="E59" s="122"/>
      <c r="F59" s="122"/>
      <c r="G59" s="122"/>
      <c r="H59" s="122"/>
      <c r="I59" s="122"/>
      <c r="J59" s="122"/>
      <c r="K59" s="122"/>
      <c r="L59" s="122"/>
      <c r="M59" s="122"/>
      <c r="N59" s="122"/>
    </row>
    <row r="60" spans="1:14">
      <c r="A60" s="122"/>
      <c r="B60" s="122"/>
      <c r="C60" s="122"/>
      <c r="D60" s="122"/>
      <c r="E60" s="122"/>
      <c r="F60" s="122"/>
      <c r="G60" s="122"/>
      <c r="H60" s="122"/>
      <c r="I60" s="122"/>
      <c r="J60" s="122"/>
      <c r="K60" s="122"/>
      <c r="L60" s="122"/>
      <c r="M60" s="122"/>
      <c r="N60" s="122"/>
    </row>
    <row r="61" spans="1:14">
      <c r="A61" s="122"/>
      <c r="B61" s="122"/>
      <c r="C61" s="122"/>
      <c r="D61" s="122"/>
      <c r="E61" s="122"/>
      <c r="F61" s="122"/>
      <c r="G61" s="122"/>
      <c r="H61" s="122"/>
      <c r="I61" s="122"/>
      <c r="J61" s="122"/>
      <c r="K61" s="122"/>
      <c r="L61" s="122"/>
      <c r="M61" s="122"/>
      <c r="N61" s="122"/>
    </row>
    <row r="62" spans="1:14">
      <c r="A62" s="122"/>
      <c r="B62" s="122"/>
      <c r="C62" s="122"/>
      <c r="D62" s="122"/>
      <c r="E62" s="122"/>
      <c r="F62" s="122"/>
      <c r="G62" s="122"/>
      <c r="H62" s="122"/>
      <c r="I62" s="122"/>
      <c r="J62" s="122"/>
      <c r="K62" s="122"/>
      <c r="L62" s="122"/>
      <c r="M62" s="122"/>
      <c r="N62" s="122"/>
    </row>
    <row r="63" spans="1:14" ht="30.75" customHeight="1">
      <c r="A63" s="122"/>
      <c r="B63" s="122"/>
      <c r="C63" s="122"/>
      <c r="D63" s="122"/>
      <c r="E63" s="122"/>
      <c r="F63" s="122"/>
      <c r="G63" s="122"/>
      <c r="H63" s="122"/>
      <c r="I63" s="122"/>
      <c r="J63" s="122"/>
      <c r="K63" s="122"/>
      <c r="L63" s="122"/>
      <c r="M63" s="122"/>
      <c r="N63" s="122"/>
    </row>
    <row r="64" spans="1:14" ht="30.75" customHeight="1">
      <c r="A64" s="122"/>
      <c r="B64" s="122"/>
      <c r="C64" s="122"/>
      <c r="D64" s="122"/>
      <c r="E64" s="122"/>
      <c r="F64" s="122"/>
      <c r="G64" s="122"/>
      <c r="H64" s="122"/>
      <c r="I64" s="122"/>
      <c r="J64" s="122"/>
      <c r="K64" s="122"/>
      <c r="L64" s="122"/>
      <c r="M64" s="122"/>
      <c r="N64" s="122"/>
    </row>
    <row r="65" spans="1:14" ht="27.75" customHeight="1">
      <c r="A65" s="122"/>
      <c r="B65" s="122"/>
      <c r="C65" s="122"/>
      <c r="D65" s="122"/>
      <c r="E65" s="122"/>
      <c r="F65" s="122"/>
      <c r="G65" s="122"/>
      <c r="H65" s="122"/>
      <c r="I65" s="122"/>
      <c r="J65" s="122"/>
      <c r="K65" s="122"/>
      <c r="L65" s="122"/>
      <c r="M65" s="122"/>
      <c r="N65" s="122"/>
    </row>
    <row r="66" spans="1:14" ht="32.1" customHeight="1">
      <c r="A66" s="122"/>
      <c r="B66" s="122"/>
      <c r="C66" s="122"/>
      <c r="D66" s="122"/>
      <c r="E66" s="122"/>
      <c r="F66" s="122"/>
      <c r="G66" s="122"/>
      <c r="H66" s="122"/>
      <c r="I66" s="122"/>
      <c r="J66" s="122"/>
      <c r="K66" s="122"/>
      <c r="L66" s="122"/>
      <c r="M66" s="105"/>
      <c r="N66" s="105"/>
    </row>
    <row r="67" spans="1:14" ht="80.25" customHeight="1">
      <c r="A67" s="122"/>
      <c r="B67" s="122"/>
      <c r="C67" s="122"/>
      <c r="D67" s="122"/>
      <c r="E67" s="122"/>
      <c r="F67" s="122"/>
      <c r="G67" s="122"/>
      <c r="H67" s="122"/>
      <c r="I67" s="122"/>
      <c r="J67" s="122"/>
      <c r="K67" s="122"/>
      <c r="L67" s="122"/>
      <c r="M67" s="105"/>
      <c r="N67" s="105"/>
    </row>
    <row r="69" spans="1:14">
      <c r="A69" s="122"/>
      <c r="B69" s="122"/>
      <c r="C69" s="122"/>
      <c r="D69" s="122"/>
      <c r="E69" s="122"/>
      <c r="F69" s="122"/>
      <c r="G69" s="122"/>
      <c r="H69" s="122"/>
      <c r="I69" s="122"/>
      <c r="J69" s="122"/>
      <c r="K69" s="122"/>
      <c r="L69" s="122"/>
      <c r="M69" s="122"/>
      <c r="N69" s="122"/>
    </row>
    <row r="70" spans="1:14">
      <c r="A70" s="122"/>
      <c r="B70" s="122"/>
      <c r="C70" s="122"/>
      <c r="D70" s="122"/>
      <c r="E70" s="122"/>
      <c r="F70" s="122"/>
      <c r="G70" s="122"/>
      <c r="H70" s="122"/>
      <c r="I70" s="122"/>
      <c r="J70" s="122"/>
      <c r="K70" s="122"/>
      <c r="L70" s="122"/>
      <c r="M70" s="122"/>
      <c r="N70" s="122"/>
    </row>
    <row r="71" spans="1:14">
      <c r="A71" s="122"/>
      <c r="B71" s="122"/>
      <c r="C71" s="122"/>
      <c r="D71" s="122"/>
      <c r="E71" s="122"/>
      <c r="F71" s="122"/>
      <c r="G71" s="122"/>
      <c r="H71" s="122"/>
      <c r="I71" s="122"/>
      <c r="J71" s="122"/>
      <c r="K71" s="122"/>
      <c r="L71" s="122"/>
      <c r="M71" s="122"/>
      <c r="N71" s="122"/>
    </row>
    <row r="72" spans="1:14">
      <c r="A72" s="122"/>
      <c r="B72" s="122"/>
      <c r="C72" s="122"/>
      <c r="D72" s="122"/>
      <c r="E72" s="122"/>
      <c r="F72" s="122"/>
      <c r="G72" s="122"/>
      <c r="H72" s="122"/>
      <c r="I72" s="122"/>
      <c r="J72" s="122"/>
      <c r="K72" s="122"/>
      <c r="L72" s="122"/>
      <c r="M72" s="122"/>
      <c r="N72" s="122"/>
    </row>
    <row r="73" spans="1:14">
      <c r="A73" s="122"/>
      <c r="B73" s="122"/>
      <c r="C73" s="122"/>
      <c r="D73" s="122"/>
      <c r="E73" s="122"/>
      <c r="F73" s="122"/>
      <c r="G73" s="122"/>
      <c r="H73" s="122"/>
      <c r="I73" s="122"/>
      <c r="J73" s="122"/>
      <c r="K73" s="122"/>
      <c r="L73" s="122"/>
      <c r="M73" s="122"/>
      <c r="N73" s="122"/>
    </row>
    <row r="74" spans="1:14" ht="33" customHeight="1">
      <c r="A74" s="122"/>
      <c r="B74" s="122"/>
      <c r="C74" s="122"/>
      <c r="D74" s="122"/>
      <c r="E74" s="122"/>
      <c r="F74" s="122"/>
      <c r="G74" s="122"/>
      <c r="H74" s="122"/>
      <c r="I74" s="122"/>
      <c r="J74" s="122"/>
      <c r="K74" s="122"/>
      <c r="L74" s="122"/>
      <c r="M74" s="122"/>
      <c r="N74" s="122"/>
    </row>
    <row r="75" spans="1:14" ht="30.75" customHeight="1">
      <c r="A75" s="122"/>
      <c r="B75" s="122"/>
      <c r="C75" s="122"/>
      <c r="D75" s="122"/>
      <c r="E75" s="122"/>
      <c r="F75" s="122"/>
      <c r="G75" s="122"/>
      <c r="H75" s="122"/>
      <c r="I75" s="122"/>
      <c r="J75" s="122"/>
      <c r="K75" s="122"/>
      <c r="L75" s="122"/>
      <c r="M75" s="122"/>
      <c r="N75" s="122"/>
    </row>
    <row r="76" spans="1:14" ht="32.25" customHeight="1">
      <c r="A76" s="122"/>
      <c r="B76" s="122"/>
      <c r="C76" s="122"/>
      <c r="D76" s="122"/>
      <c r="E76" s="122"/>
      <c r="F76" s="122"/>
      <c r="G76" s="122"/>
      <c r="H76" s="122"/>
      <c r="I76" s="122"/>
      <c r="J76" s="122"/>
      <c r="K76" s="122"/>
      <c r="L76" s="122"/>
      <c r="M76" s="122"/>
      <c r="N76" s="122"/>
    </row>
    <row r="77" spans="1:14" ht="32.1" customHeight="1">
      <c r="A77" s="122"/>
      <c r="B77" s="122"/>
      <c r="C77" s="122"/>
      <c r="D77" s="122"/>
      <c r="E77" s="122"/>
      <c r="F77" s="122"/>
      <c r="G77" s="122"/>
      <c r="H77" s="122"/>
      <c r="I77" s="122"/>
      <c r="J77" s="122"/>
      <c r="K77" s="122"/>
      <c r="L77" s="122"/>
      <c r="M77" s="105"/>
      <c r="N77" s="105"/>
    </row>
    <row r="78" spans="1:14" ht="90.75" customHeight="1">
      <c r="A78" s="122"/>
      <c r="B78" s="122"/>
      <c r="C78" s="122"/>
      <c r="D78" s="122"/>
      <c r="E78" s="122"/>
      <c r="F78" s="122"/>
      <c r="G78" s="122"/>
      <c r="H78" s="122"/>
      <c r="I78" s="122"/>
      <c r="J78" s="122"/>
      <c r="K78" s="122"/>
      <c r="L78" s="122"/>
      <c r="M78" s="105"/>
      <c r="N78" s="105"/>
    </row>
    <row r="80" spans="1:14">
      <c r="A80" s="122"/>
      <c r="B80" s="122"/>
      <c r="C80" s="122"/>
      <c r="D80" s="122"/>
      <c r="E80" s="122"/>
      <c r="F80" s="122"/>
      <c r="G80" s="122"/>
      <c r="H80" s="122"/>
      <c r="I80" s="122"/>
      <c r="J80" s="122"/>
      <c r="K80" s="122"/>
      <c r="L80" s="122"/>
      <c r="M80" s="122"/>
      <c r="N80" s="122"/>
    </row>
    <row r="81" spans="1:14">
      <c r="A81" s="122"/>
      <c r="B81" s="122"/>
      <c r="C81" s="122"/>
      <c r="D81" s="122"/>
      <c r="E81" s="122"/>
      <c r="F81" s="122"/>
      <c r="G81" s="122"/>
      <c r="H81" s="122"/>
      <c r="I81" s="122"/>
      <c r="J81" s="122"/>
      <c r="K81" s="122"/>
      <c r="L81" s="122"/>
      <c r="M81" s="122"/>
      <c r="N81" s="122"/>
    </row>
    <row r="82" spans="1:14">
      <c r="A82" s="122"/>
      <c r="B82" s="122"/>
      <c r="C82" s="122"/>
      <c r="D82" s="122"/>
      <c r="E82" s="122"/>
      <c r="F82" s="122"/>
      <c r="G82" s="122"/>
      <c r="H82" s="122"/>
      <c r="I82" s="122"/>
      <c r="J82" s="122"/>
      <c r="K82" s="122"/>
      <c r="L82" s="122"/>
      <c r="M82" s="122"/>
      <c r="N82" s="122"/>
    </row>
    <row r="83" spans="1:14">
      <c r="A83" s="122"/>
      <c r="B83" s="122"/>
      <c r="C83" s="122"/>
      <c r="D83" s="122"/>
      <c r="E83" s="122"/>
      <c r="F83" s="122"/>
      <c r="G83" s="122"/>
      <c r="H83" s="122"/>
      <c r="I83" s="122"/>
      <c r="J83" s="122"/>
      <c r="K83" s="122"/>
      <c r="L83" s="122"/>
      <c r="M83" s="122"/>
      <c r="N83" s="122"/>
    </row>
    <row r="84" spans="1:14">
      <c r="A84" s="122"/>
      <c r="B84" s="122"/>
      <c r="C84" s="122"/>
      <c r="D84" s="122"/>
      <c r="E84" s="122"/>
      <c r="F84" s="122"/>
      <c r="G84" s="122"/>
      <c r="H84" s="122"/>
      <c r="I84" s="122"/>
      <c r="J84" s="122"/>
      <c r="K84" s="122"/>
      <c r="L84" s="122"/>
      <c r="M84" s="122"/>
      <c r="N84" s="122"/>
    </row>
    <row r="85" spans="1:14" ht="31.5" customHeight="1">
      <c r="A85" s="122"/>
      <c r="B85" s="122"/>
      <c r="C85" s="122"/>
      <c r="D85" s="122"/>
      <c r="E85" s="122"/>
      <c r="F85" s="122"/>
      <c r="G85" s="122"/>
      <c r="H85" s="122"/>
      <c r="I85" s="122"/>
      <c r="J85" s="122"/>
      <c r="K85" s="122"/>
      <c r="L85" s="122"/>
      <c r="M85" s="122"/>
      <c r="N85" s="122"/>
    </row>
    <row r="86" spans="1:14" ht="30" customHeight="1">
      <c r="A86" s="122"/>
      <c r="B86" s="122"/>
      <c r="C86" s="122"/>
      <c r="D86" s="122"/>
      <c r="E86" s="122"/>
      <c r="F86" s="122"/>
      <c r="G86" s="122"/>
      <c r="H86" s="122"/>
      <c r="I86" s="122"/>
      <c r="J86" s="122"/>
      <c r="K86" s="122"/>
      <c r="L86" s="122"/>
      <c r="M86" s="122"/>
      <c r="N86" s="122"/>
    </row>
    <row r="87" spans="1:14" ht="33" customHeight="1">
      <c r="A87" s="122"/>
      <c r="B87" s="122"/>
      <c r="C87" s="122"/>
      <c r="D87" s="122"/>
      <c r="E87" s="122"/>
      <c r="F87" s="122"/>
      <c r="G87" s="122"/>
      <c r="H87" s="122"/>
      <c r="I87" s="122"/>
      <c r="J87" s="122"/>
      <c r="K87" s="122"/>
      <c r="L87" s="122"/>
      <c r="M87" s="122"/>
      <c r="N87" s="122"/>
    </row>
    <row r="88" spans="1:14" ht="32.1" customHeight="1">
      <c r="A88" s="122"/>
      <c r="B88" s="122"/>
      <c r="C88" s="122"/>
      <c r="D88" s="122"/>
      <c r="E88" s="122"/>
      <c r="F88" s="122"/>
      <c r="G88" s="122"/>
      <c r="H88" s="122"/>
      <c r="I88" s="122"/>
      <c r="J88" s="122"/>
      <c r="K88" s="122"/>
      <c r="L88" s="122"/>
      <c r="M88" s="105"/>
      <c r="N88" s="105"/>
    </row>
    <row r="89" spans="1:14" ht="76.5" customHeight="1">
      <c r="A89" s="122"/>
      <c r="B89" s="122"/>
      <c r="C89" s="122"/>
      <c r="D89" s="122"/>
      <c r="E89" s="122"/>
      <c r="F89" s="122"/>
      <c r="G89" s="122"/>
      <c r="H89" s="122"/>
      <c r="I89" s="122"/>
      <c r="J89" s="122"/>
      <c r="K89" s="122"/>
      <c r="L89" s="122"/>
      <c r="M89" s="105"/>
      <c r="N89" s="105"/>
    </row>
    <row r="91" spans="1:14">
      <c r="A91" s="122"/>
      <c r="B91" s="122"/>
      <c r="C91" s="122"/>
      <c r="D91" s="122"/>
      <c r="E91" s="122"/>
      <c r="F91" s="122"/>
      <c r="G91" s="122"/>
      <c r="H91" s="122"/>
      <c r="I91" s="122"/>
      <c r="J91" s="122"/>
      <c r="K91" s="122"/>
      <c r="L91" s="122"/>
      <c r="M91" s="122"/>
      <c r="N91" s="122"/>
    </row>
    <row r="92" spans="1:14">
      <c r="A92" s="122"/>
      <c r="B92" s="122"/>
      <c r="C92" s="122"/>
      <c r="D92" s="122"/>
      <c r="E92" s="122"/>
      <c r="F92" s="122"/>
      <c r="G92" s="122"/>
      <c r="H92" s="122"/>
      <c r="I92" s="122"/>
      <c r="J92" s="122"/>
      <c r="K92" s="122"/>
      <c r="L92" s="122"/>
      <c r="M92" s="122"/>
      <c r="N92" s="122"/>
    </row>
    <row r="93" spans="1:14">
      <c r="A93" s="122"/>
      <c r="B93" s="122"/>
      <c r="C93" s="122"/>
      <c r="D93" s="122"/>
      <c r="E93" s="122"/>
      <c r="F93" s="122"/>
      <c r="G93" s="122"/>
      <c r="H93" s="122"/>
      <c r="I93" s="122"/>
      <c r="J93" s="122"/>
      <c r="K93" s="122"/>
      <c r="L93" s="122"/>
      <c r="M93" s="122"/>
      <c r="N93" s="122"/>
    </row>
    <row r="94" spans="1:14">
      <c r="A94" s="122"/>
      <c r="B94" s="122"/>
      <c r="C94" s="122"/>
      <c r="D94" s="122"/>
      <c r="E94" s="122"/>
      <c r="F94" s="122"/>
      <c r="G94" s="122"/>
      <c r="H94" s="122"/>
      <c r="I94" s="122"/>
      <c r="J94" s="122"/>
      <c r="K94" s="122"/>
      <c r="L94" s="122"/>
      <c r="M94" s="122"/>
      <c r="N94" s="122"/>
    </row>
    <row r="95" spans="1:14">
      <c r="A95" s="122"/>
      <c r="B95" s="122"/>
      <c r="C95" s="122"/>
      <c r="D95" s="122"/>
      <c r="E95" s="122"/>
      <c r="F95" s="122"/>
      <c r="G95" s="122"/>
      <c r="H95" s="122"/>
      <c r="I95" s="122"/>
      <c r="J95" s="122"/>
      <c r="K95" s="122"/>
      <c r="L95" s="122"/>
      <c r="M95" s="122"/>
      <c r="N95" s="122"/>
    </row>
    <row r="96" spans="1:14" ht="34.5" customHeight="1">
      <c r="A96" s="122"/>
      <c r="B96" s="122"/>
      <c r="C96" s="122"/>
      <c r="D96" s="122"/>
      <c r="E96" s="122"/>
      <c r="F96" s="122"/>
      <c r="G96" s="122"/>
      <c r="H96" s="122"/>
      <c r="I96" s="122"/>
      <c r="J96" s="122"/>
      <c r="K96" s="122"/>
      <c r="L96" s="122"/>
      <c r="M96" s="122"/>
      <c r="N96" s="122"/>
    </row>
    <row r="97" spans="1:14" ht="31.5" customHeight="1">
      <c r="A97" s="122"/>
      <c r="B97" s="122"/>
      <c r="C97" s="122"/>
      <c r="D97" s="122"/>
      <c r="E97" s="122"/>
      <c r="F97" s="122"/>
      <c r="G97" s="122"/>
      <c r="H97" s="122"/>
      <c r="I97" s="122"/>
      <c r="J97" s="122"/>
      <c r="K97" s="122"/>
      <c r="L97" s="122"/>
      <c r="M97" s="122"/>
      <c r="N97" s="122"/>
    </row>
    <row r="98" spans="1:14" ht="32.25" customHeight="1">
      <c r="A98" s="122"/>
      <c r="B98" s="122"/>
      <c r="C98" s="122"/>
      <c r="D98" s="122"/>
      <c r="E98" s="122"/>
      <c r="F98" s="122"/>
      <c r="G98" s="122"/>
      <c r="H98" s="122"/>
      <c r="I98" s="122"/>
      <c r="J98" s="122"/>
      <c r="K98" s="122"/>
      <c r="L98" s="122"/>
      <c r="M98" s="122"/>
      <c r="N98" s="122"/>
    </row>
    <row r="99" spans="1:14" ht="32.1" customHeight="1">
      <c r="A99" s="122"/>
      <c r="B99" s="122"/>
      <c r="C99" s="122"/>
      <c r="D99" s="122"/>
      <c r="E99" s="122"/>
      <c r="F99" s="122"/>
      <c r="G99" s="122"/>
      <c r="H99" s="122"/>
      <c r="I99" s="122"/>
      <c r="J99" s="122"/>
      <c r="K99" s="122"/>
      <c r="L99" s="122"/>
      <c r="M99" s="105"/>
      <c r="N99" s="105"/>
    </row>
    <row r="100" spans="1:14" ht="132" customHeight="1">
      <c r="A100" s="122"/>
      <c r="B100" s="122"/>
      <c r="C100" s="122"/>
      <c r="D100" s="122"/>
      <c r="E100" s="122"/>
      <c r="F100" s="122"/>
      <c r="G100" s="122"/>
      <c r="H100" s="122"/>
      <c r="I100" s="122"/>
      <c r="J100" s="122"/>
      <c r="K100" s="122"/>
      <c r="L100" s="122"/>
      <c r="M100" s="105"/>
      <c r="N100" s="105"/>
    </row>
    <row r="102" spans="1:14">
      <c r="A102" s="122"/>
      <c r="B102" s="122"/>
      <c r="C102" s="122"/>
      <c r="D102" s="122"/>
      <c r="E102" s="122"/>
      <c r="F102" s="122"/>
      <c r="G102" s="122"/>
      <c r="H102" s="122"/>
      <c r="I102" s="122"/>
      <c r="J102" s="122"/>
      <c r="K102" s="122"/>
      <c r="L102" s="122"/>
      <c r="M102" s="122"/>
      <c r="N102" s="122"/>
    </row>
    <row r="103" spans="1:14">
      <c r="A103" s="122"/>
      <c r="B103" s="122"/>
      <c r="C103" s="122"/>
      <c r="D103" s="122"/>
      <c r="E103" s="122"/>
      <c r="F103" s="122"/>
      <c r="G103" s="122"/>
      <c r="H103" s="122"/>
      <c r="I103" s="122"/>
      <c r="J103" s="122"/>
      <c r="K103" s="122"/>
      <c r="L103" s="122"/>
      <c r="M103" s="122"/>
      <c r="N103" s="122"/>
    </row>
    <row r="104" spans="1:14">
      <c r="A104" s="122"/>
      <c r="B104" s="122"/>
      <c r="C104" s="122"/>
      <c r="D104" s="122"/>
      <c r="E104" s="122"/>
      <c r="F104" s="122"/>
      <c r="G104" s="122"/>
      <c r="H104" s="122"/>
      <c r="I104" s="122"/>
      <c r="J104" s="122"/>
      <c r="K104" s="122"/>
      <c r="L104" s="122"/>
      <c r="M104" s="122"/>
      <c r="N104" s="122"/>
    </row>
    <row r="105" spans="1:14">
      <c r="A105" s="122"/>
      <c r="B105" s="122"/>
      <c r="C105" s="122"/>
      <c r="D105" s="122"/>
      <c r="E105" s="122"/>
      <c r="F105" s="122"/>
      <c r="G105" s="122"/>
      <c r="H105" s="122"/>
      <c r="I105" s="122"/>
      <c r="J105" s="122"/>
      <c r="K105" s="122"/>
      <c r="L105" s="122"/>
      <c r="M105" s="122"/>
      <c r="N105" s="122"/>
    </row>
    <row r="106" spans="1:14">
      <c r="A106" s="122"/>
      <c r="B106" s="122"/>
      <c r="C106" s="122"/>
      <c r="D106" s="122"/>
      <c r="E106" s="122"/>
      <c r="F106" s="122"/>
      <c r="G106" s="122"/>
      <c r="H106" s="122"/>
      <c r="I106" s="122"/>
      <c r="J106" s="122"/>
      <c r="K106" s="122"/>
      <c r="L106" s="122"/>
      <c r="M106" s="122"/>
      <c r="N106" s="122"/>
    </row>
    <row r="107" spans="1:14" ht="28.5" customHeight="1">
      <c r="A107" s="122"/>
      <c r="B107" s="122"/>
      <c r="C107" s="122"/>
      <c r="D107" s="122"/>
      <c r="E107" s="122"/>
      <c r="F107" s="122"/>
      <c r="G107" s="122"/>
      <c r="H107" s="122"/>
      <c r="I107" s="122"/>
      <c r="J107" s="122"/>
      <c r="K107" s="122"/>
      <c r="L107" s="122"/>
      <c r="M107" s="122"/>
      <c r="N107" s="122"/>
    </row>
    <row r="108" spans="1:14" ht="49.5" customHeight="1">
      <c r="A108" s="122"/>
      <c r="B108" s="122"/>
      <c r="C108" s="122"/>
      <c r="D108" s="122"/>
      <c r="E108" s="122"/>
      <c r="F108" s="122"/>
      <c r="G108" s="122"/>
      <c r="H108" s="122"/>
      <c r="I108" s="122"/>
      <c r="J108" s="122"/>
      <c r="K108" s="122"/>
      <c r="L108" s="122"/>
      <c r="M108" s="122"/>
      <c r="N108" s="122"/>
    </row>
    <row r="109" spans="1:14" ht="34.5" customHeight="1">
      <c r="A109" s="122"/>
      <c r="B109" s="122"/>
      <c r="C109" s="122"/>
      <c r="D109" s="122"/>
      <c r="E109" s="122"/>
      <c r="F109" s="122"/>
      <c r="G109" s="122"/>
      <c r="H109" s="122"/>
      <c r="I109" s="122"/>
      <c r="J109" s="122"/>
      <c r="K109" s="122"/>
      <c r="L109" s="122"/>
      <c r="M109" s="122"/>
      <c r="N109" s="122"/>
    </row>
    <row r="110" spans="1:14" ht="32.1" customHeight="1">
      <c r="A110" s="122"/>
      <c r="B110" s="122"/>
      <c r="C110" s="122"/>
      <c r="D110" s="122"/>
      <c r="E110" s="122"/>
      <c r="F110" s="122"/>
      <c r="G110" s="122"/>
      <c r="H110" s="122"/>
      <c r="I110" s="122"/>
      <c r="J110" s="122"/>
      <c r="K110" s="122"/>
      <c r="L110" s="122"/>
      <c r="M110" s="105"/>
      <c r="N110" s="105"/>
    </row>
    <row r="111" spans="1:14" ht="76.5" customHeight="1">
      <c r="A111" s="122"/>
      <c r="B111" s="122"/>
      <c r="C111" s="122"/>
      <c r="D111" s="122"/>
      <c r="E111" s="122"/>
      <c r="F111" s="122"/>
      <c r="G111" s="122"/>
      <c r="H111" s="122"/>
      <c r="I111" s="122"/>
      <c r="J111" s="122"/>
      <c r="K111" s="122"/>
      <c r="L111" s="122"/>
      <c r="M111" s="105"/>
      <c r="N111" s="105"/>
    </row>
    <row r="113" spans="1:14">
      <c r="A113" s="122"/>
      <c r="B113" s="122"/>
      <c r="C113" s="122"/>
      <c r="D113" s="122"/>
      <c r="E113" s="122"/>
      <c r="F113" s="122"/>
      <c r="G113" s="122"/>
      <c r="H113" s="122"/>
      <c r="I113" s="122"/>
      <c r="J113" s="122"/>
      <c r="K113" s="122"/>
      <c r="L113" s="122"/>
      <c r="M113" s="122"/>
      <c r="N113" s="122"/>
    </row>
    <row r="114" spans="1:14">
      <c r="A114" s="122"/>
      <c r="B114" s="122"/>
      <c r="C114" s="122"/>
      <c r="D114" s="122"/>
      <c r="E114" s="122"/>
      <c r="F114" s="122"/>
      <c r="G114" s="122"/>
      <c r="H114" s="122"/>
      <c r="I114" s="122"/>
      <c r="J114" s="122"/>
      <c r="K114" s="122"/>
      <c r="L114" s="122"/>
      <c r="M114" s="122"/>
      <c r="N114" s="122"/>
    </row>
    <row r="115" spans="1:14">
      <c r="A115" s="122"/>
      <c r="B115" s="122"/>
      <c r="C115" s="122"/>
      <c r="D115" s="122"/>
      <c r="E115" s="122"/>
      <c r="F115" s="122"/>
      <c r="G115" s="122"/>
      <c r="H115" s="122"/>
      <c r="I115" s="122"/>
      <c r="J115" s="122"/>
      <c r="K115" s="122"/>
      <c r="L115" s="122"/>
      <c r="M115" s="122"/>
      <c r="N115" s="122"/>
    </row>
    <row r="116" spans="1:14">
      <c r="A116" s="122"/>
      <c r="B116" s="122"/>
      <c r="C116" s="122"/>
      <c r="D116" s="122"/>
      <c r="E116" s="122"/>
      <c r="F116" s="122"/>
      <c r="G116" s="122"/>
      <c r="H116" s="122"/>
      <c r="I116" s="122"/>
      <c r="J116" s="122"/>
      <c r="K116" s="122"/>
      <c r="L116" s="122"/>
      <c r="M116" s="122"/>
      <c r="N116" s="122"/>
    </row>
    <row r="117" spans="1:14">
      <c r="A117" s="122"/>
      <c r="B117" s="122"/>
      <c r="C117" s="122"/>
      <c r="D117" s="122"/>
      <c r="E117" s="122"/>
      <c r="F117" s="122"/>
      <c r="G117" s="122"/>
      <c r="H117" s="122"/>
      <c r="I117" s="122"/>
      <c r="J117" s="122"/>
      <c r="K117" s="122"/>
      <c r="L117" s="122"/>
      <c r="M117" s="122"/>
      <c r="N117" s="122"/>
    </row>
    <row r="118" spans="1:14" ht="27.75" customHeight="1">
      <c r="A118" s="122"/>
      <c r="B118" s="122"/>
      <c r="C118" s="122"/>
      <c r="D118" s="122"/>
      <c r="E118" s="122"/>
      <c r="F118" s="122"/>
      <c r="G118" s="122"/>
      <c r="H118" s="122"/>
      <c r="I118" s="122"/>
      <c r="J118" s="122"/>
      <c r="K118" s="122"/>
      <c r="L118" s="122"/>
      <c r="M118" s="122"/>
      <c r="N118" s="122"/>
    </row>
    <row r="119" spans="1:14" ht="36.75" customHeight="1">
      <c r="A119" s="122"/>
      <c r="B119" s="122"/>
      <c r="C119" s="122"/>
      <c r="D119" s="122"/>
      <c r="E119" s="122"/>
      <c r="F119" s="122"/>
      <c r="G119" s="122"/>
      <c r="H119" s="122"/>
      <c r="I119" s="122"/>
      <c r="J119" s="122"/>
      <c r="K119" s="122"/>
      <c r="L119" s="122"/>
      <c r="M119" s="122"/>
      <c r="N119" s="122"/>
    </row>
    <row r="120" spans="1:14">
      <c r="A120" s="122"/>
      <c r="B120" s="122"/>
      <c r="C120" s="122"/>
      <c r="D120" s="122"/>
      <c r="E120" s="122"/>
      <c r="F120" s="122"/>
      <c r="G120" s="122"/>
      <c r="H120" s="122"/>
      <c r="I120" s="122"/>
      <c r="J120" s="122"/>
      <c r="K120" s="122"/>
      <c r="L120" s="122"/>
      <c r="M120" s="122"/>
      <c r="N120" s="122"/>
    </row>
    <row r="121" spans="1:14" ht="32.1" customHeight="1">
      <c r="A121" s="122"/>
      <c r="B121" s="122"/>
      <c r="C121" s="122"/>
      <c r="D121" s="122"/>
      <c r="E121" s="122"/>
      <c r="F121" s="122"/>
      <c r="G121" s="122"/>
      <c r="H121" s="122"/>
      <c r="I121" s="122"/>
      <c r="J121" s="122"/>
      <c r="K121" s="122"/>
      <c r="L121" s="122"/>
      <c r="M121" s="105"/>
      <c r="N121" s="105"/>
    </row>
    <row r="122" spans="1:14" ht="91.5" customHeight="1">
      <c r="A122" s="122"/>
      <c r="B122" s="122"/>
      <c r="C122" s="122"/>
      <c r="D122" s="122"/>
      <c r="E122" s="122"/>
      <c r="F122" s="122"/>
      <c r="G122" s="122"/>
      <c r="H122" s="122"/>
      <c r="I122" s="122"/>
      <c r="J122" s="122"/>
      <c r="K122" s="122"/>
      <c r="L122" s="122"/>
      <c r="M122" s="105"/>
      <c r="N122" s="105"/>
    </row>
    <row r="124" spans="1:14">
      <c r="A124" s="122"/>
      <c r="B124" s="122"/>
      <c r="C124" s="122"/>
      <c r="D124" s="122"/>
      <c r="E124" s="122"/>
      <c r="F124" s="122"/>
      <c r="G124" s="122"/>
      <c r="H124" s="122"/>
      <c r="I124" s="122"/>
      <c r="J124" s="122"/>
      <c r="K124" s="122"/>
      <c r="L124" s="122"/>
      <c r="M124" s="122"/>
      <c r="N124" s="122"/>
    </row>
    <row r="125" spans="1:14">
      <c r="A125" s="122"/>
      <c r="B125" s="122"/>
      <c r="C125" s="122"/>
      <c r="D125" s="122"/>
      <c r="E125" s="122"/>
      <c r="F125" s="122"/>
      <c r="G125" s="122"/>
      <c r="H125" s="122"/>
      <c r="I125" s="122"/>
      <c r="J125" s="122"/>
      <c r="K125" s="122"/>
      <c r="L125" s="122"/>
      <c r="M125" s="122"/>
      <c r="N125" s="122"/>
    </row>
    <row r="126" spans="1:14">
      <c r="A126" s="122"/>
      <c r="B126" s="122"/>
      <c r="C126" s="122"/>
      <c r="D126" s="122"/>
      <c r="E126" s="122"/>
      <c r="F126" s="122"/>
      <c r="G126" s="122"/>
      <c r="H126" s="122"/>
      <c r="I126" s="122"/>
      <c r="J126" s="122"/>
      <c r="K126" s="122"/>
      <c r="L126" s="122"/>
      <c r="M126" s="122"/>
      <c r="N126" s="122"/>
    </row>
    <row r="127" spans="1:14">
      <c r="A127" s="122"/>
      <c r="B127" s="122"/>
      <c r="C127" s="122"/>
      <c r="D127" s="122"/>
      <c r="E127" s="122"/>
      <c r="F127" s="122"/>
      <c r="G127" s="122"/>
      <c r="H127" s="122"/>
      <c r="I127" s="122"/>
      <c r="J127" s="122"/>
      <c r="K127" s="122"/>
      <c r="L127" s="122"/>
      <c r="M127" s="122"/>
      <c r="N127" s="122"/>
    </row>
    <row r="128" spans="1:14">
      <c r="A128" s="122"/>
      <c r="B128" s="122"/>
      <c r="C128" s="122"/>
      <c r="D128" s="122"/>
      <c r="E128" s="122"/>
      <c r="F128" s="122"/>
      <c r="G128" s="122"/>
      <c r="H128" s="122"/>
      <c r="I128" s="122"/>
      <c r="J128" s="122"/>
      <c r="K128" s="122"/>
      <c r="L128" s="122"/>
      <c r="M128" s="122"/>
      <c r="N128" s="122"/>
    </row>
    <row r="129" spans="1:14" ht="39.75" customHeight="1">
      <c r="A129" s="122"/>
      <c r="B129" s="122"/>
      <c r="C129" s="122"/>
      <c r="D129" s="122"/>
      <c r="E129" s="122"/>
      <c r="F129" s="122"/>
      <c r="G129" s="122"/>
      <c r="H129" s="122"/>
      <c r="I129" s="122"/>
      <c r="J129" s="122"/>
      <c r="K129" s="122"/>
      <c r="L129" s="122"/>
      <c r="M129" s="122"/>
      <c r="N129" s="122"/>
    </row>
    <row r="130" spans="1:14" ht="35.25" customHeight="1">
      <c r="A130" s="122"/>
      <c r="B130" s="122"/>
      <c r="C130" s="122"/>
      <c r="D130" s="122"/>
      <c r="E130" s="122"/>
      <c r="F130" s="122"/>
      <c r="G130" s="122"/>
      <c r="H130" s="122"/>
      <c r="I130" s="122"/>
      <c r="J130" s="122"/>
      <c r="K130" s="122"/>
      <c r="L130" s="122"/>
      <c r="M130" s="122"/>
      <c r="N130" s="122"/>
    </row>
    <row r="131" spans="1:14" ht="39.75" customHeight="1">
      <c r="A131" s="122"/>
      <c r="B131" s="122"/>
      <c r="C131" s="122"/>
      <c r="D131" s="122"/>
      <c r="E131" s="122"/>
      <c r="F131" s="122"/>
      <c r="G131" s="122"/>
      <c r="H131" s="122"/>
      <c r="I131" s="122"/>
      <c r="J131" s="122"/>
      <c r="K131" s="122"/>
      <c r="L131" s="122"/>
      <c r="M131" s="122"/>
      <c r="N131" s="122"/>
    </row>
    <row r="132" spans="1:14" ht="32.1" customHeight="1">
      <c r="A132" s="122"/>
      <c r="B132" s="122"/>
      <c r="C132" s="122"/>
      <c r="D132" s="122"/>
      <c r="E132" s="122"/>
      <c r="F132" s="122"/>
      <c r="G132" s="122"/>
      <c r="H132" s="122"/>
      <c r="I132" s="122"/>
      <c r="J132" s="122"/>
      <c r="K132" s="122"/>
      <c r="L132" s="122"/>
      <c r="M132" s="105"/>
      <c r="N132" s="105"/>
    </row>
    <row r="133" spans="1:14" ht="120.75" customHeight="1">
      <c r="A133" s="122"/>
      <c r="B133" s="122"/>
      <c r="C133" s="122"/>
      <c r="D133" s="122"/>
      <c r="E133" s="122"/>
      <c r="F133" s="122"/>
      <c r="G133" s="122"/>
      <c r="H133" s="122"/>
      <c r="I133" s="122"/>
      <c r="J133" s="122"/>
      <c r="K133" s="122"/>
      <c r="L133" s="122"/>
      <c r="M133" s="105"/>
      <c r="N133" s="105"/>
    </row>
    <row r="135" spans="1:14">
      <c r="A135" s="122"/>
      <c r="B135" s="122"/>
      <c r="C135" s="122"/>
      <c r="D135" s="122"/>
      <c r="E135" s="122"/>
      <c r="F135" s="122"/>
      <c r="G135" s="122"/>
      <c r="H135" s="122"/>
      <c r="I135" s="122"/>
      <c r="J135" s="122"/>
      <c r="K135" s="122"/>
      <c r="L135" s="122"/>
      <c r="M135" s="122"/>
      <c r="N135" s="122"/>
    </row>
    <row r="136" spans="1:14">
      <c r="A136" s="122"/>
      <c r="B136" s="122"/>
      <c r="C136" s="122"/>
      <c r="D136" s="122"/>
      <c r="E136" s="122"/>
      <c r="F136" s="122"/>
      <c r="G136" s="122"/>
      <c r="H136" s="122"/>
      <c r="I136" s="122"/>
      <c r="J136" s="122"/>
      <c r="K136" s="122"/>
      <c r="L136" s="122"/>
      <c r="M136" s="122"/>
      <c r="N136" s="122"/>
    </row>
    <row r="137" spans="1:14">
      <c r="A137" s="122"/>
      <c r="B137" s="122"/>
      <c r="C137" s="122"/>
      <c r="D137" s="122"/>
      <c r="E137" s="122"/>
      <c r="F137" s="122"/>
      <c r="G137" s="122"/>
      <c r="H137" s="122"/>
      <c r="I137" s="122"/>
      <c r="J137" s="122"/>
      <c r="K137" s="122"/>
      <c r="L137" s="122"/>
      <c r="M137" s="122"/>
      <c r="N137" s="122"/>
    </row>
    <row r="138" spans="1:14">
      <c r="A138" s="122"/>
      <c r="B138" s="122"/>
      <c r="C138" s="122"/>
      <c r="D138" s="122"/>
      <c r="E138" s="122"/>
      <c r="F138" s="122"/>
      <c r="G138" s="122"/>
      <c r="H138" s="122"/>
      <c r="I138" s="122"/>
      <c r="J138" s="122"/>
      <c r="K138" s="122"/>
      <c r="L138" s="122"/>
      <c r="M138" s="122"/>
      <c r="N138" s="122"/>
    </row>
    <row r="139" spans="1:14">
      <c r="A139" s="122"/>
      <c r="B139" s="122"/>
      <c r="C139" s="122"/>
      <c r="D139" s="122"/>
      <c r="E139" s="122"/>
      <c r="F139" s="122"/>
      <c r="G139" s="122"/>
      <c r="H139" s="122"/>
      <c r="I139" s="122"/>
      <c r="J139" s="122"/>
      <c r="K139" s="122"/>
      <c r="L139" s="122"/>
      <c r="M139" s="122"/>
      <c r="N139" s="122"/>
    </row>
    <row r="140" spans="1:14" ht="38.25" customHeight="1">
      <c r="A140" s="122"/>
      <c r="B140" s="122"/>
      <c r="C140" s="122"/>
      <c r="D140" s="122"/>
      <c r="E140" s="122"/>
      <c r="F140" s="122"/>
      <c r="G140" s="122"/>
      <c r="H140" s="122"/>
      <c r="I140" s="122"/>
      <c r="J140" s="122"/>
      <c r="K140" s="122"/>
      <c r="L140" s="122"/>
      <c r="M140" s="122"/>
      <c r="N140" s="122"/>
    </row>
    <row r="141" spans="1:14" ht="50.25" customHeight="1">
      <c r="A141" s="122"/>
      <c r="B141" s="122"/>
      <c r="C141" s="122"/>
      <c r="D141" s="122"/>
      <c r="E141" s="122"/>
      <c r="F141" s="122"/>
      <c r="G141" s="122"/>
      <c r="H141" s="122"/>
      <c r="I141" s="122"/>
      <c r="J141" s="122"/>
      <c r="K141" s="122"/>
      <c r="L141" s="122"/>
      <c r="M141" s="122"/>
      <c r="N141" s="122"/>
    </row>
    <row r="142" spans="1:14" ht="48" customHeight="1">
      <c r="A142" s="122"/>
      <c r="B142" s="122"/>
      <c r="C142" s="122"/>
      <c r="D142" s="122"/>
      <c r="E142" s="122"/>
      <c r="F142" s="122"/>
      <c r="G142" s="122"/>
      <c r="H142" s="122"/>
      <c r="I142" s="122"/>
      <c r="J142" s="122"/>
      <c r="K142" s="122"/>
      <c r="L142" s="122"/>
      <c r="M142" s="122"/>
      <c r="N142" s="122"/>
    </row>
    <row r="143" spans="1:14" ht="32.1" customHeight="1">
      <c r="A143" s="122"/>
      <c r="B143" s="122"/>
      <c r="C143" s="122"/>
      <c r="D143" s="122"/>
      <c r="E143" s="122"/>
      <c r="F143" s="122"/>
      <c r="G143" s="122"/>
      <c r="H143" s="122"/>
      <c r="I143" s="122"/>
      <c r="J143" s="122"/>
      <c r="K143" s="122"/>
      <c r="L143" s="122"/>
      <c r="M143" s="105"/>
      <c r="N143" s="105"/>
    </row>
    <row r="144" spans="1:14" ht="93" customHeight="1">
      <c r="A144" s="122"/>
      <c r="B144" s="122"/>
      <c r="C144" s="122"/>
      <c r="D144" s="122"/>
      <c r="E144" s="122"/>
      <c r="F144" s="122"/>
      <c r="G144" s="122"/>
      <c r="H144" s="122"/>
      <c r="I144" s="122"/>
      <c r="J144" s="122"/>
      <c r="K144" s="122"/>
      <c r="L144" s="122"/>
      <c r="M144" s="105"/>
      <c r="N144" s="105"/>
    </row>
    <row r="146" spans="1:14">
      <c r="A146" s="122"/>
      <c r="B146" s="122"/>
      <c r="C146" s="122"/>
      <c r="D146" s="122"/>
      <c r="E146" s="122"/>
      <c r="F146" s="122"/>
      <c r="G146" s="122"/>
      <c r="H146" s="122"/>
      <c r="I146" s="122"/>
      <c r="J146" s="122"/>
      <c r="K146" s="122"/>
      <c r="L146" s="122"/>
      <c r="M146" s="122"/>
      <c r="N146" s="122"/>
    </row>
    <row r="147" spans="1:14">
      <c r="A147" s="122"/>
      <c r="B147" s="122"/>
      <c r="C147" s="122"/>
      <c r="D147" s="122"/>
      <c r="E147" s="122"/>
      <c r="F147" s="122"/>
      <c r="G147" s="122"/>
      <c r="H147" s="122"/>
      <c r="I147" s="122"/>
      <c r="J147" s="122"/>
      <c r="K147" s="122"/>
      <c r="L147" s="122"/>
      <c r="M147" s="122"/>
      <c r="N147" s="122"/>
    </row>
    <row r="148" spans="1:14">
      <c r="A148" s="122"/>
      <c r="B148" s="122"/>
      <c r="C148" s="122"/>
      <c r="D148" s="122"/>
      <c r="E148" s="122"/>
      <c r="F148" s="122"/>
      <c r="G148" s="122"/>
      <c r="H148" s="122"/>
      <c r="I148" s="122"/>
      <c r="J148" s="122"/>
      <c r="K148" s="122"/>
      <c r="L148" s="122"/>
      <c r="M148" s="122"/>
      <c r="N148" s="122"/>
    </row>
    <row r="149" spans="1:14">
      <c r="A149" s="122"/>
      <c r="B149" s="122"/>
      <c r="C149" s="122"/>
      <c r="D149" s="122"/>
      <c r="E149" s="122"/>
      <c r="F149" s="122"/>
      <c r="G149" s="122"/>
      <c r="H149" s="122"/>
      <c r="I149" s="122"/>
      <c r="J149" s="122"/>
      <c r="K149" s="122"/>
      <c r="L149" s="122"/>
      <c r="M149" s="122"/>
      <c r="N149" s="122"/>
    </row>
    <row r="150" spans="1:14">
      <c r="A150" s="122"/>
      <c r="B150" s="122"/>
      <c r="C150" s="122"/>
      <c r="D150" s="122"/>
      <c r="E150" s="122"/>
      <c r="F150" s="122"/>
      <c r="G150" s="122"/>
      <c r="H150" s="122"/>
      <c r="I150" s="122"/>
      <c r="J150" s="122"/>
      <c r="K150" s="122"/>
      <c r="L150" s="122"/>
      <c r="M150" s="122"/>
      <c r="N150" s="122"/>
    </row>
    <row r="151" spans="1:14" ht="30" customHeight="1">
      <c r="A151" s="122"/>
      <c r="B151" s="122"/>
      <c r="C151" s="122"/>
      <c r="D151" s="122"/>
      <c r="E151" s="122"/>
      <c r="F151" s="122"/>
      <c r="G151" s="122"/>
      <c r="H151" s="122"/>
      <c r="I151" s="122"/>
      <c r="J151" s="122"/>
      <c r="K151" s="122"/>
      <c r="L151" s="122"/>
      <c r="M151" s="122"/>
      <c r="N151" s="122"/>
    </row>
    <row r="152" spans="1:14" ht="34.5" customHeight="1">
      <c r="A152" s="122"/>
      <c r="B152" s="122"/>
      <c r="C152" s="122"/>
      <c r="D152" s="122"/>
      <c r="E152" s="122"/>
      <c r="F152" s="122"/>
      <c r="G152" s="122"/>
      <c r="H152" s="122"/>
      <c r="I152" s="122"/>
      <c r="J152" s="122"/>
      <c r="K152" s="122"/>
      <c r="L152" s="122"/>
      <c r="M152" s="122"/>
      <c r="N152" s="122"/>
    </row>
    <row r="153" spans="1:14" ht="53.25" customHeight="1">
      <c r="A153" s="122"/>
      <c r="B153" s="122"/>
      <c r="C153" s="122"/>
      <c r="D153" s="122"/>
      <c r="E153" s="122"/>
      <c r="F153" s="122"/>
      <c r="G153" s="122"/>
      <c r="H153" s="122"/>
      <c r="I153" s="122"/>
      <c r="J153" s="122"/>
      <c r="K153" s="122"/>
      <c r="L153" s="122"/>
      <c r="M153" s="122"/>
      <c r="N153" s="122"/>
    </row>
    <row r="154" spans="1:14" ht="32.1" customHeight="1">
      <c r="A154" s="122"/>
      <c r="B154" s="122"/>
      <c r="C154" s="122"/>
      <c r="D154" s="122"/>
      <c r="E154" s="122"/>
      <c r="F154" s="122"/>
      <c r="G154" s="122"/>
      <c r="H154" s="122"/>
      <c r="I154" s="122"/>
      <c r="J154" s="122"/>
      <c r="K154" s="122"/>
      <c r="L154" s="122"/>
      <c r="M154" s="105"/>
      <c r="N154" s="105"/>
    </row>
    <row r="155" spans="1:14" ht="105.75" customHeight="1">
      <c r="A155" s="122"/>
      <c r="B155" s="122"/>
      <c r="C155" s="122"/>
      <c r="D155" s="122"/>
      <c r="E155" s="122"/>
      <c r="F155" s="122"/>
      <c r="G155" s="122"/>
      <c r="H155" s="122"/>
      <c r="I155" s="122"/>
      <c r="J155" s="122"/>
      <c r="K155" s="122"/>
      <c r="L155" s="122"/>
      <c r="M155" s="105"/>
      <c r="N155" s="105"/>
    </row>
    <row r="157" spans="1:14">
      <c r="A157" s="122"/>
      <c r="B157" s="122"/>
      <c r="C157" s="122"/>
      <c r="D157" s="122"/>
      <c r="E157" s="122"/>
      <c r="F157" s="122"/>
      <c r="G157" s="122"/>
      <c r="H157" s="122"/>
      <c r="I157" s="122"/>
      <c r="J157" s="122"/>
      <c r="K157" s="122"/>
      <c r="L157" s="122"/>
      <c r="M157" s="122"/>
      <c r="N157" s="122"/>
    </row>
    <row r="158" spans="1:14">
      <c r="A158" s="122"/>
      <c r="B158" s="122"/>
      <c r="C158" s="122"/>
      <c r="D158" s="122"/>
      <c r="E158" s="122"/>
      <c r="F158" s="122"/>
      <c r="G158" s="122"/>
      <c r="H158" s="122"/>
      <c r="I158" s="122"/>
      <c r="J158" s="122"/>
      <c r="K158" s="122"/>
      <c r="L158" s="122"/>
      <c r="M158" s="122"/>
      <c r="N158" s="122"/>
    </row>
    <row r="159" spans="1:14">
      <c r="A159" s="122"/>
      <c r="B159" s="122"/>
      <c r="C159" s="122"/>
      <c r="D159" s="122"/>
      <c r="E159" s="122"/>
      <c r="F159" s="122"/>
      <c r="G159" s="122"/>
      <c r="H159" s="122"/>
      <c r="I159" s="122"/>
      <c r="J159" s="122"/>
      <c r="K159" s="122"/>
      <c r="L159" s="122"/>
      <c r="M159" s="122"/>
      <c r="N159" s="122"/>
    </row>
    <row r="160" spans="1:14">
      <c r="A160" s="122"/>
      <c r="B160" s="122"/>
      <c r="C160" s="122"/>
      <c r="D160" s="122"/>
      <c r="E160" s="122"/>
      <c r="F160" s="122"/>
      <c r="G160" s="122"/>
      <c r="H160" s="122"/>
      <c r="I160" s="122"/>
      <c r="J160" s="122"/>
      <c r="K160" s="122"/>
      <c r="L160" s="122"/>
      <c r="M160" s="122"/>
      <c r="N160" s="122"/>
    </row>
    <row r="161" spans="1:14">
      <c r="A161" s="122"/>
      <c r="B161" s="122"/>
      <c r="C161" s="122"/>
      <c r="D161" s="122"/>
      <c r="E161" s="122"/>
      <c r="F161" s="122"/>
      <c r="G161" s="122"/>
      <c r="H161" s="122"/>
      <c r="I161" s="122"/>
      <c r="J161" s="122"/>
      <c r="K161" s="122"/>
      <c r="L161" s="122"/>
      <c r="M161" s="122"/>
      <c r="N161" s="122"/>
    </row>
    <row r="162" spans="1:14" ht="34.5" customHeight="1">
      <c r="A162" s="122"/>
      <c r="B162" s="122"/>
      <c r="C162" s="122"/>
      <c r="D162" s="122"/>
      <c r="E162" s="122"/>
      <c r="F162" s="122"/>
      <c r="G162" s="122"/>
      <c r="H162" s="122"/>
      <c r="I162" s="122"/>
      <c r="J162" s="122"/>
      <c r="K162" s="122"/>
      <c r="L162" s="122"/>
      <c r="M162" s="122"/>
      <c r="N162" s="122"/>
    </row>
    <row r="163" spans="1:14" ht="37.5" customHeight="1">
      <c r="A163" s="122"/>
      <c r="B163" s="122"/>
      <c r="C163" s="122"/>
      <c r="D163" s="122"/>
      <c r="E163" s="122"/>
      <c r="F163" s="122"/>
      <c r="G163" s="122"/>
      <c r="H163" s="122"/>
      <c r="I163" s="122"/>
      <c r="J163" s="122"/>
      <c r="K163" s="122"/>
      <c r="L163" s="122"/>
      <c r="M163" s="122"/>
      <c r="N163" s="122"/>
    </row>
    <row r="164" spans="1:14">
      <c r="A164" s="122"/>
      <c r="B164" s="122"/>
      <c r="C164" s="122"/>
      <c r="D164" s="122"/>
      <c r="E164" s="122"/>
      <c r="F164" s="122"/>
      <c r="G164" s="122"/>
      <c r="H164" s="122"/>
      <c r="I164" s="122"/>
      <c r="J164" s="122"/>
      <c r="K164" s="122"/>
      <c r="L164" s="122"/>
      <c r="M164" s="122"/>
      <c r="N164" s="122"/>
    </row>
    <row r="165" spans="1:14" ht="32.1" customHeight="1">
      <c r="A165" s="122"/>
      <c r="B165" s="122"/>
      <c r="C165" s="122"/>
      <c r="D165" s="122"/>
      <c r="E165" s="122"/>
      <c r="F165" s="122"/>
      <c r="G165" s="122"/>
      <c r="H165" s="122"/>
      <c r="I165" s="122"/>
      <c r="J165" s="122"/>
      <c r="K165" s="122"/>
      <c r="L165" s="122"/>
      <c r="M165" s="105"/>
      <c r="N165" s="105"/>
    </row>
    <row r="166" spans="1:14" ht="97.5" customHeight="1">
      <c r="A166" s="122"/>
      <c r="B166" s="122"/>
      <c r="C166" s="122"/>
      <c r="D166" s="122"/>
      <c r="E166" s="122"/>
      <c r="F166" s="122"/>
      <c r="G166" s="122"/>
      <c r="H166" s="122"/>
      <c r="I166" s="122"/>
      <c r="J166" s="122"/>
      <c r="K166" s="122"/>
      <c r="L166" s="122"/>
      <c r="M166" s="105"/>
      <c r="N166" s="105"/>
    </row>
    <row r="168" spans="1:14">
      <c r="A168" s="122"/>
      <c r="B168" s="122"/>
      <c r="C168" s="122"/>
      <c r="D168" s="122"/>
      <c r="E168" s="122"/>
      <c r="F168" s="122"/>
      <c r="G168" s="122"/>
      <c r="H168" s="122"/>
      <c r="I168" s="122"/>
      <c r="J168" s="122"/>
      <c r="K168" s="122"/>
      <c r="L168" s="122"/>
      <c r="M168" s="122"/>
      <c r="N168" s="122"/>
    </row>
    <row r="169" spans="1:14">
      <c r="A169" s="122"/>
      <c r="B169" s="122"/>
      <c r="C169" s="122"/>
      <c r="D169" s="122"/>
      <c r="E169" s="122"/>
      <c r="F169" s="122"/>
      <c r="G169" s="122"/>
      <c r="H169" s="122"/>
      <c r="I169" s="122"/>
      <c r="J169" s="122"/>
      <c r="K169" s="122"/>
      <c r="L169" s="122"/>
      <c r="M169" s="122"/>
      <c r="N169" s="122"/>
    </row>
    <row r="170" spans="1:14">
      <c r="A170" s="122"/>
      <c r="B170" s="122"/>
      <c r="C170" s="122"/>
      <c r="D170" s="122"/>
      <c r="E170" s="122"/>
      <c r="F170" s="122"/>
      <c r="G170" s="122"/>
      <c r="H170" s="122"/>
      <c r="I170" s="122"/>
      <c r="J170" s="122"/>
      <c r="K170" s="122"/>
      <c r="L170" s="122"/>
      <c r="M170" s="122"/>
      <c r="N170" s="122"/>
    </row>
    <row r="171" spans="1:14">
      <c r="A171" s="122"/>
      <c r="B171" s="122"/>
      <c r="C171" s="122"/>
      <c r="D171" s="122"/>
      <c r="E171" s="122"/>
      <c r="F171" s="122"/>
      <c r="G171" s="122"/>
      <c r="H171" s="122"/>
      <c r="I171" s="122"/>
      <c r="J171" s="122"/>
      <c r="K171" s="122"/>
      <c r="L171" s="122"/>
      <c r="M171" s="122"/>
      <c r="N171" s="122"/>
    </row>
    <row r="172" spans="1:14">
      <c r="A172" s="122"/>
      <c r="B172" s="122"/>
      <c r="C172" s="122"/>
      <c r="D172" s="122"/>
      <c r="E172" s="122"/>
      <c r="F172" s="122"/>
      <c r="G172" s="122"/>
      <c r="H172" s="122"/>
      <c r="I172" s="122"/>
      <c r="J172" s="122"/>
      <c r="K172" s="122"/>
      <c r="L172" s="122"/>
      <c r="M172" s="122"/>
      <c r="N172" s="122"/>
    </row>
    <row r="173" spans="1:14" ht="43.5" customHeight="1">
      <c r="A173" s="122"/>
      <c r="B173" s="122"/>
      <c r="C173" s="122"/>
      <c r="D173" s="122"/>
      <c r="E173" s="122"/>
      <c r="F173" s="122"/>
      <c r="G173" s="122"/>
      <c r="H173" s="122"/>
      <c r="I173" s="122"/>
      <c r="J173" s="122"/>
      <c r="K173" s="122"/>
      <c r="L173" s="122"/>
      <c r="M173" s="122"/>
      <c r="N173" s="122"/>
    </row>
    <row r="174" spans="1:14" ht="45.75" customHeight="1">
      <c r="A174" s="122"/>
      <c r="B174" s="122"/>
      <c r="C174" s="122"/>
      <c r="D174" s="122"/>
      <c r="E174" s="122"/>
      <c r="F174" s="122"/>
      <c r="G174" s="122"/>
      <c r="H174" s="122"/>
      <c r="I174" s="122"/>
      <c r="J174" s="122"/>
      <c r="K174" s="122"/>
      <c r="L174" s="122"/>
      <c r="M174" s="122"/>
      <c r="N174" s="122"/>
    </row>
    <row r="175" spans="1:14">
      <c r="A175" s="122"/>
      <c r="B175" s="122"/>
      <c r="C175" s="122"/>
      <c r="D175" s="122"/>
      <c r="E175" s="122"/>
      <c r="F175" s="122"/>
      <c r="G175" s="122"/>
      <c r="H175" s="122"/>
      <c r="I175" s="122"/>
      <c r="J175" s="122"/>
      <c r="K175" s="122"/>
      <c r="L175" s="122"/>
      <c r="M175" s="122"/>
      <c r="N175" s="122"/>
    </row>
    <row r="176" spans="1:14" ht="32.1" customHeight="1">
      <c r="A176" s="122"/>
      <c r="B176" s="122"/>
      <c r="C176" s="122"/>
      <c r="D176" s="122"/>
      <c r="E176" s="122"/>
      <c r="F176" s="122"/>
      <c r="G176" s="122"/>
      <c r="H176" s="122"/>
      <c r="I176" s="122"/>
      <c r="J176" s="122"/>
      <c r="K176" s="122"/>
      <c r="L176" s="122"/>
      <c r="M176" s="105"/>
      <c r="N176" s="105"/>
    </row>
    <row r="177" spans="1:12" ht="87" customHeight="1">
      <c r="A177" s="122"/>
      <c r="B177" s="122"/>
      <c r="C177" s="122"/>
      <c r="D177" s="122"/>
      <c r="E177" s="122"/>
      <c r="F177" s="122"/>
      <c r="G177" s="122"/>
      <c r="H177" s="122"/>
      <c r="I177" s="122"/>
      <c r="J177" s="122"/>
      <c r="K177" s="122"/>
      <c r="L177" s="122"/>
    </row>
  </sheetData>
  <mergeCells count="448">
    <mergeCell ref="D60:N60"/>
    <mergeCell ref="K177:L177"/>
    <mergeCell ref="K33:L33"/>
    <mergeCell ref="D174:N174"/>
    <mergeCell ref="A136:C136"/>
    <mergeCell ref="A21:C21"/>
    <mergeCell ref="A113:C113"/>
    <mergeCell ref="C121:D121"/>
    <mergeCell ref="K99:L99"/>
    <mergeCell ref="G66:H66"/>
    <mergeCell ref="I66:J66"/>
    <mergeCell ref="D136:N136"/>
    <mergeCell ref="D70:N70"/>
    <mergeCell ref="A52:C52"/>
    <mergeCell ref="I155:J155"/>
    <mergeCell ref="E166:F166"/>
    <mergeCell ref="K155:L155"/>
    <mergeCell ref="A33:B33"/>
    <mergeCell ref="D139:N139"/>
    <mergeCell ref="A126:C126"/>
    <mergeCell ref="A150:C150"/>
    <mergeCell ref="K44:L44"/>
    <mergeCell ref="C44:D44"/>
    <mergeCell ref="D7:N7"/>
    <mergeCell ref="A83:C83"/>
    <mergeCell ref="D71:N71"/>
    <mergeCell ref="D58:N58"/>
    <mergeCell ref="A49:C49"/>
    <mergeCell ref="G143:H143"/>
    <mergeCell ref="D73:N73"/>
    <mergeCell ref="A174:C174"/>
    <mergeCell ref="A118:C118"/>
    <mergeCell ref="E55:F55"/>
    <mergeCell ref="E67:F67"/>
    <mergeCell ref="G67:H67"/>
    <mergeCell ref="D131:N131"/>
    <mergeCell ref="D124:N124"/>
    <mergeCell ref="A29:C29"/>
    <mergeCell ref="D10:N10"/>
    <mergeCell ref="D81:N81"/>
    <mergeCell ref="A50:C50"/>
    <mergeCell ref="A86:C86"/>
    <mergeCell ref="A42:C42"/>
    <mergeCell ref="A78:B78"/>
    <mergeCell ref="A151:C151"/>
    <mergeCell ref="C78:D78"/>
    <mergeCell ref="C100:D100"/>
    <mergeCell ref="A4:C4"/>
    <mergeCell ref="I56:J56"/>
    <mergeCell ref="K56:L56"/>
    <mergeCell ref="D126:N126"/>
    <mergeCell ref="I176:J176"/>
    <mergeCell ref="D53:N53"/>
    <mergeCell ref="D47:N47"/>
    <mergeCell ref="A31:C31"/>
    <mergeCell ref="A58:C58"/>
    <mergeCell ref="C110:D110"/>
    <mergeCell ref="E110:F110"/>
    <mergeCell ref="A73:C73"/>
    <mergeCell ref="A60:C60"/>
    <mergeCell ref="D15:N15"/>
    <mergeCell ref="D142:N142"/>
    <mergeCell ref="A124:C124"/>
    <mergeCell ref="D129:N129"/>
    <mergeCell ref="A34:B34"/>
    <mergeCell ref="A143:B143"/>
    <mergeCell ref="C34:D34"/>
    <mergeCell ref="A84:C84"/>
    <mergeCell ref="G11:H11"/>
    <mergeCell ref="A149:C149"/>
    <mergeCell ref="I11:J11"/>
    <mergeCell ref="K176:L176"/>
    <mergeCell ref="A139:C139"/>
    <mergeCell ref="D170:N170"/>
    <mergeCell ref="A140:C140"/>
    <mergeCell ref="D147:N147"/>
    <mergeCell ref="A144:B144"/>
    <mergeCell ref="C144:D144"/>
    <mergeCell ref="D82:N82"/>
    <mergeCell ref="A87:C87"/>
    <mergeCell ref="E111:F111"/>
    <mergeCell ref="A105:C105"/>
    <mergeCell ref="A171:C171"/>
    <mergeCell ref="A173:C173"/>
    <mergeCell ref="A161:C161"/>
    <mergeCell ref="A165:B165"/>
    <mergeCell ref="C166:D166"/>
    <mergeCell ref="A128:C128"/>
    <mergeCell ref="D3:N3"/>
    <mergeCell ref="D92:N92"/>
    <mergeCell ref="D30:N30"/>
    <mergeCell ref="A70:C70"/>
    <mergeCell ref="D5:N5"/>
    <mergeCell ref="D29:N29"/>
    <mergeCell ref="D94:N94"/>
    <mergeCell ref="A137:C137"/>
    <mergeCell ref="K121:L121"/>
    <mergeCell ref="D69:N69"/>
    <mergeCell ref="A74:C74"/>
    <mergeCell ref="C88:D88"/>
    <mergeCell ref="E88:F88"/>
    <mergeCell ref="K110:L110"/>
    <mergeCell ref="A76:C76"/>
    <mergeCell ref="C55:D55"/>
    <mergeCell ref="I12:J12"/>
    <mergeCell ref="K12:L12"/>
    <mergeCell ref="D16:N16"/>
    <mergeCell ref="A92:C92"/>
    <mergeCell ref="D18:N18"/>
    <mergeCell ref="A94:C94"/>
    <mergeCell ref="I78:J78"/>
    <mergeCell ref="D76:N76"/>
    <mergeCell ref="D6:N6"/>
    <mergeCell ref="D108:N108"/>
    <mergeCell ref="A99:B99"/>
    <mergeCell ref="D95:N95"/>
    <mergeCell ref="D160:N160"/>
    <mergeCell ref="D97:N97"/>
    <mergeCell ref="D72:N72"/>
    <mergeCell ref="A148:C148"/>
    <mergeCell ref="A6:C6"/>
    <mergeCell ref="D42:N42"/>
    <mergeCell ref="E22:F22"/>
    <mergeCell ref="D113:N113"/>
    <mergeCell ref="G22:H22"/>
    <mergeCell ref="K78:L78"/>
    <mergeCell ref="D148:N148"/>
    <mergeCell ref="D26:N26"/>
    <mergeCell ref="D50:N50"/>
    <mergeCell ref="D115:N115"/>
    <mergeCell ref="E122:F122"/>
    <mergeCell ref="A45:B45"/>
    <mergeCell ref="D28:N28"/>
    <mergeCell ref="A55:B55"/>
    <mergeCell ref="A152:C152"/>
    <mergeCell ref="E77:F77"/>
    <mergeCell ref="A3:C3"/>
    <mergeCell ref="K55:L55"/>
    <mergeCell ref="A95:C95"/>
    <mergeCell ref="A160:C160"/>
    <mergeCell ref="I144:J144"/>
    <mergeCell ref="K144:L144"/>
    <mergeCell ref="A5:C5"/>
    <mergeCell ref="A32:C32"/>
    <mergeCell ref="A159:C159"/>
    <mergeCell ref="A97:C97"/>
    <mergeCell ref="A89:B89"/>
    <mergeCell ref="A96:C96"/>
    <mergeCell ref="A100:B100"/>
    <mergeCell ref="A77:B77"/>
    <mergeCell ref="D63:N63"/>
    <mergeCell ref="A18:C18"/>
    <mergeCell ref="E132:F132"/>
    <mergeCell ref="G132:H132"/>
    <mergeCell ref="G122:H122"/>
    <mergeCell ref="C143:D143"/>
    <mergeCell ref="A47:C47"/>
    <mergeCell ref="A26:C26"/>
    <mergeCell ref="D31:N31"/>
    <mergeCell ref="D158:N158"/>
    <mergeCell ref="G177:H177"/>
    <mergeCell ref="G33:H33"/>
    <mergeCell ref="I177:J177"/>
    <mergeCell ref="I33:J33"/>
    <mergeCell ref="D103:N103"/>
    <mergeCell ref="D37:N37"/>
    <mergeCell ref="D168:N168"/>
    <mergeCell ref="D9:N9"/>
    <mergeCell ref="D118:N118"/>
    <mergeCell ref="D161:N161"/>
    <mergeCell ref="C165:D165"/>
    <mergeCell ref="K66:L66"/>
    <mergeCell ref="G99:H99"/>
    <mergeCell ref="C66:D66"/>
    <mergeCell ref="I99:J99"/>
    <mergeCell ref="E66:F66"/>
    <mergeCell ref="D98:N98"/>
    <mergeCell ref="D38:N38"/>
    <mergeCell ref="D169:N169"/>
    <mergeCell ref="A16:C16"/>
    <mergeCell ref="C77:D77"/>
    <mergeCell ref="A108:C108"/>
    <mergeCell ref="A166:B166"/>
    <mergeCell ref="G155:H155"/>
    <mergeCell ref="A169:C169"/>
    <mergeCell ref="D157:N157"/>
    <mergeCell ref="A162:C162"/>
    <mergeCell ref="E56:F56"/>
    <mergeCell ref="C154:D154"/>
    <mergeCell ref="G56:H56"/>
    <mergeCell ref="I34:J34"/>
    <mergeCell ref="K34:L34"/>
    <mergeCell ref="A164:C164"/>
    <mergeCell ref="D119:N119"/>
    <mergeCell ref="A110:B110"/>
    <mergeCell ref="D40:N40"/>
    <mergeCell ref="A116:C116"/>
    <mergeCell ref="I100:J100"/>
    <mergeCell ref="K100:L100"/>
    <mergeCell ref="D104:N104"/>
    <mergeCell ref="K165:L165"/>
    <mergeCell ref="D137:N137"/>
    <mergeCell ref="A142:C142"/>
    <mergeCell ref="D130:N130"/>
    <mergeCell ref="A121:B121"/>
    <mergeCell ref="E143:F143"/>
    <mergeCell ref="D52:N52"/>
    <mergeCell ref="D116:N116"/>
    <mergeCell ref="C11:D11"/>
    <mergeCell ref="E11:F11"/>
    <mergeCell ref="D43:N43"/>
    <mergeCell ref="A48:C48"/>
    <mergeCell ref="D74:N74"/>
    <mergeCell ref="D117:N117"/>
    <mergeCell ref="A44:B44"/>
    <mergeCell ref="D59:N59"/>
    <mergeCell ref="A37:C37"/>
    <mergeCell ref="I89:J89"/>
    <mergeCell ref="K89:L89"/>
    <mergeCell ref="C89:D89"/>
    <mergeCell ref="C111:D111"/>
    <mergeCell ref="A69:C69"/>
    <mergeCell ref="E12:F12"/>
    <mergeCell ref="G12:H12"/>
    <mergeCell ref="A38:C38"/>
    <mergeCell ref="A23:B23"/>
    <mergeCell ref="C23:D23"/>
    <mergeCell ref="A98:C98"/>
    <mergeCell ref="D27:N27"/>
    <mergeCell ref="D91:N91"/>
    <mergeCell ref="D106:N106"/>
    <mergeCell ref="I23:J23"/>
    <mergeCell ref="G176:H176"/>
    <mergeCell ref="K88:L88"/>
    <mergeCell ref="D21:N21"/>
    <mergeCell ref="C177:D177"/>
    <mergeCell ref="E155:F155"/>
    <mergeCell ref="A43:C43"/>
    <mergeCell ref="D48:N48"/>
    <mergeCell ref="G121:H121"/>
    <mergeCell ref="I121:J121"/>
    <mergeCell ref="A63:C63"/>
    <mergeCell ref="D87:N87"/>
    <mergeCell ref="A130:C130"/>
    <mergeCell ref="D62:N62"/>
    <mergeCell ref="G110:H110"/>
    <mergeCell ref="I110:J110"/>
    <mergeCell ref="I166:J166"/>
    <mergeCell ref="I44:J44"/>
    <mergeCell ref="K166:L166"/>
    <mergeCell ref="D114:N114"/>
    <mergeCell ref="A138:C138"/>
    <mergeCell ref="D64:N64"/>
    <mergeCell ref="A119:C119"/>
    <mergeCell ref="A111:B111"/>
    <mergeCell ref="D51:N51"/>
    <mergeCell ref="A15:C15"/>
    <mergeCell ref="E154:F154"/>
    <mergeCell ref="G154:H154"/>
    <mergeCell ref="A51:C51"/>
    <mergeCell ref="A82:C82"/>
    <mergeCell ref="A146:C146"/>
    <mergeCell ref="D153:N153"/>
    <mergeCell ref="D128:N128"/>
    <mergeCell ref="D83:N83"/>
    <mergeCell ref="A61:C61"/>
    <mergeCell ref="A153:C153"/>
    <mergeCell ref="A17:C17"/>
    <mergeCell ref="A53:C53"/>
    <mergeCell ref="A109:C109"/>
    <mergeCell ref="D41:N41"/>
    <mergeCell ref="A19:C19"/>
    <mergeCell ref="K77:L77"/>
    <mergeCell ref="A117:C117"/>
    <mergeCell ref="K23:L23"/>
    <mergeCell ref="D93:N93"/>
    <mergeCell ref="K143:L143"/>
    <mergeCell ref="D138:N138"/>
    <mergeCell ref="D140:N140"/>
    <mergeCell ref="D19:N19"/>
    <mergeCell ref="K11:L11"/>
    <mergeCell ref="A141:C141"/>
    <mergeCell ref="A135:C135"/>
    <mergeCell ref="E177:F177"/>
    <mergeCell ref="A133:B133"/>
    <mergeCell ref="C133:D133"/>
    <mergeCell ref="A62:C62"/>
    <mergeCell ref="C22:D22"/>
    <mergeCell ref="E78:F78"/>
    <mergeCell ref="C176:D176"/>
    <mergeCell ref="K111:L111"/>
    <mergeCell ref="E176:F176"/>
    <mergeCell ref="G78:H78"/>
    <mergeCell ref="A72:C72"/>
    <mergeCell ref="D17:N17"/>
    <mergeCell ref="A28:C28"/>
    <mergeCell ref="A30:C30"/>
    <mergeCell ref="A59:C59"/>
    <mergeCell ref="E144:F144"/>
    <mergeCell ref="G144:H144"/>
    <mergeCell ref="A147:C147"/>
    <mergeCell ref="D141:N141"/>
    <mergeCell ref="D75:N75"/>
    <mergeCell ref="D135:N135"/>
    <mergeCell ref="D8:N8"/>
    <mergeCell ref="A65:C65"/>
    <mergeCell ref="D20:N20"/>
    <mergeCell ref="A80:C80"/>
    <mergeCell ref="D109:N109"/>
    <mergeCell ref="E23:F23"/>
    <mergeCell ref="G23:H23"/>
    <mergeCell ref="A88:B88"/>
    <mergeCell ref="D84:N84"/>
    <mergeCell ref="D86:N86"/>
    <mergeCell ref="A91:C91"/>
    <mergeCell ref="A56:B56"/>
    <mergeCell ref="C56:D56"/>
    <mergeCell ref="E34:F34"/>
    <mergeCell ref="K67:L67"/>
    <mergeCell ref="G34:H34"/>
    <mergeCell ref="E99:F99"/>
    <mergeCell ref="D14:N14"/>
    <mergeCell ref="D85:N85"/>
    <mergeCell ref="A67:B67"/>
    <mergeCell ref="A54:C54"/>
    <mergeCell ref="A41:C41"/>
    <mergeCell ref="C33:D33"/>
    <mergeCell ref="E33:F33"/>
    <mergeCell ref="D4:N4"/>
    <mergeCell ref="A157:C157"/>
    <mergeCell ref="A22:B22"/>
    <mergeCell ref="E100:F100"/>
    <mergeCell ref="G100:H100"/>
    <mergeCell ref="C67:D67"/>
    <mergeCell ref="G165:H165"/>
    <mergeCell ref="D164:N164"/>
    <mergeCell ref="G44:H44"/>
    <mergeCell ref="G77:H77"/>
    <mergeCell ref="I77:J77"/>
    <mergeCell ref="I133:J133"/>
    <mergeCell ref="A75:C75"/>
    <mergeCell ref="K133:L133"/>
    <mergeCell ref="A11:B11"/>
    <mergeCell ref="A7:C7"/>
    <mergeCell ref="A8:C8"/>
    <mergeCell ref="A10:C10"/>
    <mergeCell ref="A9:C9"/>
    <mergeCell ref="I132:J132"/>
    <mergeCell ref="K132:L132"/>
    <mergeCell ref="A122:B122"/>
    <mergeCell ref="C122:D122"/>
    <mergeCell ref="A36:C36"/>
    <mergeCell ref="A177:B177"/>
    <mergeCell ref="A106:C106"/>
    <mergeCell ref="A81:C81"/>
    <mergeCell ref="D61:N61"/>
    <mergeCell ref="A170:C170"/>
    <mergeCell ref="D175:N175"/>
    <mergeCell ref="D125:N125"/>
    <mergeCell ref="G88:H88"/>
    <mergeCell ref="I88:J88"/>
    <mergeCell ref="D152:N152"/>
    <mergeCell ref="D127:N127"/>
    <mergeCell ref="A155:B155"/>
    <mergeCell ref="C155:D155"/>
    <mergeCell ref="A172:C172"/>
    <mergeCell ref="E121:F121"/>
    <mergeCell ref="A163:C163"/>
    <mergeCell ref="I122:J122"/>
    <mergeCell ref="D159:N159"/>
    <mergeCell ref="A129:C129"/>
    <mergeCell ref="D80:N80"/>
    <mergeCell ref="D96:N96"/>
    <mergeCell ref="A85:C85"/>
    <mergeCell ref="C99:D99"/>
    <mergeCell ref="A131:C131"/>
    <mergeCell ref="A12:B12"/>
    <mergeCell ref="I143:J143"/>
    <mergeCell ref="C12:D12"/>
    <mergeCell ref="I22:J22"/>
    <mergeCell ref="K22:L22"/>
    <mergeCell ref="D172:N172"/>
    <mergeCell ref="A104:C104"/>
    <mergeCell ref="A175:C175"/>
    <mergeCell ref="D36:N36"/>
    <mergeCell ref="K122:L122"/>
    <mergeCell ref="A14:C14"/>
    <mergeCell ref="A25:C25"/>
    <mergeCell ref="E44:F44"/>
    <mergeCell ref="A27:C27"/>
    <mergeCell ref="A66:B66"/>
    <mergeCell ref="I55:J55"/>
    <mergeCell ref="I67:J67"/>
    <mergeCell ref="D149:N149"/>
    <mergeCell ref="D151:N151"/>
    <mergeCell ref="A154:B154"/>
    <mergeCell ref="D150:N150"/>
    <mergeCell ref="A93:C93"/>
    <mergeCell ref="A158:C158"/>
    <mergeCell ref="I45:J45"/>
    <mergeCell ref="A103:C103"/>
    <mergeCell ref="A168:C168"/>
    <mergeCell ref="G166:H166"/>
    <mergeCell ref="D105:N105"/>
    <mergeCell ref="D49:N49"/>
    <mergeCell ref="D120:N120"/>
    <mergeCell ref="D107:N107"/>
    <mergeCell ref="D163:N163"/>
    <mergeCell ref="A20:C20"/>
    <mergeCell ref="A125:C125"/>
    <mergeCell ref="K45:L45"/>
    <mergeCell ref="D65:N65"/>
    <mergeCell ref="I111:J111"/>
    <mergeCell ref="A40:C40"/>
    <mergeCell ref="C132:D132"/>
    <mergeCell ref="I165:J165"/>
    <mergeCell ref="D162:N162"/>
    <mergeCell ref="C45:D45"/>
    <mergeCell ref="A120:C120"/>
    <mergeCell ref="A71:C71"/>
    <mergeCell ref="E133:F133"/>
    <mergeCell ref="G133:H133"/>
    <mergeCell ref="E89:F89"/>
    <mergeCell ref="G89:H89"/>
    <mergeCell ref="D173:N173"/>
    <mergeCell ref="G111:H111"/>
    <mergeCell ref="A176:B176"/>
    <mergeCell ref="D171:N171"/>
    <mergeCell ref="A127:C127"/>
    <mergeCell ref="A114:C114"/>
    <mergeCell ref="D102:N102"/>
    <mergeCell ref="A64:C64"/>
    <mergeCell ref="D25:N25"/>
    <mergeCell ref="A107:C107"/>
    <mergeCell ref="D39:N39"/>
    <mergeCell ref="D54:N54"/>
    <mergeCell ref="I154:J154"/>
    <mergeCell ref="E165:F165"/>
    <mergeCell ref="A132:B132"/>
    <mergeCell ref="K154:L154"/>
    <mergeCell ref="D32:N32"/>
    <mergeCell ref="A115:C115"/>
    <mergeCell ref="A102:C102"/>
    <mergeCell ref="E45:F45"/>
    <mergeCell ref="G45:H45"/>
    <mergeCell ref="A39:C39"/>
    <mergeCell ref="D146:N146"/>
    <mergeCell ref="G55:H55"/>
  </mergeCells>
  <hyperlinks>
    <hyperlink ref="A1" location="'Disponibilidad'!A1" display="Disponibilidad"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4">
    <tabColor theme="9" tint="0.59999389629810485"/>
  </sheetPr>
  <dimension ref="A1:N221"/>
  <sheetViews>
    <sheetView topLeftCell="I12" workbookViewId="0">
      <selection activeCell="I12" sqref="I12:J12"/>
    </sheetView>
  </sheetViews>
  <sheetFormatPr defaultColWidth="11.42578125" defaultRowHeight="15"/>
  <cols>
    <col min="1" max="1" width="12.140625" style="43" bestFit="1" customWidth="1"/>
    <col min="2" max="8" width="11.42578125" style="43" customWidth="1"/>
    <col min="9" max="12" width="22.7109375" style="43" customWidth="1"/>
    <col min="13" max="13" width="11.42578125" style="43" customWidth="1"/>
    <col min="14" max="14" width="213.140625" style="43" bestFit="1" customWidth="1"/>
    <col min="15" max="16384" width="11.42578125" style="43"/>
  </cols>
  <sheetData>
    <row r="1" spans="1:14">
      <c r="A1" s="42" t="s">
        <v>273</v>
      </c>
      <c r="B1" s="105"/>
      <c r="C1" s="105"/>
      <c r="D1" s="105"/>
      <c r="E1" s="105"/>
      <c r="F1" s="105"/>
      <c r="G1" s="105"/>
      <c r="H1" s="105"/>
      <c r="I1" s="105"/>
      <c r="J1" s="105"/>
      <c r="K1" s="105"/>
      <c r="L1" s="105"/>
      <c r="M1" s="105"/>
      <c r="N1" s="105"/>
    </row>
    <row r="2" spans="1:14">
      <c r="A2" s="44"/>
      <c r="B2" s="105"/>
      <c r="C2" s="105"/>
      <c r="D2" s="105"/>
      <c r="E2" s="105"/>
      <c r="F2" s="105"/>
      <c r="G2" s="105"/>
      <c r="H2" s="105"/>
      <c r="I2" s="105"/>
      <c r="J2" s="105"/>
      <c r="K2" s="105"/>
      <c r="L2" s="105"/>
      <c r="M2" s="105"/>
      <c r="N2" s="105"/>
    </row>
    <row r="3" spans="1:14">
      <c r="A3" s="94" t="s">
        <v>72</v>
      </c>
      <c r="B3" s="123"/>
      <c r="C3" s="124"/>
      <c r="D3" s="107" t="str">
        <f>$A$1</f>
        <v>Experiencia de Usuario</v>
      </c>
      <c r="E3" s="108"/>
      <c r="F3" s="108"/>
      <c r="G3" s="108"/>
      <c r="H3" s="108"/>
      <c r="I3" s="108"/>
      <c r="J3" s="108"/>
      <c r="K3" s="108"/>
      <c r="L3" s="108"/>
      <c r="M3" s="108"/>
      <c r="N3" s="109"/>
    </row>
    <row r="4" spans="1:14" ht="18.75" customHeight="1">
      <c r="A4" s="95" t="s">
        <v>73</v>
      </c>
      <c r="B4" s="106"/>
      <c r="C4" s="125"/>
      <c r="D4" s="112" t="s">
        <v>45</v>
      </c>
      <c r="E4" s="108"/>
      <c r="F4" s="108"/>
      <c r="G4" s="108"/>
      <c r="H4" s="108"/>
      <c r="I4" s="108"/>
      <c r="J4" s="108"/>
      <c r="K4" s="108"/>
      <c r="L4" s="108"/>
      <c r="M4" s="108"/>
      <c r="N4" s="109"/>
    </row>
    <row r="5" spans="1:14">
      <c r="A5" s="93" t="s">
        <v>74</v>
      </c>
      <c r="B5" s="110"/>
      <c r="C5" s="126"/>
      <c r="D5" s="107" t="s">
        <v>274</v>
      </c>
      <c r="E5" s="108"/>
      <c r="F5" s="108"/>
      <c r="G5" s="108"/>
      <c r="H5" s="108"/>
      <c r="I5" s="108"/>
      <c r="J5" s="108"/>
      <c r="K5" s="108"/>
      <c r="L5" s="108"/>
      <c r="M5" s="108"/>
      <c r="N5" s="109"/>
    </row>
    <row r="6" spans="1:14">
      <c r="A6" s="93" t="s">
        <v>76</v>
      </c>
      <c r="B6" s="110"/>
      <c r="C6" s="126"/>
      <c r="D6" s="107" t="s">
        <v>275</v>
      </c>
      <c r="E6" s="108"/>
      <c r="F6" s="108"/>
      <c r="G6" s="108"/>
      <c r="H6" s="108"/>
      <c r="I6" s="108"/>
      <c r="J6" s="108"/>
      <c r="K6" s="108"/>
      <c r="L6" s="108"/>
      <c r="M6" s="108"/>
      <c r="N6" s="109"/>
    </row>
    <row r="7" spans="1:14">
      <c r="A7" s="93" t="s">
        <v>78</v>
      </c>
      <c r="B7" s="110"/>
      <c r="C7" s="126"/>
      <c r="D7" s="107" t="s">
        <v>79</v>
      </c>
      <c r="E7" s="108"/>
      <c r="F7" s="108"/>
      <c r="G7" s="108"/>
      <c r="H7" s="108"/>
      <c r="I7" s="108"/>
      <c r="J7" s="108"/>
      <c r="K7" s="108"/>
      <c r="L7" s="108"/>
      <c r="M7" s="108"/>
      <c r="N7" s="109"/>
    </row>
    <row r="8" spans="1:14">
      <c r="A8" s="90" t="s">
        <v>151</v>
      </c>
      <c r="B8" s="127"/>
      <c r="C8" s="128"/>
      <c r="D8" s="129" t="s">
        <v>276</v>
      </c>
      <c r="E8" s="120"/>
      <c r="F8" s="120"/>
      <c r="G8" s="120"/>
      <c r="H8" s="120"/>
      <c r="I8" s="120"/>
      <c r="J8" s="120"/>
      <c r="K8" s="120"/>
      <c r="L8" s="120"/>
      <c r="M8" s="120"/>
      <c r="N8" s="121"/>
    </row>
    <row r="9" spans="1:14" ht="45" customHeight="1">
      <c r="A9" s="92" t="s">
        <v>82</v>
      </c>
      <c r="B9" s="108"/>
      <c r="C9" s="109"/>
      <c r="D9" s="112" t="s">
        <v>277</v>
      </c>
      <c r="E9" s="108"/>
      <c r="F9" s="108"/>
      <c r="G9" s="108"/>
      <c r="H9" s="108"/>
      <c r="I9" s="108"/>
      <c r="J9" s="108"/>
      <c r="K9" s="108"/>
      <c r="L9" s="108"/>
      <c r="M9" s="108"/>
      <c r="N9" s="109"/>
    </row>
    <row r="10" spans="1:14" ht="18" customHeight="1">
      <c r="A10" s="92" t="s">
        <v>84</v>
      </c>
      <c r="B10" s="108"/>
      <c r="C10" s="109"/>
      <c r="D10" s="112" t="s">
        <v>278</v>
      </c>
      <c r="E10" s="108"/>
      <c r="F10" s="108"/>
      <c r="G10" s="108"/>
      <c r="H10" s="108"/>
      <c r="I10" s="108"/>
      <c r="J10" s="108"/>
      <c r="K10" s="108"/>
      <c r="L10" s="108"/>
      <c r="M10" s="108"/>
      <c r="N10" s="109"/>
    </row>
    <row r="11" spans="1:14" ht="32.1" customHeight="1">
      <c r="A11" s="91" t="s">
        <v>86</v>
      </c>
      <c r="B11" s="109"/>
      <c r="C11" s="91" t="s">
        <v>87</v>
      </c>
      <c r="D11" s="109"/>
      <c r="E11" s="91" t="s">
        <v>88</v>
      </c>
      <c r="F11" s="109"/>
      <c r="G11" s="91" t="s">
        <v>89</v>
      </c>
      <c r="H11" s="109"/>
      <c r="I11" s="91" t="s">
        <v>90</v>
      </c>
      <c r="J11" s="109"/>
      <c r="K11" s="91" t="s">
        <v>91</v>
      </c>
      <c r="L11" s="109"/>
      <c r="M11" s="45" t="s">
        <v>92</v>
      </c>
      <c r="N11" s="46" t="s">
        <v>93</v>
      </c>
    </row>
    <row r="12" spans="1:14" ht="60.75" customHeight="1">
      <c r="A12" s="130" t="s">
        <v>279</v>
      </c>
      <c r="B12" s="109"/>
      <c r="C12" s="130" t="s">
        <v>280</v>
      </c>
      <c r="D12" s="109"/>
      <c r="E12" s="130" t="s">
        <v>129</v>
      </c>
      <c r="F12" s="109"/>
      <c r="G12" s="130" t="s">
        <v>97</v>
      </c>
      <c r="H12" s="109"/>
      <c r="I12" s="130" t="s">
        <v>281</v>
      </c>
      <c r="J12" s="109"/>
      <c r="K12" s="130" t="s">
        <v>282</v>
      </c>
      <c r="L12" s="109"/>
      <c r="M12" s="131"/>
      <c r="N12" s="131" t="s">
        <v>283</v>
      </c>
    </row>
    <row r="13" spans="1:14">
      <c r="A13" s="105"/>
      <c r="B13" s="105"/>
      <c r="C13" s="105"/>
      <c r="D13" s="105"/>
      <c r="E13" s="105"/>
      <c r="F13" s="105"/>
      <c r="G13" s="105"/>
      <c r="H13" s="105"/>
      <c r="I13" s="105"/>
      <c r="J13" s="105"/>
      <c r="K13" s="105"/>
      <c r="L13" s="105"/>
      <c r="M13" s="105"/>
      <c r="N13" s="105"/>
    </row>
    <row r="14" spans="1:14">
      <c r="A14" s="94" t="s">
        <v>72</v>
      </c>
      <c r="B14" s="123"/>
      <c r="C14" s="124"/>
      <c r="D14" s="107" t="str">
        <f>$A$1</f>
        <v>Experiencia de Usuario</v>
      </c>
      <c r="E14" s="108"/>
      <c r="F14" s="108"/>
      <c r="G14" s="108"/>
      <c r="H14" s="108"/>
      <c r="I14" s="108"/>
      <c r="J14" s="108"/>
      <c r="K14" s="108"/>
      <c r="L14" s="108"/>
      <c r="M14" s="108"/>
      <c r="N14" s="109"/>
    </row>
    <row r="15" spans="1:14" ht="18" customHeight="1">
      <c r="A15" s="95" t="s">
        <v>73</v>
      </c>
      <c r="B15" s="106"/>
      <c r="C15" s="125"/>
      <c r="D15" s="112" t="s">
        <v>45</v>
      </c>
      <c r="E15" s="108"/>
      <c r="F15" s="108"/>
      <c r="G15" s="108"/>
      <c r="H15" s="108"/>
      <c r="I15" s="108"/>
      <c r="J15" s="108"/>
      <c r="K15" s="108"/>
      <c r="L15" s="108"/>
      <c r="M15" s="108"/>
      <c r="N15" s="109"/>
    </row>
    <row r="16" spans="1:14">
      <c r="A16" s="93" t="s">
        <v>74</v>
      </c>
      <c r="B16" s="110"/>
      <c r="C16" s="126"/>
      <c r="D16" s="107" t="s">
        <v>284</v>
      </c>
      <c r="E16" s="108"/>
      <c r="F16" s="108"/>
      <c r="G16" s="108"/>
      <c r="H16" s="108"/>
      <c r="I16" s="108"/>
      <c r="J16" s="108"/>
      <c r="K16" s="108"/>
      <c r="L16" s="108"/>
      <c r="M16" s="108"/>
      <c r="N16" s="109"/>
    </row>
    <row r="17" spans="1:14">
      <c r="A17" s="93" t="s">
        <v>76</v>
      </c>
      <c r="B17" s="110"/>
      <c r="C17" s="126"/>
      <c r="D17" s="107" t="s">
        <v>285</v>
      </c>
      <c r="E17" s="108"/>
      <c r="F17" s="108"/>
      <c r="G17" s="108"/>
      <c r="H17" s="108"/>
      <c r="I17" s="108"/>
      <c r="J17" s="108"/>
      <c r="K17" s="108"/>
      <c r="L17" s="108"/>
      <c r="M17" s="108"/>
      <c r="N17" s="109"/>
    </row>
    <row r="18" spans="1:14">
      <c r="A18" s="93" t="s">
        <v>78</v>
      </c>
      <c r="B18" s="110"/>
      <c r="C18" s="126"/>
      <c r="D18" s="107" t="s">
        <v>103</v>
      </c>
      <c r="E18" s="108"/>
      <c r="F18" s="108"/>
      <c r="G18" s="108"/>
      <c r="H18" s="108"/>
      <c r="I18" s="108"/>
      <c r="J18" s="108"/>
      <c r="K18" s="108"/>
      <c r="L18" s="108"/>
      <c r="M18" s="108"/>
      <c r="N18" s="109"/>
    </row>
    <row r="19" spans="1:14">
      <c r="A19" s="90" t="s">
        <v>151</v>
      </c>
      <c r="B19" s="127"/>
      <c r="C19" s="128"/>
      <c r="D19" s="129" t="s">
        <v>286</v>
      </c>
      <c r="E19" s="120"/>
      <c r="F19" s="120"/>
      <c r="G19" s="120"/>
      <c r="H19" s="120"/>
      <c r="I19" s="120"/>
      <c r="J19" s="120"/>
      <c r="K19" s="120"/>
      <c r="L19" s="120"/>
      <c r="M19" s="120"/>
      <c r="N19" s="121"/>
    </row>
    <row r="20" spans="1:14" ht="27.75" customHeight="1">
      <c r="A20" s="92" t="s">
        <v>82</v>
      </c>
      <c r="B20" s="108"/>
      <c r="C20" s="109"/>
      <c r="D20" s="112" t="s">
        <v>287</v>
      </c>
      <c r="E20" s="108"/>
      <c r="F20" s="108"/>
      <c r="G20" s="108"/>
      <c r="H20" s="108"/>
      <c r="I20" s="108"/>
      <c r="J20" s="108"/>
      <c r="K20" s="108"/>
      <c r="L20" s="108"/>
      <c r="M20" s="108"/>
      <c r="N20" s="109"/>
    </row>
    <row r="21" spans="1:14">
      <c r="A21" s="92" t="s">
        <v>84</v>
      </c>
      <c r="B21" s="108"/>
      <c r="C21" s="109"/>
      <c r="D21" s="112" t="s">
        <v>288</v>
      </c>
      <c r="E21" s="108"/>
      <c r="F21" s="108"/>
      <c r="G21" s="108"/>
      <c r="H21" s="108"/>
      <c r="I21" s="108"/>
      <c r="J21" s="108"/>
      <c r="K21" s="108"/>
      <c r="L21" s="108"/>
      <c r="M21" s="108"/>
      <c r="N21" s="109"/>
    </row>
    <row r="22" spans="1:14" ht="32.1" customHeight="1">
      <c r="A22" s="91" t="s">
        <v>86</v>
      </c>
      <c r="B22" s="109"/>
      <c r="C22" s="91" t="s">
        <v>87</v>
      </c>
      <c r="D22" s="109"/>
      <c r="E22" s="91" t="s">
        <v>88</v>
      </c>
      <c r="F22" s="109"/>
      <c r="G22" s="91" t="s">
        <v>89</v>
      </c>
      <c r="H22" s="109"/>
      <c r="I22" s="91" t="s">
        <v>90</v>
      </c>
      <c r="J22" s="109"/>
      <c r="K22" s="91" t="s">
        <v>91</v>
      </c>
      <c r="L22" s="109"/>
      <c r="M22" s="45" t="s">
        <v>92</v>
      </c>
      <c r="N22" s="46" t="s">
        <v>93</v>
      </c>
    </row>
    <row r="23" spans="1:14" ht="84" customHeight="1">
      <c r="A23" s="130" t="s">
        <v>289</v>
      </c>
      <c r="B23" s="109"/>
      <c r="C23" s="130" t="s">
        <v>290</v>
      </c>
      <c r="D23" s="109"/>
      <c r="E23" s="130" t="s">
        <v>129</v>
      </c>
      <c r="F23" s="109"/>
      <c r="G23" s="130" t="s">
        <v>97</v>
      </c>
      <c r="H23" s="109"/>
      <c r="I23" s="130" t="s">
        <v>291</v>
      </c>
      <c r="J23" s="109"/>
      <c r="K23" s="130" t="s">
        <v>292</v>
      </c>
      <c r="L23" s="109"/>
      <c r="M23" s="131"/>
      <c r="N23" s="131" t="s">
        <v>293</v>
      </c>
    </row>
    <row r="24" spans="1:14">
      <c r="A24" s="105"/>
      <c r="B24" s="105"/>
      <c r="C24" s="105"/>
      <c r="D24" s="105"/>
      <c r="E24" s="105"/>
      <c r="F24" s="105"/>
      <c r="G24" s="105"/>
      <c r="H24" s="105"/>
      <c r="I24" s="105"/>
      <c r="J24" s="105"/>
      <c r="K24" s="105"/>
      <c r="L24" s="105"/>
      <c r="M24" s="105"/>
      <c r="N24" s="105"/>
    </row>
    <row r="25" spans="1:14">
      <c r="A25" s="94" t="s">
        <v>72</v>
      </c>
      <c r="B25" s="123"/>
      <c r="C25" s="124"/>
      <c r="D25" s="107" t="str">
        <f>$A$1</f>
        <v>Experiencia de Usuario</v>
      </c>
      <c r="E25" s="108"/>
      <c r="F25" s="108"/>
      <c r="G25" s="108"/>
      <c r="H25" s="108"/>
      <c r="I25" s="108"/>
      <c r="J25" s="108"/>
      <c r="K25" s="108"/>
      <c r="L25" s="108"/>
      <c r="M25" s="108"/>
      <c r="N25" s="109"/>
    </row>
    <row r="26" spans="1:14" ht="18.75" customHeight="1">
      <c r="A26" s="95" t="s">
        <v>73</v>
      </c>
      <c r="B26" s="106"/>
      <c r="C26" s="125"/>
      <c r="D26" s="112" t="s">
        <v>46</v>
      </c>
      <c r="E26" s="108"/>
      <c r="F26" s="108"/>
      <c r="G26" s="108"/>
      <c r="H26" s="108"/>
      <c r="I26" s="108"/>
      <c r="J26" s="108"/>
      <c r="K26" s="108"/>
      <c r="L26" s="108"/>
      <c r="M26" s="108"/>
      <c r="N26" s="109"/>
    </row>
    <row r="27" spans="1:14">
      <c r="A27" s="93" t="s">
        <v>74</v>
      </c>
      <c r="B27" s="110"/>
      <c r="C27" s="126"/>
      <c r="D27" s="107" t="s">
        <v>294</v>
      </c>
      <c r="E27" s="108"/>
      <c r="F27" s="108"/>
      <c r="G27" s="108"/>
      <c r="H27" s="108"/>
      <c r="I27" s="108"/>
      <c r="J27" s="108"/>
      <c r="K27" s="108"/>
      <c r="L27" s="108"/>
      <c r="M27" s="108"/>
      <c r="N27" s="109"/>
    </row>
    <row r="28" spans="1:14">
      <c r="A28" s="93" t="s">
        <v>76</v>
      </c>
      <c r="B28" s="110"/>
      <c r="C28" s="126"/>
      <c r="D28" s="107" t="s">
        <v>295</v>
      </c>
      <c r="E28" s="108"/>
      <c r="F28" s="108"/>
      <c r="G28" s="108"/>
      <c r="H28" s="108"/>
      <c r="I28" s="108"/>
      <c r="J28" s="108"/>
      <c r="K28" s="108"/>
      <c r="L28" s="108"/>
      <c r="M28" s="108"/>
      <c r="N28" s="109"/>
    </row>
    <row r="29" spans="1:14">
      <c r="A29" s="93" t="s">
        <v>78</v>
      </c>
      <c r="B29" s="110"/>
      <c r="C29" s="126"/>
      <c r="D29" s="107" t="s">
        <v>79</v>
      </c>
      <c r="E29" s="108"/>
      <c r="F29" s="108"/>
      <c r="G29" s="108"/>
      <c r="H29" s="108"/>
      <c r="I29" s="108"/>
      <c r="J29" s="108"/>
      <c r="K29" s="108"/>
      <c r="L29" s="108"/>
      <c r="M29" s="108"/>
      <c r="N29" s="109"/>
    </row>
    <row r="30" spans="1:14" ht="15" customHeight="1">
      <c r="A30" s="90" t="s">
        <v>151</v>
      </c>
      <c r="B30" s="127"/>
      <c r="C30" s="128"/>
      <c r="D30" s="129" t="s">
        <v>296</v>
      </c>
      <c r="E30" s="120"/>
      <c r="F30" s="120"/>
      <c r="G30" s="120"/>
      <c r="H30" s="120"/>
      <c r="I30" s="120"/>
      <c r="J30" s="120"/>
      <c r="K30" s="120"/>
      <c r="L30" s="120"/>
      <c r="M30" s="120"/>
      <c r="N30" s="121"/>
    </row>
    <row r="31" spans="1:14" ht="51" customHeight="1">
      <c r="A31" s="92" t="s">
        <v>82</v>
      </c>
      <c r="B31" s="108"/>
      <c r="C31" s="109"/>
      <c r="D31" s="112" t="s">
        <v>297</v>
      </c>
      <c r="E31" s="108"/>
      <c r="F31" s="108"/>
      <c r="G31" s="108"/>
      <c r="H31" s="108"/>
      <c r="I31" s="108"/>
      <c r="J31" s="108"/>
      <c r="K31" s="108"/>
      <c r="L31" s="108"/>
      <c r="M31" s="108"/>
      <c r="N31" s="109"/>
    </row>
    <row r="32" spans="1:14" ht="40.5" customHeight="1">
      <c r="A32" s="92" t="s">
        <v>84</v>
      </c>
      <c r="B32" s="108"/>
      <c r="C32" s="109"/>
      <c r="D32" s="112" t="s">
        <v>298</v>
      </c>
      <c r="E32" s="108"/>
      <c r="F32" s="108"/>
      <c r="G32" s="108"/>
      <c r="H32" s="108"/>
      <c r="I32" s="108"/>
      <c r="J32" s="108"/>
      <c r="K32" s="108"/>
      <c r="L32" s="108"/>
      <c r="M32" s="108"/>
      <c r="N32" s="109"/>
    </row>
    <row r="33" spans="1:14" ht="32.1" customHeight="1">
      <c r="A33" s="91" t="s">
        <v>86</v>
      </c>
      <c r="B33" s="109"/>
      <c r="C33" s="91" t="s">
        <v>87</v>
      </c>
      <c r="D33" s="109"/>
      <c r="E33" s="91" t="s">
        <v>88</v>
      </c>
      <c r="F33" s="109"/>
      <c r="G33" s="91" t="s">
        <v>89</v>
      </c>
      <c r="H33" s="109"/>
      <c r="I33" s="91" t="s">
        <v>90</v>
      </c>
      <c r="J33" s="109"/>
      <c r="K33" s="91" t="s">
        <v>91</v>
      </c>
      <c r="L33" s="109"/>
      <c r="M33" s="45" t="s">
        <v>92</v>
      </c>
      <c r="N33" s="46" t="s">
        <v>93</v>
      </c>
    </row>
    <row r="34" spans="1:14" ht="71.25" customHeight="1">
      <c r="A34" s="130" t="s">
        <v>299</v>
      </c>
      <c r="B34" s="109"/>
      <c r="C34" s="130" t="s">
        <v>300</v>
      </c>
      <c r="D34" s="109"/>
      <c r="E34" s="130" t="s">
        <v>129</v>
      </c>
      <c r="F34" s="109"/>
      <c r="G34" s="130" t="s">
        <v>97</v>
      </c>
      <c r="H34" s="109"/>
      <c r="I34" s="130" t="s">
        <v>301</v>
      </c>
      <c r="J34" s="109"/>
      <c r="K34" s="130" t="s">
        <v>302</v>
      </c>
      <c r="L34" s="109"/>
      <c r="M34" s="131"/>
      <c r="N34" s="131" t="s">
        <v>283</v>
      </c>
    </row>
    <row r="35" spans="1:14">
      <c r="A35" s="105"/>
      <c r="B35" s="105"/>
      <c r="C35" s="105"/>
      <c r="D35" s="105"/>
      <c r="E35" s="105"/>
      <c r="F35" s="105"/>
      <c r="G35" s="105"/>
      <c r="H35" s="105"/>
      <c r="I35" s="105"/>
      <c r="J35" s="105"/>
      <c r="K35" s="105"/>
      <c r="L35" s="105"/>
      <c r="M35" s="105"/>
      <c r="N35" s="105"/>
    </row>
    <row r="36" spans="1:14">
      <c r="A36" s="94" t="s">
        <v>72</v>
      </c>
      <c r="B36" s="123"/>
      <c r="C36" s="124"/>
      <c r="D36" s="107" t="str">
        <f>$A$1</f>
        <v>Experiencia de Usuario</v>
      </c>
      <c r="E36" s="108"/>
      <c r="F36" s="108"/>
      <c r="G36" s="108"/>
      <c r="H36" s="108"/>
      <c r="I36" s="108"/>
      <c r="J36" s="108"/>
      <c r="K36" s="108"/>
      <c r="L36" s="108"/>
      <c r="M36" s="108"/>
      <c r="N36" s="109"/>
    </row>
    <row r="37" spans="1:14" ht="18" customHeight="1">
      <c r="A37" s="95" t="s">
        <v>73</v>
      </c>
      <c r="B37" s="106"/>
      <c r="C37" s="125"/>
      <c r="D37" s="112" t="s">
        <v>46</v>
      </c>
      <c r="E37" s="108"/>
      <c r="F37" s="108"/>
      <c r="G37" s="108"/>
      <c r="H37" s="108"/>
      <c r="I37" s="108"/>
      <c r="J37" s="108"/>
      <c r="K37" s="108"/>
      <c r="L37" s="108"/>
      <c r="M37" s="108"/>
      <c r="N37" s="109"/>
    </row>
    <row r="38" spans="1:14">
      <c r="A38" s="93" t="s">
        <v>74</v>
      </c>
      <c r="B38" s="110"/>
      <c r="C38" s="126"/>
      <c r="D38" s="107" t="s">
        <v>303</v>
      </c>
      <c r="E38" s="108"/>
      <c r="F38" s="108"/>
      <c r="G38" s="108"/>
      <c r="H38" s="108"/>
      <c r="I38" s="108"/>
      <c r="J38" s="108"/>
      <c r="K38" s="108"/>
      <c r="L38" s="108"/>
      <c r="M38" s="108"/>
      <c r="N38" s="109"/>
    </row>
    <row r="39" spans="1:14">
      <c r="A39" s="93" t="s">
        <v>76</v>
      </c>
      <c r="B39" s="110"/>
      <c r="C39" s="126"/>
      <c r="D39" s="107" t="s">
        <v>304</v>
      </c>
      <c r="E39" s="108"/>
      <c r="F39" s="108"/>
      <c r="G39" s="108"/>
      <c r="H39" s="108"/>
      <c r="I39" s="108"/>
      <c r="J39" s="108"/>
      <c r="K39" s="108"/>
      <c r="L39" s="108"/>
      <c r="M39" s="108"/>
      <c r="N39" s="109"/>
    </row>
    <row r="40" spans="1:14">
      <c r="A40" s="93" t="s">
        <v>78</v>
      </c>
      <c r="B40" s="110"/>
      <c r="C40" s="126"/>
      <c r="D40" s="107" t="s">
        <v>103</v>
      </c>
      <c r="E40" s="108"/>
      <c r="F40" s="108"/>
      <c r="G40" s="108"/>
      <c r="H40" s="108"/>
      <c r="I40" s="108"/>
      <c r="J40" s="108"/>
      <c r="K40" s="108"/>
      <c r="L40" s="108"/>
      <c r="M40" s="108"/>
      <c r="N40" s="109"/>
    </row>
    <row r="41" spans="1:14" ht="15" customHeight="1">
      <c r="A41" s="90" t="s">
        <v>151</v>
      </c>
      <c r="B41" s="127"/>
      <c r="C41" s="128"/>
      <c r="D41" s="129" t="s">
        <v>305</v>
      </c>
      <c r="E41" s="120"/>
      <c r="F41" s="120"/>
      <c r="G41" s="120"/>
      <c r="H41" s="120"/>
      <c r="I41" s="120"/>
      <c r="J41" s="120"/>
      <c r="K41" s="120"/>
      <c r="L41" s="120"/>
      <c r="M41" s="120"/>
      <c r="N41" s="121"/>
    </row>
    <row r="42" spans="1:14" ht="42.75" customHeight="1">
      <c r="A42" s="92" t="s">
        <v>82</v>
      </c>
      <c r="B42" s="108"/>
      <c r="C42" s="109"/>
      <c r="D42" s="112" t="s">
        <v>306</v>
      </c>
      <c r="E42" s="108"/>
      <c r="F42" s="108"/>
      <c r="G42" s="108"/>
      <c r="H42" s="108"/>
      <c r="I42" s="108"/>
      <c r="J42" s="108"/>
      <c r="K42" s="108"/>
      <c r="L42" s="108"/>
      <c r="M42" s="108"/>
      <c r="N42" s="109"/>
    </row>
    <row r="43" spans="1:14" ht="15" customHeight="1">
      <c r="A43" s="92" t="s">
        <v>84</v>
      </c>
      <c r="B43" s="108"/>
      <c r="C43" s="109"/>
      <c r="D43" s="112" t="s">
        <v>307</v>
      </c>
      <c r="E43" s="108"/>
      <c r="F43" s="108"/>
      <c r="G43" s="108"/>
      <c r="H43" s="108"/>
      <c r="I43" s="108"/>
      <c r="J43" s="108"/>
      <c r="K43" s="108"/>
      <c r="L43" s="108"/>
      <c r="M43" s="108"/>
      <c r="N43" s="109"/>
    </row>
    <row r="44" spans="1:14" ht="32.1" customHeight="1">
      <c r="A44" s="91" t="s">
        <v>86</v>
      </c>
      <c r="B44" s="109"/>
      <c r="C44" s="91" t="s">
        <v>87</v>
      </c>
      <c r="D44" s="109"/>
      <c r="E44" s="91" t="s">
        <v>88</v>
      </c>
      <c r="F44" s="109"/>
      <c r="G44" s="91" t="s">
        <v>89</v>
      </c>
      <c r="H44" s="109"/>
      <c r="I44" s="91" t="s">
        <v>90</v>
      </c>
      <c r="J44" s="109"/>
      <c r="K44" s="91" t="s">
        <v>91</v>
      </c>
      <c r="L44" s="109"/>
      <c r="M44" s="45" t="s">
        <v>92</v>
      </c>
      <c r="N44" s="46" t="s">
        <v>93</v>
      </c>
    </row>
    <row r="45" spans="1:14" ht="84" customHeight="1">
      <c r="A45" s="130" t="s">
        <v>308</v>
      </c>
      <c r="B45" s="109"/>
      <c r="C45" s="130" t="s">
        <v>309</v>
      </c>
      <c r="D45" s="109"/>
      <c r="E45" s="130" t="s">
        <v>129</v>
      </c>
      <c r="F45" s="109"/>
      <c r="G45" s="130" t="s">
        <v>97</v>
      </c>
      <c r="H45" s="109"/>
      <c r="I45" s="130" t="s">
        <v>310</v>
      </c>
      <c r="J45" s="109"/>
      <c r="K45" s="130" t="s">
        <v>311</v>
      </c>
      <c r="L45" s="109"/>
      <c r="M45" s="131"/>
      <c r="N45" s="131" t="s">
        <v>293</v>
      </c>
    </row>
    <row r="46" spans="1:14">
      <c r="A46" s="105"/>
      <c r="B46" s="105"/>
      <c r="C46" s="105"/>
      <c r="D46" s="105"/>
      <c r="E46" s="105"/>
      <c r="F46" s="105"/>
      <c r="G46" s="105"/>
      <c r="H46" s="105"/>
      <c r="I46" s="105"/>
      <c r="J46" s="105"/>
      <c r="K46" s="105"/>
      <c r="L46" s="105"/>
      <c r="M46" s="105"/>
      <c r="N46" s="105"/>
    </row>
    <row r="47" spans="1:14">
      <c r="A47" s="94" t="s">
        <v>72</v>
      </c>
      <c r="B47" s="123"/>
      <c r="C47" s="124"/>
      <c r="D47" s="107" t="str">
        <f>$A$1</f>
        <v>Experiencia de Usuario</v>
      </c>
      <c r="E47" s="108"/>
      <c r="F47" s="108"/>
      <c r="G47" s="108"/>
      <c r="H47" s="108"/>
      <c r="I47" s="108"/>
      <c r="J47" s="108"/>
      <c r="K47" s="108"/>
      <c r="L47" s="108"/>
      <c r="M47" s="108"/>
      <c r="N47" s="109"/>
    </row>
    <row r="48" spans="1:14">
      <c r="A48" s="95" t="s">
        <v>73</v>
      </c>
      <c r="B48" s="106"/>
      <c r="C48" s="125"/>
      <c r="D48" s="112" t="s">
        <v>47</v>
      </c>
      <c r="E48" s="108"/>
      <c r="F48" s="108"/>
      <c r="G48" s="108"/>
      <c r="H48" s="108"/>
      <c r="I48" s="108"/>
      <c r="J48" s="108"/>
      <c r="K48" s="108"/>
      <c r="L48" s="108"/>
      <c r="M48" s="108"/>
      <c r="N48" s="109"/>
    </row>
    <row r="49" spans="1:14">
      <c r="A49" s="93" t="s">
        <v>74</v>
      </c>
      <c r="B49" s="110"/>
      <c r="C49" s="126"/>
      <c r="D49" s="107" t="s">
        <v>312</v>
      </c>
      <c r="E49" s="108"/>
      <c r="F49" s="108"/>
      <c r="G49" s="108"/>
      <c r="H49" s="108"/>
      <c r="I49" s="108"/>
      <c r="J49" s="108"/>
      <c r="K49" s="108"/>
      <c r="L49" s="108"/>
      <c r="M49" s="108"/>
      <c r="N49" s="109"/>
    </row>
    <row r="50" spans="1:14">
      <c r="A50" s="93" t="s">
        <v>76</v>
      </c>
      <c r="B50" s="110"/>
      <c r="C50" s="126"/>
      <c r="D50" s="107" t="s">
        <v>313</v>
      </c>
      <c r="E50" s="108"/>
      <c r="F50" s="108"/>
      <c r="G50" s="108"/>
      <c r="H50" s="108"/>
      <c r="I50" s="108"/>
      <c r="J50" s="108"/>
      <c r="K50" s="108"/>
      <c r="L50" s="108"/>
      <c r="M50" s="108"/>
      <c r="N50" s="109"/>
    </row>
    <row r="51" spans="1:14">
      <c r="A51" s="93" t="s">
        <v>78</v>
      </c>
      <c r="B51" s="110"/>
      <c r="C51" s="126"/>
      <c r="D51" s="107" t="s">
        <v>79</v>
      </c>
      <c r="E51" s="108"/>
      <c r="F51" s="108"/>
      <c r="G51" s="108"/>
      <c r="H51" s="108"/>
      <c r="I51" s="108"/>
      <c r="J51" s="108"/>
      <c r="K51" s="108"/>
      <c r="L51" s="108"/>
      <c r="M51" s="108"/>
      <c r="N51" s="109"/>
    </row>
    <row r="52" spans="1:14">
      <c r="A52" s="90" t="s">
        <v>151</v>
      </c>
      <c r="B52" s="127"/>
      <c r="C52" s="128"/>
      <c r="D52" s="129" t="s">
        <v>314</v>
      </c>
      <c r="E52" s="120"/>
      <c r="F52" s="120"/>
      <c r="G52" s="120"/>
      <c r="H52" s="120"/>
      <c r="I52" s="120"/>
      <c r="J52" s="120"/>
      <c r="K52" s="120"/>
      <c r="L52" s="120"/>
      <c r="M52" s="120"/>
      <c r="N52" s="121"/>
    </row>
    <row r="53" spans="1:14" ht="39" customHeight="1">
      <c r="A53" s="92" t="s">
        <v>82</v>
      </c>
      <c r="B53" s="108"/>
      <c r="C53" s="109"/>
      <c r="D53" s="112" t="s">
        <v>315</v>
      </c>
      <c r="E53" s="108"/>
      <c r="F53" s="108"/>
      <c r="G53" s="108"/>
      <c r="H53" s="108"/>
      <c r="I53" s="108"/>
      <c r="J53" s="108"/>
      <c r="K53" s="108"/>
      <c r="L53" s="108"/>
      <c r="M53" s="108"/>
      <c r="N53" s="109"/>
    </row>
    <row r="54" spans="1:14" ht="15" customHeight="1">
      <c r="A54" s="92" t="s">
        <v>84</v>
      </c>
      <c r="B54" s="108"/>
      <c r="C54" s="109"/>
      <c r="D54" s="112" t="s">
        <v>316</v>
      </c>
      <c r="E54" s="108"/>
      <c r="F54" s="108"/>
      <c r="G54" s="108"/>
      <c r="H54" s="108"/>
      <c r="I54" s="108"/>
      <c r="J54" s="108"/>
      <c r="K54" s="108"/>
      <c r="L54" s="108"/>
      <c r="M54" s="108"/>
      <c r="N54" s="109"/>
    </row>
    <row r="55" spans="1:14" ht="32.1" customHeight="1">
      <c r="A55" s="91" t="s">
        <v>86</v>
      </c>
      <c r="B55" s="109"/>
      <c r="C55" s="91" t="s">
        <v>87</v>
      </c>
      <c r="D55" s="109"/>
      <c r="E55" s="91" t="s">
        <v>88</v>
      </c>
      <c r="F55" s="109"/>
      <c r="G55" s="91" t="s">
        <v>89</v>
      </c>
      <c r="H55" s="109"/>
      <c r="I55" s="91" t="s">
        <v>90</v>
      </c>
      <c r="J55" s="109"/>
      <c r="K55" s="91" t="s">
        <v>91</v>
      </c>
      <c r="L55" s="109"/>
      <c r="M55" s="45" t="s">
        <v>92</v>
      </c>
      <c r="N55" s="46" t="s">
        <v>93</v>
      </c>
    </row>
    <row r="56" spans="1:14" ht="71.25" customHeight="1">
      <c r="A56" s="130" t="s">
        <v>317</v>
      </c>
      <c r="B56" s="109"/>
      <c r="C56" s="130" t="s">
        <v>318</v>
      </c>
      <c r="D56" s="109"/>
      <c r="E56" s="130" t="s">
        <v>129</v>
      </c>
      <c r="F56" s="109"/>
      <c r="G56" s="130" t="s">
        <v>97</v>
      </c>
      <c r="H56" s="109"/>
      <c r="I56" s="130" t="s">
        <v>319</v>
      </c>
      <c r="J56" s="109"/>
      <c r="K56" s="130" t="s">
        <v>320</v>
      </c>
      <c r="L56" s="109"/>
      <c r="M56" s="131"/>
      <c r="N56" s="131" t="s">
        <v>283</v>
      </c>
    </row>
    <row r="57" spans="1:14">
      <c r="A57" s="105"/>
      <c r="B57" s="105"/>
      <c r="C57" s="105"/>
      <c r="D57" s="105"/>
      <c r="E57" s="105"/>
      <c r="F57" s="105"/>
      <c r="G57" s="105"/>
      <c r="H57" s="105"/>
      <c r="I57" s="105"/>
      <c r="J57" s="105"/>
      <c r="K57" s="105"/>
      <c r="L57" s="105"/>
      <c r="M57" s="105"/>
      <c r="N57" s="105"/>
    </row>
    <row r="58" spans="1:14">
      <c r="A58" s="94" t="s">
        <v>72</v>
      </c>
      <c r="B58" s="123"/>
      <c r="C58" s="124"/>
      <c r="D58" s="107" t="str">
        <f>$A$1</f>
        <v>Experiencia de Usuario</v>
      </c>
      <c r="E58" s="108"/>
      <c r="F58" s="108"/>
      <c r="G58" s="108"/>
      <c r="H58" s="108"/>
      <c r="I58" s="108"/>
      <c r="J58" s="108"/>
      <c r="K58" s="108"/>
      <c r="L58" s="108"/>
      <c r="M58" s="108"/>
      <c r="N58" s="109"/>
    </row>
    <row r="59" spans="1:14">
      <c r="A59" s="95" t="s">
        <v>73</v>
      </c>
      <c r="B59" s="106"/>
      <c r="C59" s="125"/>
      <c r="D59" s="112" t="s">
        <v>47</v>
      </c>
      <c r="E59" s="108"/>
      <c r="F59" s="108"/>
      <c r="G59" s="108"/>
      <c r="H59" s="108"/>
      <c r="I59" s="108"/>
      <c r="J59" s="108"/>
      <c r="K59" s="108"/>
      <c r="L59" s="108"/>
      <c r="M59" s="108"/>
      <c r="N59" s="109"/>
    </row>
    <row r="60" spans="1:14">
      <c r="A60" s="93" t="s">
        <v>74</v>
      </c>
      <c r="B60" s="110"/>
      <c r="C60" s="126"/>
      <c r="D60" s="107" t="s">
        <v>321</v>
      </c>
      <c r="E60" s="108"/>
      <c r="F60" s="108"/>
      <c r="G60" s="108"/>
      <c r="H60" s="108"/>
      <c r="I60" s="108"/>
      <c r="J60" s="108"/>
      <c r="K60" s="108"/>
      <c r="L60" s="108"/>
      <c r="M60" s="108"/>
      <c r="N60" s="109"/>
    </row>
    <row r="61" spans="1:14">
      <c r="A61" s="93" t="s">
        <v>76</v>
      </c>
      <c r="B61" s="110"/>
      <c r="C61" s="126"/>
      <c r="D61" s="107" t="s">
        <v>322</v>
      </c>
      <c r="E61" s="108"/>
      <c r="F61" s="108"/>
      <c r="G61" s="108"/>
      <c r="H61" s="108"/>
      <c r="I61" s="108"/>
      <c r="J61" s="108"/>
      <c r="K61" s="108"/>
      <c r="L61" s="108"/>
      <c r="M61" s="108"/>
      <c r="N61" s="109"/>
    </row>
    <row r="62" spans="1:14">
      <c r="A62" s="93" t="s">
        <v>78</v>
      </c>
      <c r="B62" s="110"/>
      <c r="C62" s="126"/>
      <c r="D62" s="107" t="s">
        <v>103</v>
      </c>
      <c r="E62" s="108"/>
      <c r="F62" s="108"/>
      <c r="G62" s="108"/>
      <c r="H62" s="108"/>
      <c r="I62" s="108"/>
      <c r="J62" s="108"/>
      <c r="K62" s="108"/>
      <c r="L62" s="108"/>
      <c r="M62" s="108"/>
      <c r="N62" s="109"/>
    </row>
    <row r="63" spans="1:14">
      <c r="A63" s="90" t="s">
        <v>151</v>
      </c>
      <c r="B63" s="127"/>
      <c r="C63" s="128"/>
      <c r="D63" s="129" t="s">
        <v>323</v>
      </c>
      <c r="E63" s="120"/>
      <c r="F63" s="120"/>
      <c r="G63" s="120"/>
      <c r="H63" s="120"/>
      <c r="I63" s="120"/>
      <c r="J63" s="120"/>
      <c r="K63" s="120"/>
      <c r="L63" s="120"/>
      <c r="M63" s="120"/>
      <c r="N63" s="121"/>
    </row>
    <row r="64" spans="1:14" ht="30" customHeight="1">
      <c r="A64" s="92" t="s">
        <v>82</v>
      </c>
      <c r="B64" s="108"/>
      <c r="C64" s="109"/>
      <c r="D64" s="112" t="s">
        <v>324</v>
      </c>
      <c r="E64" s="108"/>
      <c r="F64" s="108"/>
      <c r="G64" s="108"/>
      <c r="H64" s="108"/>
      <c r="I64" s="108"/>
      <c r="J64" s="108"/>
      <c r="K64" s="108"/>
      <c r="L64" s="108"/>
      <c r="M64" s="108"/>
      <c r="N64" s="109"/>
    </row>
    <row r="65" spans="1:14">
      <c r="A65" s="92" t="s">
        <v>84</v>
      </c>
      <c r="B65" s="108"/>
      <c r="C65" s="109"/>
      <c r="D65" s="112" t="s">
        <v>325</v>
      </c>
      <c r="E65" s="108"/>
      <c r="F65" s="108"/>
      <c r="G65" s="108"/>
      <c r="H65" s="108"/>
      <c r="I65" s="108"/>
      <c r="J65" s="108"/>
      <c r="K65" s="108"/>
      <c r="L65" s="108"/>
      <c r="M65" s="108"/>
      <c r="N65" s="109"/>
    </row>
    <row r="66" spans="1:14" ht="32.1" customHeight="1">
      <c r="A66" s="91" t="s">
        <v>86</v>
      </c>
      <c r="B66" s="109"/>
      <c r="C66" s="91" t="s">
        <v>87</v>
      </c>
      <c r="D66" s="109"/>
      <c r="E66" s="91" t="s">
        <v>88</v>
      </c>
      <c r="F66" s="109"/>
      <c r="G66" s="91" t="s">
        <v>89</v>
      </c>
      <c r="H66" s="109"/>
      <c r="I66" s="91" t="s">
        <v>90</v>
      </c>
      <c r="J66" s="109"/>
      <c r="K66" s="91" t="s">
        <v>91</v>
      </c>
      <c r="L66" s="109"/>
      <c r="M66" s="45" t="s">
        <v>92</v>
      </c>
      <c r="N66" s="46" t="s">
        <v>93</v>
      </c>
    </row>
    <row r="67" spans="1:14" ht="60.75" customHeight="1">
      <c r="A67" s="130" t="s">
        <v>326</v>
      </c>
      <c r="B67" s="109"/>
      <c r="C67" s="130" t="s">
        <v>327</v>
      </c>
      <c r="D67" s="109"/>
      <c r="E67" s="130" t="s">
        <v>129</v>
      </c>
      <c r="F67" s="109"/>
      <c r="G67" s="130" t="s">
        <v>97</v>
      </c>
      <c r="H67" s="109"/>
      <c r="I67" s="130" t="s">
        <v>328</v>
      </c>
      <c r="J67" s="109"/>
      <c r="K67" s="130" t="s">
        <v>329</v>
      </c>
      <c r="L67" s="109"/>
      <c r="M67" s="131"/>
      <c r="N67" s="131" t="s">
        <v>293</v>
      </c>
    </row>
    <row r="68" spans="1:14">
      <c r="A68" s="105"/>
      <c r="B68" s="105"/>
      <c r="C68" s="105"/>
      <c r="D68" s="105"/>
      <c r="E68" s="105"/>
      <c r="F68" s="105"/>
      <c r="G68" s="105"/>
      <c r="H68" s="105"/>
      <c r="I68" s="105"/>
      <c r="J68" s="105"/>
      <c r="K68" s="105"/>
      <c r="L68" s="105"/>
      <c r="M68" s="105"/>
      <c r="N68" s="105"/>
    </row>
    <row r="69" spans="1:14">
      <c r="A69" s="94" t="s">
        <v>72</v>
      </c>
      <c r="B69" s="123"/>
      <c r="C69" s="124"/>
      <c r="D69" s="107" t="str">
        <f>$A$1</f>
        <v>Experiencia de Usuario</v>
      </c>
      <c r="E69" s="108"/>
      <c r="F69" s="108"/>
      <c r="G69" s="108"/>
      <c r="H69" s="108"/>
      <c r="I69" s="108"/>
      <c r="J69" s="108"/>
      <c r="K69" s="108"/>
      <c r="L69" s="108"/>
      <c r="M69" s="108"/>
      <c r="N69" s="109"/>
    </row>
    <row r="70" spans="1:14" ht="19.5" customHeight="1">
      <c r="A70" s="95" t="s">
        <v>73</v>
      </c>
      <c r="B70" s="106"/>
      <c r="C70" s="125"/>
      <c r="D70" s="112" t="s">
        <v>48</v>
      </c>
      <c r="E70" s="108"/>
      <c r="F70" s="108"/>
      <c r="G70" s="108"/>
      <c r="H70" s="108"/>
      <c r="I70" s="108"/>
      <c r="J70" s="108"/>
      <c r="K70" s="108"/>
      <c r="L70" s="108"/>
      <c r="M70" s="108"/>
      <c r="N70" s="109"/>
    </row>
    <row r="71" spans="1:14">
      <c r="A71" s="93" t="s">
        <v>74</v>
      </c>
      <c r="B71" s="110"/>
      <c r="C71" s="126"/>
      <c r="D71" s="107" t="s">
        <v>330</v>
      </c>
      <c r="E71" s="108"/>
      <c r="F71" s="108"/>
      <c r="G71" s="108"/>
      <c r="H71" s="108"/>
      <c r="I71" s="108"/>
      <c r="J71" s="108"/>
      <c r="K71" s="108"/>
      <c r="L71" s="108"/>
      <c r="M71" s="108"/>
      <c r="N71" s="109"/>
    </row>
    <row r="72" spans="1:14">
      <c r="A72" s="93" t="s">
        <v>76</v>
      </c>
      <c r="B72" s="110"/>
      <c r="C72" s="126"/>
      <c r="D72" s="107" t="s">
        <v>331</v>
      </c>
      <c r="E72" s="108"/>
      <c r="F72" s="108"/>
      <c r="G72" s="108"/>
      <c r="H72" s="108"/>
      <c r="I72" s="108"/>
      <c r="J72" s="108"/>
      <c r="K72" s="108"/>
      <c r="L72" s="108"/>
      <c r="M72" s="108"/>
      <c r="N72" s="109"/>
    </row>
    <row r="73" spans="1:14">
      <c r="A73" s="93" t="s">
        <v>78</v>
      </c>
      <c r="B73" s="110"/>
      <c r="C73" s="126"/>
      <c r="D73" s="107" t="s">
        <v>79</v>
      </c>
      <c r="E73" s="108"/>
      <c r="F73" s="108"/>
      <c r="G73" s="108"/>
      <c r="H73" s="108"/>
      <c r="I73" s="108"/>
      <c r="J73" s="108"/>
      <c r="K73" s="108"/>
      <c r="L73" s="108"/>
      <c r="M73" s="108"/>
      <c r="N73" s="109"/>
    </row>
    <row r="74" spans="1:14" ht="18" customHeight="1">
      <c r="A74" s="90" t="s">
        <v>151</v>
      </c>
      <c r="B74" s="127"/>
      <c r="C74" s="128"/>
      <c r="D74" s="129" t="s">
        <v>332</v>
      </c>
      <c r="E74" s="120"/>
      <c r="F74" s="120"/>
      <c r="G74" s="120"/>
      <c r="H74" s="120"/>
      <c r="I74" s="120"/>
      <c r="J74" s="120"/>
      <c r="K74" s="120"/>
      <c r="L74" s="120"/>
      <c r="M74" s="120"/>
      <c r="N74" s="121"/>
    </row>
    <row r="75" spans="1:14" ht="30" customHeight="1">
      <c r="A75" s="92" t="s">
        <v>82</v>
      </c>
      <c r="B75" s="108"/>
      <c r="C75" s="109"/>
      <c r="D75" s="112" t="s">
        <v>333</v>
      </c>
      <c r="E75" s="108"/>
      <c r="F75" s="108"/>
      <c r="G75" s="108"/>
      <c r="H75" s="108"/>
      <c r="I75" s="108"/>
      <c r="J75" s="108"/>
      <c r="K75" s="108"/>
      <c r="L75" s="108"/>
      <c r="M75" s="108"/>
      <c r="N75" s="109"/>
    </row>
    <row r="76" spans="1:14">
      <c r="A76" s="92" t="s">
        <v>84</v>
      </c>
      <c r="B76" s="108"/>
      <c r="C76" s="109"/>
      <c r="D76" s="112" t="s">
        <v>334</v>
      </c>
      <c r="E76" s="108"/>
      <c r="F76" s="108"/>
      <c r="G76" s="108"/>
      <c r="H76" s="108"/>
      <c r="I76" s="108"/>
      <c r="J76" s="108"/>
      <c r="K76" s="108"/>
      <c r="L76" s="108"/>
      <c r="M76" s="108"/>
      <c r="N76" s="109"/>
    </row>
    <row r="77" spans="1:14" ht="32.1" customHeight="1">
      <c r="A77" s="91" t="s">
        <v>86</v>
      </c>
      <c r="B77" s="109"/>
      <c r="C77" s="91" t="s">
        <v>87</v>
      </c>
      <c r="D77" s="109"/>
      <c r="E77" s="91" t="s">
        <v>88</v>
      </c>
      <c r="F77" s="109"/>
      <c r="G77" s="91" t="s">
        <v>89</v>
      </c>
      <c r="H77" s="109"/>
      <c r="I77" s="91" t="s">
        <v>90</v>
      </c>
      <c r="J77" s="109"/>
      <c r="K77" s="91" t="s">
        <v>91</v>
      </c>
      <c r="L77" s="109"/>
      <c r="M77" s="45" t="s">
        <v>92</v>
      </c>
      <c r="N77" s="46" t="s">
        <v>93</v>
      </c>
    </row>
    <row r="78" spans="1:14" ht="80.25" customHeight="1">
      <c r="A78" s="130" t="s">
        <v>317</v>
      </c>
      <c r="B78" s="109"/>
      <c r="C78" s="130" t="s">
        <v>335</v>
      </c>
      <c r="D78" s="109"/>
      <c r="E78" s="130" t="s">
        <v>129</v>
      </c>
      <c r="F78" s="109"/>
      <c r="G78" s="130" t="s">
        <v>97</v>
      </c>
      <c r="H78" s="109"/>
      <c r="I78" s="130" t="s">
        <v>336</v>
      </c>
      <c r="J78" s="109"/>
      <c r="K78" s="130" t="s">
        <v>337</v>
      </c>
      <c r="L78" s="109"/>
      <c r="M78" s="131"/>
      <c r="N78" s="131" t="s">
        <v>283</v>
      </c>
    </row>
    <row r="79" spans="1:14">
      <c r="A79" s="105"/>
      <c r="B79" s="105"/>
      <c r="C79" s="105"/>
      <c r="D79" s="105"/>
      <c r="E79" s="105"/>
      <c r="F79" s="105"/>
      <c r="G79" s="105"/>
      <c r="H79" s="105"/>
      <c r="I79" s="105"/>
      <c r="J79" s="105"/>
      <c r="K79" s="105"/>
      <c r="L79" s="105"/>
      <c r="M79" s="105"/>
      <c r="N79" s="105"/>
    </row>
    <row r="80" spans="1:14">
      <c r="A80" s="94" t="s">
        <v>72</v>
      </c>
      <c r="B80" s="123"/>
      <c r="C80" s="124"/>
      <c r="D80" s="107" t="str">
        <f>$A$1</f>
        <v>Experiencia de Usuario</v>
      </c>
      <c r="E80" s="108"/>
      <c r="F80" s="108"/>
      <c r="G80" s="108"/>
      <c r="H80" s="108"/>
      <c r="I80" s="108"/>
      <c r="J80" s="108"/>
      <c r="K80" s="108"/>
      <c r="L80" s="108"/>
      <c r="M80" s="108"/>
      <c r="N80" s="109"/>
    </row>
    <row r="81" spans="1:14" ht="18" customHeight="1">
      <c r="A81" s="95" t="s">
        <v>73</v>
      </c>
      <c r="B81" s="106"/>
      <c r="C81" s="125"/>
      <c r="D81" s="112" t="s">
        <v>48</v>
      </c>
      <c r="E81" s="108"/>
      <c r="F81" s="108"/>
      <c r="G81" s="108"/>
      <c r="H81" s="108"/>
      <c r="I81" s="108"/>
      <c r="J81" s="108"/>
      <c r="K81" s="108"/>
      <c r="L81" s="108"/>
      <c r="M81" s="108"/>
      <c r="N81" s="109"/>
    </row>
    <row r="82" spans="1:14">
      <c r="A82" s="93" t="s">
        <v>74</v>
      </c>
      <c r="B82" s="110"/>
      <c r="C82" s="126"/>
      <c r="D82" s="107" t="s">
        <v>338</v>
      </c>
      <c r="E82" s="108"/>
      <c r="F82" s="108"/>
      <c r="G82" s="108"/>
      <c r="H82" s="108"/>
      <c r="I82" s="108"/>
      <c r="J82" s="108"/>
      <c r="K82" s="108"/>
      <c r="L82" s="108"/>
      <c r="M82" s="108"/>
      <c r="N82" s="109"/>
    </row>
    <row r="83" spans="1:14">
      <c r="A83" s="93" t="s">
        <v>76</v>
      </c>
      <c r="B83" s="110"/>
      <c r="C83" s="126"/>
      <c r="D83" s="107" t="s">
        <v>339</v>
      </c>
      <c r="E83" s="108"/>
      <c r="F83" s="108"/>
      <c r="G83" s="108"/>
      <c r="H83" s="108"/>
      <c r="I83" s="108"/>
      <c r="J83" s="108"/>
      <c r="K83" s="108"/>
      <c r="L83" s="108"/>
      <c r="M83" s="108"/>
      <c r="N83" s="109"/>
    </row>
    <row r="84" spans="1:14">
      <c r="A84" s="93" t="s">
        <v>78</v>
      </c>
      <c r="B84" s="110"/>
      <c r="C84" s="126"/>
      <c r="D84" s="107" t="s">
        <v>103</v>
      </c>
      <c r="E84" s="108"/>
      <c r="F84" s="108"/>
      <c r="G84" s="108"/>
      <c r="H84" s="108"/>
      <c r="I84" s="108"/>
      <c r="J84" s="108"/>
      <c r="K84" s="108"/>
      <c r="L84" s="108"/>
      <c r="M84" s="108"/>
      <c r="N84" s="109"/>
    </row>
    <row r="85" spans="1:14">
      <c r="A85" s="90" t="s">
        <v>151</v>
      </c>
      <c r="B85" s="127"/>
      <c r="C85" s="128"/>
      <c r="D85" s="129" t="s">
        <v>340</v>
      </c>
      <c r="E85" s="120"/>
      <c r="F85" s="120"/>
      <c r="G85" s="120"/>
      <c r="H85" s="120"/>
      <c r="I85" s="120"/>
      <c r="J85" s="120"/>
      <c r="K85" s="120"/>
      <c r="L85" s="120"/>
      <c r="M85" s="120"/>
      <c r="N85" s="121"/>
    </row>
    <row r="86" spans="1:14" ht="46.5" customHeight="1">
      <c r="A86" s="92" t="s">
        <v>82</v>
      </c>
      <c r="B86" s="108"/>
      <c r="C86" s="109"/>
      <c r="D86" s="112" t="s">
        <v>341</v>
      </c>
      <c r="E86" s="108"/>
      <c r="F86" s="108"/>
      <c r="G86" s="108"/>
      <c r="H86" s="108"/>
      <c r="I86" s="108"/>
      <c r="J86" s="108"/>
      <c r="K86" s="108"/>
      <c r="L86" s="108"/>
      <c r="M86" s="108"/>
      <c r="N86" s="109"/>
    </row>
    <row r="87" spans="1:14">
      <c r="A87" s="92" t="s">
        <v>84</v>
      </c>
      <c r="B87" s="108"/>
      <c r="C87" s="109"/>
      <c r="D87" s="112" t="s">
        <v>342</v>
      </c>
      <c r="E87" s="108"/>
      <c r="F87" s="108"/>
      <c r="G87" s="108"/>
      <c r="H87" s="108"/>
      <c r="I87" s="108"/>
      <c r="J87" s="108"/>
      <c r="K87" s="108"/>
      <c r="L87" s="108"/>
      <c r="M87" s="108"/>
      <c r="N87" s="109"/>
    </row>
    <row r="88" spans="1:14" ht="32.1" customHeight="1">
      <c r="A88" s="91" t="s">
        <v>86</v>
      </c>
      <c r="B88" s="109"/>
      <c r="C88" s="91" t="s">
        <v>87</v>
      </c>
      <c r="D88" s="109"/>
      <c r="E88" s="91" t="s">
        <v>88</v>
      </c>
      <c r="F88" s="109"/>
      <c r="G88" s="91" t="s">
        <v>89</v>
      </c>
      <c r="H88" s="109"/>
      <c r="I88" s="91" t="s">
        <v>90</v>
      </c>
      <c r="J88" s="109"/>
      <c r="K88" s="91" t="s">
        <v>91</v>
      </c>
      <c r="L88" s="109"/>
      <c r="M88" s="45" t="s">
        <v>92</v>
      </c>
      <c r="N88" s="46" t="s">
        <v>93</v>
      </c>
    </row>
    <row r="89" spans="1:14" ht="66" customHeight="1">
      <c r="A89" s="130" t="s">
        <v>343</v>
      </c>
      <c r="B89" s="109"/>
      <c r="C89" s="130" t="s">
        <v>344</v>
      </c>
      <c r="D89" s="109"/>
      <c r="E89" s="130" t="s">
        <v>129</v>
      </c>
      <c r="F89" s="109"/>
      <c r="G89" s="130" t="s">
        <v>97</v>
      </c>
      <c r="H89" s="109"/>
      <c r="I89" s="130" t="s">
        <v>345</v>
      </c>
      <c r="J89" s="109"/>
      <c r="K89" s="130" t="s">
        <v>346</v>
      </c>
      <c r="L89" s="109"/>
      <c r="M89" s="131"/>
      <c r="N89" s="131" t="s">
        <v>293</v>
      </c>
    </row>
    <row r="90" spans="1:14">
      <c r="A90" s="105"/>
      <c r="B90" s="105"/>
      <c r="C90" s="105"/>
      <c r="D90" s="105"/>
      <c r="E90" s="105"/>
      <c r="F90" s="105"/>
      <c r="G90" s="105"/>
      <c r="H90" s="105"/>
      <c r="I90" s="105"/>
      <c r="J90" s="105"/>
      <c r="K90" s="105"/>
      <c r="L90" s="105"/>
      <c r="M90" s="105"/>
      <c r="N90" s="105"/>
    </row>
    <row r="91" spans="1:14">
      <c r="A91" s="94" t="s">
        <v>72</v>
      </c>
      <c r="B91" s="123"/>
      <c r="C91" s="124"/>
      <c r="D91" s="107" t="str">
        <f>$A$1</f>
        <v>Experiencia de Usuario</v>
      </c>
      <c r="E91" s="108"/>
      <c r="F91" s="108"/>
      <c r="G91" s="108"/>
      <c r="H91" s="108"/>
      <c r="I91" s="108"/>
      <c r="J91" s="108"/>
      <c r="K91" s="108"/>
      <c r="L91" s="108"/>
      <c r="M91" s="108"/>
      <c r="N91" s="109"/>
    </row>
    <row r="92" spans="1:14" ht="18.75" customHeight="1">
      <c r="A92" s="95" t="s">
        <v>73</v>
      </c>
      <c r="B92" s="106"/>
      <c r="C92" s="125"/>
      <c r="D92" s="112" t="s">
        <v>49</v>
      </c>
      <c r="E92" s="108"/>
      <c r="F92" s="108"/>
      <c r="G92" s="108"/>
      <c r="H92" s="108"/>
      <c r="I92" s="108"/>
      <c r="J92" s="108"/>
      <c r="K92" s="108"/>
      <c r="L92" s="108"/>
      <c r="M92" s="108"/>
      <c r="N92" s="109"/>
    </row>
    <row r="93" spans="1:14">
      <c r="A93" s="93" t="s">
        <v>74</v>
      </c>
      <c r="B93" s="110"/>
      <c r="C93" s="126"/>
      <c r="D93" s="107" t="s">
        <v>347</v>
      </c>
      <c r="E93" s="108"/>
      <c r="F93" s="108"/>
      <c r="G93" s="108"/>
      <c r="H93" s="108"/>
      <c r="I93" s="108"/>
      <c r="J93" s="108"/>
      <c r="K93" s="108"/>
      <c r="L93" s="108"/>
      <c r="M93" s="108"/>
      <c r="N93" s="109"/>
    </row>
    <row r="94" spans="1:14">
      <c r="A94" s="93" t="s">
        <v>76</v>
      </c>
      <c r="B94" s="110"/>
      <c r="C94" s="126"/>
      <c r="D94" s="107" t="s">
        <v>348</v>
      </c>
      <c r="E94" s="108"/>
      <c r="F94" s="108"/>
      <c r="G94" s="108"/>
      <c r="H94" s="108"/>
      <c r="I94" s="108"/>
      <c r="J94" s="108"/>
      <c r="K94" s="108"/>
      <c r="L94" s="108"/>
      <c r="M94" s="108"/>
      <c r="N94" s="109"/>
    </row>
    <row r="95" spans="1:14">
      <c r="A95" s="93" t="s">
        <v>78</v>
      </c>
      <c r="B95" s="110"/>
      <c r="C95" s="126"/>
      <c r="D95" s="107" t="s">
        <v>79</v>
      </c>
      <c r="E95" s="108"/>
      <c r="F95" s="108"/>
      <c r="G95" s="108"/>
      <c r="H95" s="108"/>
      <c r="I95" s="108"/>
      <c r="J95" s="108"/>
      <c r="K95" s="108"/>
      <c r="L95" s="108"/>
      <c r="M95" s="108"/>
      <c r="N95" s="109"/>
    </row>
    <row r="96" spans="1:14">
      <c r="A96" s="90" t="s">
        <v>151</v>
      </c>
      <c r="B96" s="127"/>
      <c r="C96" s="128"/>
      <c r="D96" s="129" t="s">
        <v>349</v>
      </c>
      <c r="E96" s="120"/>
      <c r="F96" s="120"/>
      <c r="G96" s="120"/>
      <c r="H96" s="120"/>
      <c r="I96" s="120"/>
      <c r="J96" s="120"/>
      <c r="K96" s="120"/>
      <c r="L96" s="120"/>
      <c r="M96" s="120"/>
      <c r="N96" s="121"/>
    </row>
    <row r="97" spans="1:14" ht="32.25" customHeight="1">
      <c r="A97" s="92" t="s">
        <v>82</v>
      </c>
      <c r="B97" s="108"/>
      <c r="C97" s="109"/>
      <c r="D97" s="112" t="s">
        <v>350</v>
      </c>
      <c r="E97" s="108"/>
      <c r="F97" s="108"/>
      <c r="G97" s="108"/>
      <c r="H97" s="108"/>
      <c r="I97" s="108"/>
      <c r="J97" s="108"/>
      <c r="K97" s="108"/>
      <c r="L97" s="108"/>
      <c r="M97" s="108"/>
      <c r="N97" s="109"/>
    </row>
    <row r="98" spans="1:14">
      <c r="A98" s="92" t="s">
        <v>84</v>
      </c>
      <c r="B98" s="108"/>
      <c r="C98" s="109"/>
      <c r="D98" s="112" t="s">
        <v>351</v>
      </c>
      <c r="E98" s="108"/>
      <c r="F98" s="108"/>
      <c r="G98" s="108"/>
      <c r="H98" s="108"/>
      <c r="I98" s="108"/>
      <c r="J98" s="108"/>
      <c r="K98" s="108"/>
      <c r="L98" s="108"/>
      <c r="M98" s="108"/>
      <c r="N98" s="109"/>
    </row>
    <row r="99" spans="1:14" ht="32.1" customHeight="1">
      <c r="A99" s="91" t="s">
        <v>86</v>
      </c>
      <c r="B99" s="109"/>
      <c r="C99" s="91" t="s">
        <v>87</v>
      </c>
      <c r="D99" s="109"/>
      <c r="E99" s="91" t="s">
        <v>88</v>
      </c>
      <c r="F99" s="109"/>
      <c r="G99" s="91" t="s">
        <v>89</v>
      </c>
      <c r="H99" s="109"/>
      <c r="I99" s="91" t="s">
        <v>90</v>
      </c>
      <c r="J99" s="109"/>
      <c r="K99" s="91" t="s">
        <v>91</v>
      </c>
      <c r="L99" s="109"/>
      <c r="M99" s="45" t="s">
        <v>92</v>
      </c>
      <c r="N99" s="46" t="s">
        <v>93</v>
      </c>
    </row>
    <row r="100" spans="1:14" ht="80.25" customHeight="1">
      <c r="A100" s="130" t="s">
        <v>352</v>
      </c>
      <c r="B100" s="109"/>
      <c r="C100" s="130" t="s">
        <v>353</v>
      </c>
      <c r="D100" s="109"/>
      <c r="E100" s="130" t="s">
        <v>129</v>
      </c>
      <c r="F100" s="109"/>
      <c r="G100" s="130" t="s">
        <v>97</v>
      </c>
      <c r="H100" s="109"/>
      <c r="I100" s="130" t="s">
        <v>354</v>
      </c>
      <c r="J100" s="109"/>
      <c r="K100" s="130" t="s">
        <v>355</v>
      </c>
      <c r="L100" s="109"/>
      <c r="M100" s="131"/>
      <c r="N100" s="131" t="s">
        <v>283</v>
      </c>
    </row>
    <row r="101" spans="1:14">
      <c r="A101" s="105"/>
      <c r="B101" s="105"/>
      <c r="C101" s="105"/>
      <c r="D101" s="105"/>
      <c r="E101" s="105"/>
      <c r="F101" s="105"/>
      <c r="G101" s="105"/>
      <c r="H101" s="105"/>
      <c r="I101" s="105"/>
      <c r="J101" s="105"/>
      <c r="K101" s="105"/>
      <c r="L101" s="105"/>
      <c r="M101" s="105"/>
      <c r="N101" s="105"/>
    </row>
    <row r="102" spans="1:14">
      <c r="A102" s="94" t="s">
        <v>72</v>
      </c>
      <c r="B102" s="123"/>
      <c r="C102" s="124"/>
      <c r="D102" s="107" t="str">
        <f>$A$1</f>
        <v>Experiencia de Usuario</v>
      </c>
      <c r="E102" s="108"/>
      <c r="F102" s="108"/>
      <c r="G102" s="108"/>
      <c r="H102" s="108"/>
      <c r="I102" s="108"/>
      <c r="J102" s="108"/>
      <c r="K102" s="108"/>
      <c r="L102" s="108"/>
      <c r="M102" s="108"/>
      <c r="N102" s="109"/>
    </row>
    <row r="103" spans="1:14" ht="18" customHeight="1">
      <c r="A103" s="95" t="s">
        <v>73</v>
      </c>
      <c r="B103" s="106"/>
      <c r="C103" s="125"/>
      <c r="D103" s="112" t="s">
        <v>49</v>
      </c>
      <c r="E103" s="108"/>
      <c r="F103" s="108"/>
      <c r="G103" s="108"/>
      <c r="H103" s="108"/>
      <c r="I103" s="108"/>
      <c r="J103" s="108"/>
      <c r="K103" s="108"/>
      <c r="L103" s="108"/>
      <c r="M103" s="108"/>
      <c r="N103" s="109"/>
    </row>
    <row r="104" spans="1:14">
      <c r="A104" s="93" t="s">
        <v>74</v>
      </c>
      <c r="B104" s="110"/>
      <c r="C104" s="126"/>
      <c r="D104" s="107" t="s">
        <v>356</v>
      </c>
      <c r="E104" s="108"/>
      <c r="F104" s="108"/>
      <c r="G104" s="108"/>
      <c r="H104" s="108"/>
      <c r="I104" s="108"/>
      <c r="J104" s="108"/>
      <c r="K104" s="108"/>
      <c r="L104" s="108"/>
      <c r="M104" s="108"/>
      <c r="N104" s="109"/>
    </row>
    <row r="105" spans="1:14">
      <c r="A105" s="93" t="s">
        <v>76</v>
      </c>
      <c r="B105" s="110"/>
      <c r="C105" s="126"/>
      <c r="D105" s="107" t="s">
        <v>357</v>
      </c>
      <c r="E105" s="108"/>
      <c r="F105" s="108"/>
      <c r="G105" s="108"/>
      <c r="H105" s="108"/>
      <c r="I105" s="108"/>
      <c r="J105" s="108"/>
      <c r="K105" s="108"/>
      <c r="L105" s="108"/>
      <c r="M105" s="108"/>
      <c r="N105" s="109"/>
    </row>
    <row r="106" spans="1:14">
      <c r="A106" s="93" t="s">
        <v>78</v>
      </c>
      <c r="B106" s="110"/>
      <c r="C106" s="126"/>
      <c r="D106" s="107" t="s">
        <v>103</v>
      </c>
      <c r="E106" s="108"/>
      <c r="F106" s="108"/>
      <c r="G106" s="108"/>
      <c r="H106" s="108"/>
      <c r="I106" s="108"/>
      <c r="J106" s="108"/>
      <c r="K106" s="108"/>
      <c r="L106" s="108"/>
      <c r="M106" s="108"/>
      <c r="N106" s="109"/>
    </row>
    <row r="107" spans="1:14">
      <c r="A107" s="90" t="s">
        <v>151</v>
      </c>
      <c r="B107" s="127"/>
      <c r="C107" s="128"/>
      <c r="D107" s="129" t="s">
        <v>358</v>
      </c>
      <c r="E107" s="120"/>
      <c r="F107" s="120"/>
      <c r="G107" s="120"/>
      <c r="H107" s="120"/>
      <c r="I107" s="120"/>
      <c r="J107" s="120"/>
      <c r="K107" s="120"/>
      <c r="L107" s="120"/>
      <c r="M107" s="120"/>
      <c r="N107" s="121"/>
    </row>
    <row r="108" spans="1:14" ht="30.75" customHeight="1">
      <c r="A108" s="92" t="s">
        <v>82</v>
      </c>
      <c r="B108" s="108"/>
      <c r="C108" s="109"/>
      <c r="D108" s="112" t="s">
        <v>359</v>
      </c>
      <c r="E108" s="108"/>
      <c r="F108" s="108"/>
      <c r="G108" s="108"/>
      <c r="H108" s="108"/>
      <c r="I108" s="108"/>
      <c r="J108" s="108"/>
      <c r="K108" s="108"/>
      <c r="L108" s="108"/>
      <c r="M108" s="108"/>
      <c r="N108" s="109"/>
    </row>
    <row r="109" spans="1:14">
      <c r="A109" s="92" t="s">
        <v>84</v>
      </c>
      <c r="B109" s="108"/>
      <c r="C109" s="109"/>
      <c r="D109" s="112" t="s">
        <v>360</v>
      </c>
      <c r="E109" s="108"/>
      <c r="F109" s="108"/>
      <c r="G109" s="108"/>
      <c r="H109" s="108"/>
      <c r="I109" s="108"/>
      <c r="J109" s="108"/>
      <c r="K109" s="108"/>
      <c r="L109" s="108"/>
      <c r="M109" s="108"/>
      <c r="N109" s="109"/>
    </row>
    <row r="110" spans="1:14" ht="32.1" customHeight="1">
      <c r="A110" s="91" t="s">
        <v>86</v>
      </c>
      <c r="B110" s="109"/>
      <c r="C110" s="91" t="s">
        <v>87</v>
      </c>
      <c r="D110" s="109"/>
      <c r="E110" s="91" t="s">
        <v>88</v>
      </c>
      <c r="F110" s="109"/>
      <c r="G110" s="91" t="s">
        <v>89</v>
      </c>
      <c r="H110" s="109"/>
      <c r="I110" s="91" t="s">
        <v>90</v>
      </c>
      <c r="J110" s="109"/>
      <c r="K110" s="91" t="s">
        <v>91</v>
      </c>
      <c r="L110" s="109"/>
      <c r="M110" s="45" t="s">
        <v>92</v>
      </c>
      <c r="N110" s="46" t="s">
        <v>93</v>
      </c>
    </row>
    <row r="111" spans="1:14" ht="79.5" customHeight="1">
      <c r="A111" s="130" t="s">
        <v>361</v>
      </c>
      <c r="B111" s="109"/>
      <c r="C111" s="130" t="s">
        <v>362</v>
      </c>
      <c r="D111" s="109"/>
      <c r="E111" s="130" t="s">
        <v>129</v>
      </c>
      <c r="F111" s="109"/>
      <c r="G111" s="130" t="s">
        <v>97</v>
      </c>
      <c r="H111" s="109"/>
      <c r="I111" s="130" t="s">
        <v>363</v>
      </c>
      <c r="J111" s="109"/>
      <c r="K111" s="130" t="s">
        <v>364</v>
      </c>
      <c r="L111" s="109"/>
      <c r="M111" s="131"/>
      <c r="N111" s="131" t="s">
        <v>293</v>
      </c>
    </row>
    <row r="112" spans="1:14">
      <c r="A112" s="105"/>
      <c r="B112" s="105"/>
      <c r="C112" s="105"/>
      <c r="D112" s="105"/>
      <c r="E112" s="105"/>
      <c r="F112" s="105"/>
      <c r="G112" s="105"/>
      <c r="H112" s="105"/>
      <c r="I112" s="105"/>
      <c r="J112" s="105"/>
      <c r="K112" s="105"/>
      <c r="L112" s="105"/>
      <c r="M112" s="105"/>
      <c r="N112" s="105"/>
    </row>
    <row r="113" spans="1:14">
      <c r="A113" s="94" t="s">
        <v>72</v>
      </c>
      <c r="B113" s="123"/>
      <c r="C113" s="124"/>
      <c r="D113" s="107" t="str">
        <f>$A$1</f>
        <v>Experiencia de Usuario</v>
      </c>
      <c r="E113" s="108"/>
      <c r="F113" s="108"/>
      <c r="G113" s="108"/>
      <c r="H113" s="108"/>
      <c r="I113" s="108"/>
      <c r="J113" s="108"/>
      <c r="K113" s="108"/>
      <c r="L113" s="108"/>
      <c r="M113" s="108"/>
      <c r="N113" s="109"/>
    </row>
    <row r="114" spans="1:14">
      <c r="A114" s="95" t="s">
        <v>73</v>
      </c>
      <c r="B114" s="106"/>
      <c r="C114" s="125"/>
      <c r="D114" s="112" t="s">
        <v>50</v>
      </c>
      <c r="E114" s="108"/>
      <c r="F114" s="108"/>
      <c r="G114" s="108"/>
      <c r="H114" s="108"/>
      <c r="I114" s="108"/>
      <c r="J114" s="108"/>
      <c r="K114" s="108"/>
      <c r="L114" s="108"/>
      <c r="M114" s="108"/>
      <c r="N114" s="109"/>
    </row>
    <row r="115" spans="1:14">
      <c r="A115" s="93" t="s">
        <v>74</v>
      </c>
      <c r="B115" s="110"/>
      <c r="C115" s="126"/>
      <c r="D115" s="107" t="s">
        <v>365</v>
      </c>
      <c r="E115" s="108"/>
      <c r="F115" s="108"/>
      <c r="G115" s="108"/>
      <c r="H115" s="108"/>
      <c r="I115" s="108"/>
      <c r="J115" s="108"/>
      <c r="K115" s="108"/>
      <c r="L115" s="108"/>
      <c r="M115" s="108"/>
      <c r="N115" s="109"/>
    </row>
    <row r="116" spans="1:14">
      <c r="A116" s="93" t="s">
        <v>76</v>
      </c>
      <c r="B116" s="110"/>
      <c r="C116" s="126"/>
      <c r="D116" s="107" t="s">
        <v>366</v>
      </c>
      <c r="E116" s="108"/>
      <c r="F116" s="108"/>
      <c r="G116" s="108"/>
      <c r="H116" s="108"/>
      <c r="I116" s="108"/>
      <c r="J116" s="108"/>
      <c r="K116" s="108"/>
      <c r="L116" s="108"/>
      <c r="M116" s="108"/>
      <c r="N116" s="109"/>
    </row>
    <row r="117" spans="1:14">
      <c r="A117" s="93" t="s">
        <v>78</v>
      </c>
      <c r="B117" s="110"/>
      <c r="C117" s="126"/>
      <c r="D117" s="107" t="s">
        <v>79</v>
      </c>
      <c r="E117" s="108"/>
      <c r="F117" s="108"/>
      <c r="G117" s="108"/>
      <c r="H117" s="108"/>
      <c r="I117" s="108"/>
      <c r="J117" s="108"/>
      <c r="K117" s="108"/>
      <c r="L117" s="108"/>
      <c r="M117" s="108"/>
      <c r="N117" s="109"/>
    </row>
    <row r="118" spans="1:14">
      <c r="A118" s="90" t="s">
        <v>151</v>
      </c>
      <c r="B118" s="127"/>
      <c r="C118" s="128"/>
      <c r="D118" s="129" t="s">
        <v>367</v>
      </c>
      <c r="E118" s="120"/>
      <c r="F118" s="120"/>
      <c r="G118" s="120"/>
      <c r="H118" s="120"/>
      <c r="I118" s="120"/>
      <c r="J118" s="120"/>
      <c r="K118" s="120"/>
      <c r="L118" s="120"/>
      <c r="M118" s="120"/>
      <c r="N118" s="121"/>
    </row>
    <row r="119" spans="1:14" ht="47.25" customHeight="1">
      <c r="A119" s="92" t="s">
        <v>82</v>
      </c>
      <c r="B119" s="108"/>
      <c r="C119" s="109"/>
      <c r="D119" s="112" t="s">
        <v>368</v>
      </c>
      <c r="E119" s="108"/>
      <c r="F119" s="108"/>
      <c r="G119" s="108"/>
      <c r="H119" s="108"/>
      <c r="I119" s="108"/>
      <c r="J119" s="108"/>
      <c r="K119" s="108"/>
      <c r="L119" s="108"/>
      <c r="M119" s="108"/>
      <c r="N119" s="109"/>
    </row>
    <row r="120" spans="1:14">
      <c r="A120" s="92" t="s">
        <v>84</v>
      </c>
      <c r="B120" s="108"/>
      <c r="C120" s="109"/>
      <c r="D120" s="112" t="s">
        <v>369</v>
      </c>
      <c r="E120" s="108"/>
      <c r="F120" s="108"/>
      <c r="G120" s="108"/>
      <c r="H120" s="108"/>
      <c r="I120" s="108"/>
      <c r="J120" s="108"/>
      <c r="K120" s="108"/>
      <c r="L120" s="108"/>
      <c r="M120" s="108"/>
      <c r="N120" s="109"/>
    </row>
    <row r="121" spans="1:14" ht="32.1" customHeight="1">
      <c r="A121" s="91" t="s">
        <v>86</v>
      </c>
      <c r="B121" s="109"/>
      <c r="C121" s="91" t="s">
        <v>87</v>
      </c>
      <c r="D121" s="109"/>
      <c r="E121" s="91" t="s">
        <v>88</v>
      </c>
      <c r="F121" s="109"/>
      <c r="G121" s="91" t="s">
        <v>89</v>
      </c>
      <c r="H121" s="109"/>
      <c r="I121" s="91" t="s">
        <v>90</v>
      </c>
      <c r="J121" s="109"/>
      <c r="K121" s="91" t="s">
        <v>91</v>
      </c>
      <c r="L121" s="109"/>
      <c r="M121" s="45" t="s">
        <v>92</v>
      </c>
      <c r="N121" s="46" t="s">
        <v>93</v>
      </c>
    </row>
    <row r="122" spans="1:14" ht="78" customHeight="1">
      <c r="A122" s="130" t="s">
        <v>370</v>
      </c>
      <c r="B122" s="109"/>
      <c r="C122" s="130" t="s">
        <v>371</v>
      </c>
      <c r="D122" s="109"/>
      <c r="E122" s="130" t="s">
        <v>129</v>
      </c>
      <c r="F122" s="109"/>
      <c r="G122" s="130" t="s">
        <v>97</v>
      </c>
      <c r="H122" s="109"/>
      <c r="I122" s="130" t="s">
        <v>372</v>
      </c>
      <c r="J122" s="109"/>
      <c r="K122" s="130" t="s">
        <v>373</v>
      </c>
      <c r="L122" s="109"/>
      <c r="M122" s="131"/>
      <c r="N122" s="131" t="s">
        <v>283</v>
      </c>
    </row>
    <row r="123" spans="1:14">
      <c r="A123" s="105"/>
      <c r="B123" s="105"/>
      <c r="C123" s="105"/>
      <c r="D123" s="105"/>
      <c r="E123" s="105"/>
      <c r="F123" s="105"/>
      <c r="G123" s="105"/>
      <c r="H123" s="105"/>
      <c r="I123" s="105"/>
      <c r="J123" s="105"/>
      <c r="K123" s="105"/>
      <c r="L123" s="105"/>
      <c r="M123" s="105"/>
      <c r="N123" s="105"/>
    </row>
    <row r="124" spans="1:14">
      <c r="A124" s="94" t="s">
        <v>72</v>
      </c>
      <c r="B124" s="123"/>
      <c r="C124" s="124"/>
      <c r="D124" s="107" t="str">
        <f>$A$1</f>
        <v>Experiencia de Usuario</v>
      </c>
      <c r="E124" s="108"/>
      <c r="F124" s="108"/>
      <c r="G124" s="108"/>
      <c r="H124" s="108"/>
      <c r="I124" s="108"/>
      <c r="J124" s="108"/>
      <c r="K124" s="108"/>
      <c r="L124" s="108"/>
      <c r="M124" s="108"/>
      <c r="N124" s="109"/>
    </row>
    <row r="125" spans="1:14">
      <c r="A125" s="95" t="s">
        <v>73</v>
      </c>
      <c r="B125" s="106"/>
      <c r="C125" s="125"/>
      <c r="D125" s="112" t="s">
        <v>50</v>
      </c>
      <c r="E125" s="108"/>
      <c r="F125" s="108"/>
      <c r="G125" s="108"/>
      <c r="H125" s="108"/>
      <c r="I125" s="108"/>
      <c r="J125" s="108"/>
      <c r="K125" s="108"/>
      <c r="L125" s="108"/>
      <c r="M125" s="108"/>
      <c r="N125" s="109"/>
    </row>
    <row r="126" spans="1:14">
      <c r="A126" s="93" t="s">
        <v>74</v>
      </c>
      <c r="B126" s="110"/>
      <c r="C126" s="126"/>
      <c r="D126" s="107" t="s">
        <v>374</v>
      </c>
      <c r="E126" s="108"/>
      <c r="F126" s="108"/>
      <c r="G126" s="108"/>
      <c r="H126" s="108"/>
      <c r="I126" s="108"/>
      <c r="J126" s="108"/>
      <c r="K126" s="108"/>
      <c r="L126" s="108"/>
      <c r="M126" s="108"/>
      <c r="N126" s="109"/>
    </row>
    <row r="127" spans="1:14">
      <c r="A127" s="93" t="s">
        <v>76</v>
      </c>
      <c r="B127" s="110"/>
      <c r="C127" s="126"/>
      <c r="D127" s="107" t="s">
        <v>357</v>
      </c>
      <c r="E127" s="108"/>
      <c r="F127" s="108"/>
      <c r="G127" s="108"/>
      <c r="H127" s="108"/>
      <c r="I127" s="108"/>
      <c r="J127" s="108"/>
      <c r="K127" s="108"/>
      <c r="L127" s="108"/>
      <c r="M127" s="108"/>
      <c r="N127" s="109"/>
    </row>
    <row r="128" spans="1:14">
      <c r="A128" s="93" t="s">
        <v>78</v>
      </c>
      <c r="B128" s="110"/>
      <c r="C128" s="126"/>
      <c r="D128" s="107" t="s">
        <v>103</v>
      </c>
      <c r="E128" s="108"/>
      <c r="F128" s="108"/>
      <c r="G128" s="108"/>
      <c r="H128" s="108"/>
      <c r="I128" s="108"/>
      <c r="J128" s="108"/>
      <c r="K128" s="108"/>
      <c r="L128" s="108"/>
      <c r="M128" s="108"/>
      <c r="N128" s="109"/>
    </row>
    <row r="129" spans="1:14">
      <c r="A129" s="90" t="s">
        <v>151</v>
      </c>
      <c r="B129" s="127"/>
      <c r="C129" s="128"/>
      <c r="D129" s="129" t="s">
        <v>375</v>
      </c>
      <c r="E129" s="120"/>
      <c r="F129" s="120"/>
      <c r="G129" s="120"/>
      <c r="H129" s="120"/>
      <c r="I129" s="120"/>
      <c r="J129" s="120"/>
      <c r="K129" s="120"/>
      <c r="L129" s="120"/>
      <c r="M129" s="120"/>
      <c r="N129" s="121"/>
    </row>
    <row r="130" spans="1:14" ht="41.25" customHeight="1">
      <c r="A130" s="92" t="s">
        <v>82</v>
      </c>
      <c r="B130" s="108"/>
      <c r="C130" s="109"/>
      <c r="D130" s="112" t="s">
        <v>376</v>
      </c>
      <c r="E130" s="108"/>
      <c r="F130" s="108"/>
      <c r="G130" s="108"/>
      <c r="H130" s="108"/>
      <c r="I130" s="108"/>
      <c r="J130" s="108"/>
      <c r="K130" s="108"/>
      <c r="L130" s="108"/>
      <c r="M130" s="108"/>
      <c r="N130" s="109"/>
    </row>
    <row r="131" spans="1:14">
      <c r="A131" s="92" t="s">
        <v>84</v>
      </c>
      <c r="B131" s="108"/>
      <c r="C131" s="109"/>
      <c r="D131" s="112" t="s">
        <v>377</v>
      </c>
      <c r="E131" s="108"/>
      <c r="F131" s="108"/>
      <c r="G131" s="108"/>
      <c r="H131" s="108"/>
      <c r="I131" s="108"/>
      <c r="J131" s="108"/>
      <c r="K131" s="108"/>
      <c r="L131" s="108"/>
      <c r="M131" s="108"/>
      <c r="N131" s="109"/>
    </row>
    <row r="132" spans="1:14" ht="32.1" customHeight="1">
      <c r="A132" s="91" t="s">
        <v>86</v>
      </c>
      <c r="B132" s="109"/>
      <c r="C132" s="91" t="s">
        <v>87</v>
      </c>
      <c r="D132" s="109"/>
      <c r="E132" s="91" t="s">
        <v>88</v>
      </c>
      <c r="F132" s="109"/>
      <c r="G132" s="91" t="s">
        <v>89</v>
      </c>
      <c r="H132" s="109"/>
      <c r="I132" s="91" t="s">
        <v>90</v>
      </c>
      <c r="J132" s="109"/>
      <c r="K132" s="91" t="s">
        <v>91</v>
      </c>
      <c r="L132" s="109"/>
      <c r="M132" s="45" t="s">
        <v>92</v>
      </c>
      <c r="N132" s="46" t="s">
        <v>93</v>
      </c>
    </row>
    <row r="133" spans="1:14" ht="61.5" customHeight="1">
      <c r="A133" s="130" t="s">
        <v>378</v>
      </c>
      <c r="B133" s="109"/>
      <c r="C133" s="130" t="s">
        <v>379</v>
      </c>
      <c r="D133" s="109"/>
      <c r="E133" s="130" t="s">
        <v>129</v>
      </c>
      <c r="F133" s="109"/>
      <c r="G133" s="130" t="s">
        <v>97</v>
      </c>
      <c r="H133" s="109"/>
      <c r="I133" s="130" t="s">
        <v>380</v>
      </c>
      <c r="J133" s="109"/>
      <c r="K133" s="130" t="s">
        <v>381</v>
      </c>
      <c r="L133" s="109"/>
      <c r="M133" s="131"/>
      <c r="N133" s="131" t="s">
        <v>293</v>
      </c>
    </row>
    <row r="134" spans="1:14">
      <c r="A134" s="105"/>
      <c r="B134" s="105"/>
      <c r="C134" s="105"/>
      <c r="D134" s="105"/>
      <c r="E134" s="105"/>
      <c r="F134" s="105"/>
      <c r="G134" s="105"/>
      <c r="H134" s="105"/>
      <c r="I134" s="105"/>
      <c r="J134" s="105"/>
      <c r="K134" s="105"/>
      <c r="L134" s="105"/>
      <c r="M134" s="105"/>
      <c r="N134" s="105"/>
    </row>
    <row r="135" spans="1:14">
      <c r="A135" s="94" t="s">
        <v>72</v>
      </c>
      <c r="B135" s="123"/>
      <c r="C135" s="124"/>
      <c r="D135" s="107" t="str">
        <f>$A$1</f>
        <v>Experiencia de Usuario</v>
      </c>
      <c r="E135" s="108"/>
      <c r="F135" s="108"/>
      <c r="G135" s="108"/>
      <c r="H135" s="108"/>
      <c r="I135" s="108"/>
      <c r="J135" s="108"/>
      <c r="K135" s="108"/>
      <c r="L135" s="108"/>
      <c r="M135" s="108"/>
      <c r="N135" s="109"/>
    </row>
    <row r="136" spans="1:14">
      <c r="A136" s="95" t="s">
        <v>73</v>
      </c>
      <c r="B136" s="106"/>
      <c r="C136" s="125"/>
      <c r="D136" s="112" t="s">
        <v>51</v>
      </c>
      <c r="E136" s="108"/>
      <c r="F136" s="108"/>
      <c r="G136" s="108"/>
      <c r="H136" s="108"/>
      <c r="I136" s="108"/>
      <c r="J136" s="108"/>
      <c r="K136" s="108"/>
      <c r="L136" s="108"/>
      <c r="M136" s="108"/>
      <c r="N136" s="109"/>
    </row>
    <row r="137" spans="1:14">
      <c r="A137" s="93" t="s">
        <v>74</v>
      </c>
      <c r="B137" s="110"/>
      <c r="C137" s="126"/>
      <c r="D137" s="107" t="s">
        <v>382</v>
      </c>
      <c r="E137" s="108"/>
      <c r="F137" s="108"/>
      <c r="G137" s="108"/>
      <c r="H137" s="108"/>
      <c r="I137" s="108"/>
      <c r="J137" s="108"/>
      <c r="K137" s="108"/>
      <c r="L137" s="108"/>
      <c r="M137" s="108"/>
      <c r="N137" s="109"/>
    </row>
    <row r="138" spans="1:14">
      <c r="A138" s="93" t="s">
        <v>76</v>
      </c>
      <c r="B138" s="110"/>
      <c r="C138" s="126"/>
      <c r="D138" s="107" t="s">
        <v>383</v>
      </c>
      <c r="E138" s="108"/>
      <c r="F138" s="108"/>
      <c r="G138" s="108"/>
      <c r="H138" s="108"/>
      <c r="I138" s="108"/>
      <c r="J138" s="108"/>
      <c r="K138" s="108"/>
      <c r="L138" s="108"/>
      <c r="M138" s="108"/>
      <c r="N138" s="109"/>
    </row>
    <row r="139" spans="1:14">
      <c r="A139" s="93" t="s">
        <v>78</v>
      </c>
      <c r="B139" s="110"/>
      <c r="C139" s="126"/>
      <c r="D139" s="107" t="s">
        <v>79</v>
      </c>
      <c r="E139" s="108"/>
      <c r="F139" s="108"/>
      <c r="G139" s="108"/>
      <c r="H139" s="108"/>
      <c r="I139" s="108"/>
      <c r="J139" s="108"/>
      <c r="K139" s="108"/>
      <c r="L139" s="108"/>
      <c r="M139" s="108"/>
      <c r="N139" s="109"/>
    </row>
    <row r="140" spans="1:14">
      <c r="A140" s="90" t="s">
        <v>151</v>
      </c>
      <c r="B140" s="127"/>
      <c r="C140" s="128"/>
      <c r="D140" s="129" t="s">
        <v>384</v>
      </c>
      <c r="E140" s="120"/>
      <c r="F140" s="120"/>
      <c r="G140" s="120"/>
      <c r="H140" s="120"/>
      <c r="I140" s="120"/>
      <c r="J140" s="120"/>
      <c r="K140" s="120"/>
      <c r="L140" s="120"/>
      <c r="M140" s="120"/>
      <c r="N140" s="121"/>
    </row>
    <row r="141" spans="1:14" ht="33.75" customHeight="1">
      <c r="A141" s="92" t="s">
        <v>82</v>
      </c>
      <c r="B141" s="108"/>
      <c r="C141" s="109"/>
      <c r="D141" s="112" t="s">
        <v>385</v>
      </c>
      <c r="E141" s="108"/>
      <c r="F141" s="108"/>
      <c r="G141" s="108"/>
      <c r="H141" s="108"/>
      <c r="I141" s="108"/>
      <c r="J141" s="108"/>
      <c r="K141" s="108"/>
      <c r="L141" s="108"/>
      <c r="M141" s="108"/>
      <c r="N141" s="109"/>
    </row>
    <row r="142" spans="1:14" ht="39.75" customHeight="1">
      <c r="A142" s="92" t="s">
        <v>84</v>
      </c>
      <c r="B142" s="108"/>
      <c r="C142" s="109"/>
      <c r="D142" s="112" t="s">
        <v>386</v>
      </c>
      <c r="E142" s="108"/>
      <c r="F142" s="108"/>
      <c r="G142" s="108"/>
      <c r="H142" s="108"/>
      <c r="I142" s="108"/>
      <c r="J142" s="108"/>
      <c r="K142" s="108"/>
      <c r="L142" s="108"/>
      <c r="M142" s="108"/>
      <c r="N142" s="109"/>
    </row>
    <row r="143" spans="1:14" ht="32.1" customHeight="1">
      <c r="A143" s="91" t="s">
        <v>86</v>
      </c>
      <c r="B143" s="109"/>
      <c r="C143" s="91" t="s">
        <v>87</v>
      </c>
      <c r="D143" s="109"/>
      <c r="E143" s="91" t="s">
        <v>88</v>
      </c>
      <c r="F143" s="109"/>
      <c r="G143" s="91" t="s">
        <v>89</v>
      </c>
      <c r="H143" s="109"/>
      <c r="I143" s="91" t="s">
        <v>90</v>
      </c>
      <c r="J143" s="109"/>
      <c r="K143" s="91" t="s">
        <v>91</v>
      </c>
      <c r="L143" s="109"/>
      <c r="M143" s="45" t="s">
        <v>92</v>
      </c>
      <c r="N143" s="46" t="s">
        <v>93</v>
      </c>
    </row>
    <row r="144" spans="1:14" ht="86.25" customHeight="1">
      <c r="A144" s="130" t="s">
        <v>387</v>
      </c>
      <c r="B144" s="109"/>
      <c r="C144" s="130" t="s">
        <v>388</v>
      </c>
      <c r="D144" s="109"/>
      <c r="E144" s="130" t="s">
        <v>129</v>
      </c>
      <c r="F144" s="109"/>
      <c r="G144" s="130" t="s">
        <v>97</v>
      </c>
      <c r="H144" s="109"/>
      <c r="I144" s="130" t="s">
        <v>389</v>
      </c>
      <c r="J144" s="109"/>
      <c r="K144" s="130" t="s">
        <v>390</v>
      </c>
      <c r="L144" s="109"/>
      <c r="M144" s="131"/>
      <c r="N144" s="131" t="s">
        <v>283</v>
      </c>
    </row>
    <row r="145" spans="1:14">
      <c r="A145" s="105"/>
      <c r="B145" s="105"/>
      <c r="C145" s="105"/>
      <c r="D145" s="105"/>
      <c r="E145" s="105"/>
      <c r="F145" s="105"/>
      <c r="G145" s="105"/>
      <c r="H145" s="105"/>
      <c r="I145" s="105"/>
      <c r="J145" s="105"/>
      <c r="K145" s="105"/>
      <c r="L145" s="105"/>
      <c r="M145" s="105"/>
      <c r="N145" s="105"/>
    </row>
    <row r="146" spans="1:14">
      <c r="A146" s="94" t="s">
        <v>72</v>
      </c>
      <c r="B146" s="123"/>
      <c r="C146" s="124"/>
      <c r="D146" s="107" t="str">
        <f>$A$1</f>
        <v>Experiencia de Usuario</v>
      </c>
      <c r="E146" s="108"/>
      <c r="F146" s="108"/>
      <c r="G146" s="108"/>
      <c r="H146" s="108"/>
      <c r="I146" s="108"/>
      <c r="J146" s="108"/>
      <c r="K146" s="108"/>
      <c r="L146" s="108"/>
      <c r="M146" s="108"/>
      <c r="N146" s="109"/>
    </row>
    <row r="147" spans="1:14">
      <c r="A147" s="95" t="s">
        <v>73</v>
      </c>
      <c r="B147" s="106"/>
      <c r="C147" s="125"/>
      <c r="D147" s="112" t="s">
        <v>51</v>
      </c>
      <c r="E147" s="108"/>
      <c r="F147" s="108"/>
      <c r="G147" s="108"/>
      <c r="H147" s="108"/>
      <c r="I147" s="108"/>
      <c r="J147" s="108"/>
      <c r="K147" s="108"/>
      <c r="L147" s="108"/>
      <c r="M147" s="108"/>
      <c r="N147" s="109"/>
    </row>
    <row r="148" spans="1:14">
      <c r="A148" s="93" t="s">
        <v>74</v>
      </c>
      <c r="B148" s="110"/>
      <c r="C148" s="126"/>
      <c r="D148" s="107" t="s">
        <v>391</v>
      </c>
      <c r="E148" s="108"/>
      <c r="F148" s="108"/>
      <c r="G148" s="108"/>
      <c r="H148" s="108"/>
      <c r="I148" s="108"/>
      <c r="J148" s="108"/>
      <c r="K148" s="108"/>
      <c r="L148" s="108"/>
      <c r="M148" s="108"/>
      <c r="N148" s="109"/>
    </row>
    <row r="149" spans="1:14">
      <c r="A149" s="93" t="s">
        <v>76</v>
      </c>
      <c r="B149" s="110"/>
      <c r="C149" s="126"/>
      <c r="D149" s="107" t="s">
        <v>392</v>
      </c>
      <c r="E149" s="108"/>
      <c r="F149" s="108"/>
      <c r="G149" s="108"/>
      <c r="H149" s="108"/>
      <c r="I149" s="108"/>
      <c r="J149" s="108"/>
      <c r="K149" s="108"/>
      <c r="L149" s="108"/>
      <c r="M149" s="108"/>
      <c r="N149" s="109"/>
    </row>
    <row r="150" spans="1:14">
      <c r="A150" s="93" t="s">
        <v>78</v>
      </c>
      <c r="B150" s="110"/>
      <c r="C150" s="126"/>
      <c r="D150" s="107" t="s">
        <v>103</v>
      </c>
      <c r="E150" s="108"/>
      <c r="F150" s="108"/>
      <c r="G150" s="108"/>
      <c r="H150" s="108"/>
      <c r="I150" s="108"/>
      <c r="J150" s="108"/>
      <c r="K150" s="108"/>
      <c r="L150" s="108"/>
      <c r="M150" s="108"/>
      <c r="N150" s="109"/>
    </row>
    <row r="151" spans="1:14" ht="36" customHeight="1">
      <c r="A151" s="90" t="s">
        <v>151</v>
      </c>
      <c r="B151" s="127"/>
      <c r="C151" s="128"/>
      <c r="D151" s="129" t="s">
        <v>393</v>
      </c>
      <c r="E151" s="120"/>
      <c r="F151" s="120"/>
      <c r="G151" s="120"/>
      <c r="H151" s="120"/>
      <c r="I151" s="120"/>
      <c r="J151" s="120"/>
      <c r="K151" s="120"/>
      <c r="L151" s="120"/>
      <c r="M151" s="120"/>
      <c r="N151" s="121"/>
    </row>
    <row r="152" spans="1:14" ht="40.5" customHeight="1">
      <c r="A152" s="92" t="s">
        <v>82</v>
      </c>
      <c r="B152" s="108"/>
      <c r="C152" s="109"/>
      <c r="D152" s="112" t="s">
        <v>394</v>
      </c>
      <c r="E152" s="108"/>
      <c r="F152" s="108"/>
      <c r="G152" s="108"/>
      <c r="H152" s="108"/>
      <c r="I152" s="108"/>
      <c r="J152" s="108"/>
      <c r="K152" s="108"/>
      <c r="L152" s="108"/>
      <c r="M152" s="108"/>
      <c r="N152" s="109"/>
    </row>
    <row r="153" spans="1:14" ht="34.5" customHeight="1">
      <c r="A153" s="92" t="s">
        <v>84</v>
      </c>
      <c r="B153" s="108"/>
      <c r="C153" s="109"/>
      <c r="D153" s="112" t="s">
        <v>395</v>
      </c>
      <c r="E153" s="108"/>
      <c r="F153" s="108"/>
      <c r="G153" s="108"/>
      <c r="H153" s="108"/>
      <c r="I153" s="108"/>
      <c r="J153" s="108"/>
      <c r="K153" s="108"/>
      <c r="L153" s="108"/>
      <c r="M153" s="108"/>
      <c r="N153" s="109"/>
    </row>
    <row r="154" spans="1:14" ht="32.1" customHeight="1">
      <c r="A154" s="91" t="s">
        <v>86</v>
      </c>
      <c r="B154" s="109"/>
      <c r="C154" s="91" t="s">
        <v>87</v>
      </c>
      <c r="D154" s="109"/>
      <c r="E154" s="91" t="s">
        <v>88</v>
      </c>
      <c r="F154" s="109"/>
      <c r="G154" s="91" t="s">
        <v>89</v>
      </c>
      <c r="H154" s="109"/>
      <c r="I154" s="91" t="s">
        <v>90</v>
      </c>
      <c r="J154" s="109"/>
      <c r="K154" s="91" t="s">
        <v>91</v>
      </c>
      <c r="L154" s="109"/>
      <c r="M154" s="45" t="s">
        <v>92</v>
      </c>
      <c r="N154" s="46" t="s">
        <v>93</v>
      </c>
    </row>
    <row r="155" spans="1:14" ht="90.75" customHeight="1">
      <c r="A155" s="130" t="s">
        <v>396</v>
      </c>
      <c r="B155" s="109"/>
      <c r="C155" s="130" t="s">
        <v>397</v>
      </c>
      <c r="D155" s="109"/>
      <c r="E155" s="130" t="s">
        <v>129</v>
      </c>
      <c r="F155" s="109"/>
      <c r="G155" s="130" t="s">
        <v>97</v>
      </c>
      <c r="H155" s="109"/>
      <c r="I155" s="130" t="s">
        <v>398</v>
      </c>
      <c r="J155" s="109"/>
      <c r="K155" s="130" t="s">
        <v>399</v>
      </c>
      <c r="L155" s="109"/>
      <c r="M155" s="131"/>
      <c r="N155" s="131" t="s">
        <v>293</v>
      </c>
    </row>
    <row r="156" spans="1:14">
      <c r="A156" s="105"/>
      <c r="B156" s="105"/>
      <c r="C156" s="105"/>
      <c r="D156" s="105"/>
      <c r="E156" s="105"/>
      <c r="F156" s="105"/>
      <c r="G156" s="105"/>
      <c r="H156" s="105"/>
      <c r="I156" s="105"/>
      <c r="J156" s="105"/>
      <c r="K156" s="105"/>
      <c r="L156" s="105"/>
      <c r="M156" s="105"/>
      <c r="N156" s="105"/>
    </row>
    <row r="157" spans="1:14">
      <c r="A157" s="94" t="s">
        <v>72</v>
      </c>
      <c r="B157" s="123"/>
      <c r="C157" s="124"/>
      <c r="D157" s="107" t="str">
        <f>$A$1</f>
        <v>Experiencia de Usuario</v>
      </c>
      <c r="E157" s="108"/>
      <c r="F157" s="108"/>
      <c r="G157" s="108"/>
      <c r="H157" s="108"/>
      <c r="I157" s="108"/>
      <c r="J157" s="108"/>
      <c r="K157" s="108"/>
      <c r="L157" s="108"/>
      <c r="M157" s="108"/>
      <c r="N157" s="109"/>
    </row>
    <row r="158" spans="1:14">
      <c r="A158" s="95" t="s">
        <v>73</v>
      </c>
      <c r="B158" s="106"/>
      <c r="C158" s="125"/>
      <c r="D158" s="112" t="s">
        <v>52</v>
      </c>
      <c r="E158" s="108"/>
      <c r="F158" s="108"/>
      <c r="G158" s="108"/>
      <c r="H158" s="108"/>
      <c r="I158" s="108"/>
      <c r="J158" s="108"/>
      <c r="K158" s="108"/>
      <c r="L158" s="108"/>
      <c r="M158" s="108"/>
      <c r="N158" s="109"/>
    </row>
    <row r="159" spans="1:14">
      <c r="A159" s="93" t="s">
        <v>74</v>
      </c>
      <c r="B159" s="110"/>
      <c r="C159" s="126"/>
      <c r="D159" s="107" t="s">
        <v>400</v>
      </c>
      <c r="E159" s="108"/>
      <c r="F159" s="108"/>
      <c r="G159" s="108"/>
      <c r="H159" s="108"/>
      <c r="I159" s="108"/>
      <c r="J159" s="108"/>
      <c r="K159" s="108"/>
      <c r="L159" s="108"/>
      <c r="M159" s="108"/>
      <c r="N159" s="109"/>
    </row>
    <row r="160" spans="1:14">
      <c r="A160" s="93" t="s">
        <v>76</v>
      </c>
      <c r="B160" s="110"/>
      <c r="C160" s="126"/>
      <c r="D160" s="107" t="s">
        <v>401</v>
      </c>
      <c r="E160" s="108"/>
      <c r="F160" s="108"/>
      <c r="G160" s="108"/>
      <c r="H160" s="108"/>
      <c r="I160" s="108"/>
      <c r="J160" s="108"/>
      <c r="K160" s="108"/>
      <c r="L160" s="108"/>
      <c r="M160" s="108"/>
      <c r="N160" s="109"/>
    </row>
    <row r="161" spans="1:14">
      <c r="A161" s="93" t="s">
        <v>78</v>
      </c>
      <c r="B161" s="110"/>
      <c r="C161" s="126"/>
      <c r="D161" s="107" t="s">
        <v>79</v>
      </c>
      <c r="E161" s="108"/>
      <c r="F161" s="108"/>
      <c r="G161" s="108"/>
      <c r="H161" s="108"/>
      <c r="I161" s="108"/>
      <c r="J161" s="108"/>
      <c r="K161" s="108"/>
      <c r="L161" s="108"/>
      <c r="M161" s="108"/>
      <c r="N161" s="109"/>
    </row>
    <row r="162" spans="1:14">
      <c r="A162" s="90" t="s">
        <v>151</v>
      </c>
      <c r="B162" s="127"/>
      <c r="C162" s="128"/>
      <c r="D162" s="129" t="s">
        <v>402</v>
      </c>
      <c r="E162" s="120"/>
      <c r="F162" s="120"/>
      <c r="G162" s="120"/>
      <c r="H162" s="120"/>
      <c r="I162" s="120"/>
      <c r="J162" s="120"/>
      <c r="K162" s="120"/>
      <c r="L162" s="120"/>
      <c r="M162" s="120"/>
      <c r="N162" s="121"/>
    </row>
    <row r="163" spans="1:14" ht="28.5" customHeight="1">
      <c r="A163" s="92" t="s">
        <v>82</v>
      </c>
      <c r="B163" s="108"/>
      <c r="C163" s="109"/>
      <c r="D163" s="112" t="s">
        <v>403</v>
      </c>
      <c r="E163" s="108"/>
      <c r="F163" s="108"/>
      <c r="G163" s="108"/>
      <c r="H163" s="108"/>
      <c r="I163" s="108"/>
      <c r="J163" s="108"/>
      <c r="K163" s="108"/>
      <c r="L163" s="108"/>
      <c r="M163" s="108"/>
      <c r="N163" s="109"/>
    </row>
    <row r="164" spans="1:14">
      <c r="A164" s="92" t="s">
        <v>84</v>
      </c>
      <c r="B164" s="108"/>
      <c r="C164" s="109"/>
      <c r="D164" s="112" t="s">
        <v>404</v>
      </c>
      <c r="E164" s="108"/>
      <c r="F164" s="108"/>
      <c r="G164" s="108"/>
      <c r="H164" s="108"/>
      <c r="I164" s="108"/>
      <c r="J164" s="108"/>
      <c r="K164" s="108"/>
      <c r="L164" s="108"/>
      <c r="M164" s="108"/>
      <c r="N164" s="109"/>
    </row>
    <row r="165" spans="1:14" ht="32.1" customHeight="1">
      <c r="A165" s="91" t="s">
        <v>86</v>
      </c>
      <c r="B165" s="109"/>
      <c r="C165" s="91" t="s">
        <v>87</v>
      </c>
      <c r="D165" s="109"/>
      <c r="E165" s="91" t="s">
        <v>88</v>
      </c>
      <c r="F165" s="109"/>
      <c r="G165" s="91" t="s">
        <v>89</v>
      </c>
      <c r="H165" s="109"/>
      <c r="I165" s="91" t="s">
        <v>90</v>
      </c>
      <c r="J165" s="109"/>
      <c r="K165" s="91" t="s">
        <v>91</v>
      </c>
      <c r="L165" s="109"/>
      <c r="M165" s="45" t="s">
        <v>92</v>
      </c>
      <c r="N165" s="46" t="s">
        <v>93</v>
      </c>
    </row>
    <row r="166" spans="1:14" ht="88.5" customHeight="1">
      <c r="A166" s="130" t="s">
        <v>405</v>
      </c>
      <c r="B166" s="109"/>
      <c r="C166" s="130" t="s">
        <v>406</v>
      </c>
      <c r="D166" s="109"/>
      <c r="E166" s="130" t="s">
        <v>129</v>
      </c>
      <c r="F166" s="109"/>
      <c r="G166" s="130" t="s">
        <v>97</v>
      </c>
      <c r="H166" s="109"/>
      <c r="I166" s="130" t="s">
        <v>407</v>
      </c>
      <c r="J166" s="109"/>
      <c r="K166" s="130" t="s">
        <v>408</v>
      </c>
      <c r="L166" s="109"/>
      <c r="M166" s="131"/>
      <c r="N166" s="131" t="s">
        <v>283</v>
      </c>
    </row>
    <row r="167" spans="1:14">
      <c r="A167" s="105"/>
      <c r="B167" s="105"/>
      <c r="C167" s="105"/>
      <c r="D167" s="105"/>
      <c r="E167" s="105"/>
      <c r="F167" s="105"/>
      <c r="G167" s="105"/>
      <c r="H167" s="105"/>
      <c r="I167" s="105"/>
      <c r="J167" s="105"/>
      <c r="K167" s="105"/>
      <c r="L167" s="105"/>
      <c r="M167" s="105"/>
      <c r="N167" s="105"/>
    </row>
    <row r="168" spans="1:14">
      <c r="A168" s="94" t="s">
        <v>72</v>
      </c>
      <c r="B168" s="123"/>
      <c r="C168" s="124"/>
      <c r="D168" s="107" t="str">
        <f>$A$1</f>
        <v>Experiencia de Usuario</v>
      </c>
      <c r="E168" s="108"/>
      <c r="F168" s="108"/>
      <c r="G168" s="108"/>
      <c r="H168" s="108"/>
      <c r="I168" s="108"/>
      <c r="J168" s="108"/>
      <c r="K168" s="108"/>
      <c r="L168" s="108"/>
      <c r="M168" s="108"/>
      <c r="N168" s="109"/>
    </row>
    <row r="169" spans="1:14">
      <c r="A169" s="95" t="s">
        <v>73</v>
      </c>
      <c r="B169" s="106"/>
      <c r="C169" s="125"/>
      <c r="D169" s="112" t="s">
        <v>52</v>
      </c>
      <c r="E169" s="108"/>
      <c r="F169" s="108"/>
      <c r="G169" s="108"/>
      <c r="H169" s="108"/>
      <c r="I169" s="108"/>
      <c r="J169" s="108"/>
      <c r="K169" s="108"/>
      <c r="L169" s="108"/>
      <c r="M169" s="108"/>
      <c r="N169" s="109"/>
    </row>
    <row r="170" spans="1:14">
      <c r="A170" s="93" t="s">
        <v>74</v>
      </c>
      <c r="B170" s="110"/>
      <c r="C170" s="126"/>
      <c r="D170" s="107" t="s">
        <v>409</v>
      </c>
      <c r="E170" s="108"/>
      <c r="F170" s="108"/>
      <c r="G170" s="108"/>
      <c r="H170" s="108"/>
      <c r="I170" s="108"/>
      <c r="J170" s="108"/>
      <c r="K170" s="108"/>
      <c r="L170" s="108"/>
      <c r="M170" s="108"/>
      <c r="N170" s="109"/>
    </row>
    <row r="171" spans="1:14">
      <c r="A171" s="93" t="s">
        <v>76</v>
      </c>
      <c r="B171" s="110"/>
      <c r="C171" s="126"/>
      <c r="D171" s="107" t="s">
        <v>410</v>
      </c>
      <c r="E171" s="108"/>
      <c r="F171" s="108"/>
      <c r="G171" s="108"/>
      <c r="H171" s="108"/>
      <c r="I171" s="108"/>
      <c r="J171" s="108"/>
      <c r="K171" s="108"/>
      <c r="L171" s="108"/>
      <c r="M171" s="108"/>
      <c r="N171" s="109"/>
    </row>
    <row r="172" spans="1:14">
      <c r="A172" s="93" t="s">
        <v>78</v>
      </c>
      <c r="B172" s="110"/>
      <c r="C172" s="126"/>
      <c r="D172" s="107" t="s">
        <v>103</v>
      </c>
      <c r="E172" s="108"/>
      <c r="F172" s="108"/>
      <c r="G172" s="108"/>
      <c r="H172" s="108"/>
      <c r="I172" s="108"/>
      <c r="J172" s="108"/>
      <c r="K172" s="108"/>
      <c r="L172" s="108"/>
      <c r="M172" s="108"/>
      <c r="N172" s="109"/>
    </row>
    <row r="173" spans="1:14">
      <c r="A173" s="90" t="s">
        <v>151</v>
      </c>
      <c r="B173" s="127"/>
      <c r="C173" s="128"/>
      <c r="D173" s="129" t="s">
        <v>411</v>
      </c>
      <c r="E173" s="120"/>
      <c r="F173" s="120"/>
      <c r="G173" s="120"/>
      <c r="H173" s="120"/>
      <c r="I173" s="120"/>
      <c r="J173" s="120"/>
      <c r="K173" s="120"/>
      <c r="L173" s="120"/>
      <c r="M173" s="120"/>
      <c r="N173" s="121"/>
    </row>
    <row r="174" spans="1:14" ht="32.25" customHeight="1">
      <c r="A174" s="92" t="s">
        <v>82</v>
      </c>
      <c r="B174" s="108"/>
      <c r="C174" s="109"/>
      <c r="D174" s="112" t="s">
        <v>412</v>
      </c>
      <c r="E174" s="108"/>
      <c r="F174" s="108"/>
      <c r="G174" s="108"/>
      <c r="H174" s="108"/>
      <c r="I174" s="108"/>
      <c r="J174" s="108"/>
      <c r="K174" s="108"/>
      <c r="L174" s="108"/>
      <c r="M174" s="108"/>
      <c r="N174" s="109"/>
    </row>
    <row r="175" spans="1:14" ht="39.75" customHeight="1">
      <c r="A175" s="92" t="s">
        <v>84</v>
      </c>
      <c r="B175" s="108"/>
      <c r="C175" s="109"/>
      <c r="D175" s="112" t="s">
        <v>412</v>
      </c>
      <c r="E175" s="108"/>
      <c r="F175" s="108"/>
      <c r="G175" s="108"/>
      <c r="H175" s="108"/>
      <c r="I175" s="108"/>
      <c r="J175" s="108"/>
      <c r="K175" s="108"/>
      <c r="L175" s="108"/>
      <c r="M175" s="108"/>
      <c r="N175" s="109"/>
    </row>
    <row r="176" spans="1:14" ht="32.1" customHeight="1">
      <c r="A176" s="91" t="s">
        <v>86</v>
      </c>
      <c r="B176" s="109"/>
      <c r="C176" s="91" t="s">
        <v>87</v>
      </c>
      <c r="D176" s="109"/>
      <c r="E176" s="91" t="s">
        <v>88</v>
      </c>
      <c r="F176" s="109"/>
      <c r="G176" s="91" t="s">
        <v>89</v>
      </c>
      <c r="H176" s="109"/>
      <c r="I176" s="91" t="s">
        <v>90</v>
      </c>
      <c r="J176" s="109"/>
      <c r="K176" s="91" t="s">
        <v>91</v>
      </c>
      <c r="L176" s="109"/>
      <c r="M176" s="45" t="s">
        <v>92</v>
      </c>
      <c r="N176" s="46" t="s">
        <v>93</v>
      </c>
    </row>
    <row r="177" spans="1:14" ht="63.75" customHeight="1">
      <c r="A177" s="130" t="s">
        <v>413</v>
      </c>
      <c r="B177" s="109"/>
      <c r="C177" s="130" t="s">
        <v>414</v>
      </c>
      <c r="D177" s="109"/>
      <c r="E177" s="130" t="s">
        <v>129</v>
      </c>
      <c r="F177" s="109"/>
      <c r="G177" s="130" t="s">
        <v>97</v>
      </c>
      <c r="H177" s="109"/>
      <c r="I177" s="130" t="s">
        <v>415</v>
      </c>
      <c r="J177" s="109"/>
      <c r="K177" s="130" t="s">
        <v>416</v>
      </c>
      <c r="L177" s="109"/>
      <c r="M177" s="131"/>
      <c r="N177" s="131" t="s">
        <v>293</v>
      </c>
    </row>
    <row r="178" spans="1:14">
      <c r="A178" s="105"/>
      <c r="B178" s="105"/>
      <c r="C178" s="105"/>
      <c r="D178" s="105"/>
      <c r="E178" s="105"/>
      <c r="F178" s="105"/>
      <c r="G178" s="105"/>
      <c r="H178" s="105"/>
      <c r="I178" s="105"/>
      <c r="J178" s="105"/>
      <c r="K178" s="105"/>
      <c r="L178" s="105"/>
      <c r="M178" s="105"/>
      <c r="N178" s="105"/>
    </row>
    <row r="179" spans="1:14">
      <c r="A179" s="94" t="s">
        <v>72</v>
      </c>
      <c r="B179" s="123"/>
      <c r="C179" s="124"/>
      <c r="D179" s="107" t="str">
        <f>$A$1</f>
        <v>Experiencia de Usuario</v>
      </c>
      <c r="E179" s="108"/>
      <c r="F179" s="108"/>
      <c r="G179" s="108"/>
      <c r="H179" s="108"/>
      <c r="I179" s="108"/>
      <c r="J179" s="108"/>
      <c r="K179" s="108"/>
      <c r="L179" s="108"/>
      <c r="M179" s="108"/>
      <c r="N179" s="109"/>
    </row>
    <row r="180" spans="1:14">
      <c r="A180" s="95" t="s">
        <v>73</v>
      </c>
      <c r="B180" s="106"/>
      <c r="C180" s="125"/>
      <c r="D180" s="112" t="s">
        <v>53</v>
      </c>
      <c r="E180" s="108"/>
      <c r="F180" s="108"/>
      <c r="G180" s="108"/>
      <c r="H180" s="108"/>
      <c r="I180" s="108"/>
      <c r="J180" s="108"/>
      <c r="K180" s="108"/>
      <c r="L180" s="108"/>
      <c r="M180" s="108"/>
      <c r="N180" s="109"/>
    </row>
    <row r="181" spans="1:14">
      <c r="A181" s="93" t="s">
        <v>74</v>
      </c>
      <c r="B181" s="110"/>
      <c r="C181" s="126"/>
      <c r="D181" s="107" t="s">
        <v>417</v>
      </c>
      <c r="E181" s="108"/>
      <c r="F181" s="108"/>
      <c r="G181" s="108"/>
      <c r="H181" s="108"/>
      <c r="I181" s="108"/>
      <c r="J181" s="108"/>
      <c r="K181" s="108"/>
      <c r="L181" s="108"/>
      <c r="M181" s="108"/>
      <c r="N181" s="109"/>
    </row>
    <row r="182" spans="1:14">
      <c r="A182" s="93" t="s">
        <v>76</v>
      </c>
      <c r="B182" s="110"/>
      <c r="C182" s="126"/>
      <c r="D182" s="107" t="s">
        <v>401</v>
      </c>
      <c r="E182" s="108"/>
      <c r="F182" s="108"/>
      <c r="G182" s="108"/>
      <c r="H182" s="108"/>
      <c r="I182" s="108"/>
      <c r="J182" s="108"/>
      <c r="K182" s="108"/>
      <c r="L182" s="108"/>
      <c r="M182" s="108"/>
      <c r="N182" s="109"/>
    </row>
    <row r="183" spans="1:14">
      <c r="A183" s="93" t="s">
        <v>78</v>
      </c>
      <c r="B183" s="110"/>
      <c r="C183" s="126"/>
      <c r="D183" s="107" t="s">
        <v>79</v>
      </c>
      <c r="E183" s="108"/>
      <c r="F183" s="108"/>
      <c r="G183" s="108"/>
      <c r="H183" s="108"/>
      <c r="I183" s="108"/>
      <c r="J183" s="108"/>
      <c r="K183" s="108"/>
      <c r="L183" s="108"/>
      <c r="M183" s="108"/>
      <c r="N183" s="109"/>
    </row>
    <row r="184" spans="1:14">
      <c r="A184" s="90" t="s">
        <v>151</v>
      </c>
      <c r="B184" s="127"/>
      <c r="C184" s="128"/>
      <c r="D184" s="129" t="s">
        <v>402</v>
      </c>
      <c r="E184" s="120"/>
      <c r="F184" s="120"/>
      <c r="G184" s="120"/>
      <c r="H184" s="120"/>
      <c r="I184" s="120"/>
      <c r="J184" s="120"/>
      <c r="K184" s="120"/>
      <c r="L184" s="120"/>
      <c r="M184" s="120"/>
      <c r="N184" s="121"/>
    </row>
    <row r="185" spans="1:14" ht="36.75" customHeight="1">
      <c r="A185" s="92" t="s">
        <v>82</v>
      </c>
      <c r="B185" s="108"/>
      <c r="C185" s="109"/>
      <c r="D185" s="112" t="s">
        <v>418</v>
      </c>
      <c r="E185" s="108"/>
      <c r="F185" s="108"/>
      <c r="G185" s="108"/>
      <c r="H185" s="108"/>
      <c r="I185" s="108"/>
      <c r="J185" s="108"/>
      <c r="K185" s="108"/>
      <c r="L185" s="108"/>
      <c r="M185" s="108"/>
      <c r="N185" s="109"/>
    </row>
    <row r="186" spans="1:14">
      <c r="A186" s="92" t="s">
        <v>84</v>
      </c>
      <c r="B186" s="108"/>
      <c r="C186" s="109"/>
      <c r="D186" s="112" t="s">
        <v>419</v>
      </c>
      <c r="E186" s="108"/>
      <c r="F186" s="108"/>
      <c r="G186" s="108"/>
      <c r="H186" s="108"/>
      <c r="I186" s="108"/>
      <c r="J186" s="108"/>
      <c r="K186" s="108"/>
      <c r="L186" s="108"/>
      <c r="M186" s="108"/>
      <c r="N186" s="109"/>
    </row>
    <row r="187" spans="1:14" ht="32.1" customHeight="1">
      <c r="A187" s="91" t="s">
        <v>86</v>
      </c>
      <c r="B187" s="109"/>
      <c r="C187" s="91" t="s">
        <v>87</v>
      </c>
      <c r="D187" s="109"/>
      <c r="E187" s="91" t="s">
        <v>88</v>
      </c>
      <c r="F187" s="109"/>
      <c r="G187" s="91" t="s">
        <v>89</v>
      </c>
      <c r="H187" s="109"/>
      <c r="I187" s="91" t="s">
        <v>90</v>
      </c>
      <c r="J187" s="109"/>
      <c r="K187" s="91" t="s">
        <v>91</v>
      </c>
      <c r="L187" s="109"/>
      <c r="M187" s="45" t="s">
        <v>92</v>
      </c>
      <c r="N187" s="46" t="s">
        <v>93</v>
      </c>
    </row>
    <row r="188" spans="1:14" ht="83.25" customHeight="1">
      <c r="A188" s="130" t="s">
        <v>420</v>
      </c>
      <c r="B188" s="109"/>
      <c r="C188" s="130" t="s">
        <v>405</v>
      </c>
      <c r="D188" s="109"/>
      <c r="E188" s="130" t="s">
        <v>129</v>
      </c>
      <c r="F188" s="109"/>
      <c r="G188" s="130" t="s">
        <v>97</v>
      </c>
      <c r="H188" s="109"/>
      <c r="I188" s="130" t="s">
        <v>421</v>
      </c>
      <c r="J188" s="109"/>
      <c r="K188" s="130" t="s">
        <v>422</v>
      </c>
      <c r="L188" s="109"/>
      <c r="M188" s="131"/>
      <c r="N188" s="131" t="s">
        <v>283</v>
      </c>
    </row>
    <row r="189" spans="1:14">
      <c r="A189" s="105"/>
      <c r="B189" s="105"/>
      <c r="C189" s="105"/>
      <c r="D189" s="105"/>
      <c r="E189" s="105"/>
      <c r="F189" s="105"/>
      <c r="G189" s="105"/>
      <c r="H189" s="105"/>
      <c r="I189" s="105"/>
      <c r="J189" s="105"/>
      <c r="K189" s="105"/>
      <c r="L189" s="105"/>
      <c r="M189" s="105"/>
      <c r="N189" s="105"/>
    </row>
    <row r="190" spans="1:14">
      <c r="A190" s="94" t="s">
        <v>72</v>
      </c>
      <c r="B190" s="123"/>
      <c r="C190" s="124"/>
      <c r="D190" s="107" t="str">
        <f>$A$1</f>
        <v>Experiencia de Usuario</v>
      </c>
      <c r="E190" s="108"/>
      <c r="F190" s="108"/>
      <c r="G190" s="108"/>
      <c r="H190" s="108"/>
      <c r="I190" s="108"/>
      <c r="J190" s="108"/>
      <c r="K190" s="108"/>
      <c r="L190" s="108"/>
      <c r="M190" s="108"/>
      <c r="N190" s="109"/>
    </row>
    <row r="191" spans="1:14">
      <c r="A191" s="95" t="s">
        <v>73</v>
      </c>
      <c r="B191" s="106"/>
      <c r="C191" s="125"/>
      <c r="D191" s="112" t="s">
        <v>53</v>
      </c>
      <c r="E191" s="108"/>
      <c r="F191" s="108"/>
      <c r="G191" s="108"/>
      <c r="H191" s="108"/>
      <c r="I191" s="108"/>
      <c r="J191" s="108"/>
      <c r="K191" s="108"/>
      <c r="L191" s="108"/>
      <c r="M191" s="108"/>
      <c r="N191" s="109"/>
    </row>
    <row r="192" spans="1:14">
      <c r="A192" s="93" t="s">
        <v>74</v>
      </c>
      <c r="B192" s="110"/>
      <c r="C192" s="126"/>
      <c r="D192" s="107" t="s">
        <v>423</v>
      </c>
      <c r="E192" s="108"/>
      <c r="F192" s="108"/>
      <c r="G192" s="108"/>
      <c r="H192" s="108"/>
      <c r="I192" s="108"/>
      <c r="J192" s="108"/>
      <c r="K192" s="108"/>
      <c r="L192" s="108"/>
      <c r="M192" s="108"/>
      <c r="N192" s="109"/>
    </row>
    <row r="193" spans="1:14">
      <c r="A193" s="93" t="s">
        <v>76</v>
      </c>
      <c r="B193" s="110"/>
      <c r="C193" s="126"/>
      <c r="D193" s="107" t="s">
        <v>410</v>
      </c>
      <c r="E193" s="108"/>
      <c r="F193" s="108"/>
      <c r="G193" s="108"/>
      <c r="H193" s="108"/>
      <c r="I193" s="108"/>
      <c r="J193" s="108"/>
      <c r="K193" s="108"/>
      <c r="L193" s="108"/>
      <c r="M193" s="108"/>
      <c r="N193" s="109"/>
    </row>
    <row r="194" spans="1:14">
      <c r="A194" s="93" t="s">
        <v>78</v>
      </c>
      <c r="B194" s="110"/>
      <c r="C194" s="126"/>
      <c r="D194" s="107" t="s">
        <v>103</v>
      </c>
      <c r="E194" s="108"/>
      <c r="F194" s="108"/>
      <c r="G194" s="108"/>
      <c r="H194" s="108"/>
      <c r="I194" s="108"/>
      <c r="J194" s="108"/>
      <c r="K194" s="108"/>
      <c r="L194" s="108"/>
      <c r="M194" s="108"/>
      <c r="N194" s="109"/>
    </row>
    <row r="195" spans="1:14">
      <c r="A195" s="90" t="s">
        <v>151</v>
      </c>
      <c r="B195" s="127"/>
      <c r="C195" s="128"/>
      <c r="D195" s="129" t="s">
        <v>424</v>
      </c>
      <c r="E195" s="120"/>
      <c r="F195" s="120"/>
      <c r="G195" s="120"/>
      <c r="H195" s="120"/>
      <c r="I195" s="120"/>
      <c r="J195" s="120"/>
      <c r="K195" s="120"/>
      <c r="L195" s="120"/>
      <c r="M195" s="120"/>
      <c r="N195" s="121"/>
    </row>
    <row r="196" spans="1:14" ht="47.25" customHeight="1">
      <c r="A196" s="92" t="s">
        <v>82</v>
      </c>
      <c r="B196" s="108"/>
      <c r="C196" s="109"/>
      <c r="D196" s="112" t="s">
        <v>425</v>
      </c>
      <c r="E196" s="108"/>
      <c r="F196" s="108"/>
      <c r="G196" s="108"/>
      <c r="H196" s="108"/>
      <c r="I196" s="108"/>
      <c r="J196" s="108"/>
      <c r="K196" s="108"/>
      <c r="L196" s="108"/>
      <c r="M196" s="108"/>
      <c r="N196" s="109"/>
    </row>
    <row r="197" spans="1:14" ht="27.75" customHeight="1">
      <c r="A197" s="92" t="s">
        <v>84</v>
      </c>
      <c r="B197" s="108"/>
      <c r="C197" s="109"/>
      <c r="D197" s="112" t="s">
        <v>426</v>
      </c>
      <c r="E197" s="108"/>
      <c r="F197" s="108"/>
      <c r="G197" s="108"/>
      <c r="H197" s="108"/>
      <c r="I197" s="108"/>
      <c r="J197" s="108"/>
      <c r="K197" s="108"/>
      <c r="L197" s="108"/>
      <c r="M197" s="108"/>
      <c r="N197" s="109"/>
    </row>
    <row r="198" spans="1:14" ht="32.1" customHeight="1">
      <c r="A198" s="91" t="s">
        <v>86</v>
      </c>
      <c r="B198" s="109"/>
      <c r="C198" s="91" t="s">
        <v>87</v>
      </c>
      <c r="D198" s="109"/>
      <c r="E198" s="91" t="s">
        <v>88</v>
      </c>
      <c r="F198" s="109"/>
      <c r="G198" s="91" t="s">
        <v>89</v>
      </c>
      <c r="H198" s="109"/>
      <c r="I198" s="91" t="s">
        <v>90</v>
      </c>
      <c r="J198" s="109"/>
      <c r="K198" s="91" t="s">
        <v>91</v>
      </c>
      <c r="L198" s="109"/>
      <c r="M198" s="45" t="s">
        <v>92</v>
      </c>
      <c r="N198" s="46" t="s">
        <v>93</v>
      </c>
    </row>
    <row r="199" spans="1:14" ht="88.5" customHeight="1">
      <c r="A199" s="130" t="s">
        <v>427</v>
      </c>
      <c r="B199" s="109"/>
      <c r="C199" s="130" t="s">
        <v>414</v>
      </c>
      <c r="D199" s="109"/>
      <c r="E199" s="130" t="s">
        <v>129</v>
      </c>
      <c r="F199" s="109"/>
      <c r="G199" s="130" t="s">
        <v>97</v>
      </c>
      <c r="H199" s="109"/>
      <c r="I199" s="130" t="s">
        <v>428</v>
      </c>
      <c r="J199" s="109"/>
      <c r="K199" s="130" t="s">
        <v>429</v>
      </c>
      <c r="L199" s="109"/>
      <c r="M199" s="131"/>
      <c r="N199" s="131" t="s">
        <v>293</v>
      </c>
    </row>
    <row r="200" spans="1:14">
      <c r="A200" s="105"/>
      <c r="B200" s="105"/>
      <c r="C200" s="105"/>
      <c r="D200" s="105"/>
      <c r="E200" s="105"/>
      <c r="F200" s="105"/>
      <c r="G200" s="105"/>
      <c r="H200" s="105"/>
      <c r="I200" s="105"/>
      <c r="J200" s="105"/>
      <c r="K200" s="105"/>
      <c r="L200" s="105"/>
      <c r="M200" s="105"/>
      <c r="N200" s="105"/>
    </row>
    <row r="201" spans="1:14">
      <c r="A201" s="94" t="s">
        <v>72</v>
      </c>
      <c r="B201" s="123"/>
      <c r="C201" s="124"/>
      <c r="D201" s="107" t="str">
        <f>$A$1</f>
        <v>Experiencia de Usuario</v>
      </c>
      <c r="E201" s="108"/>
      <c r="F201" s="108"/>
      <c r="G201" s="108"/>
      <c r="H201" s="108"/>
      <c r="I201" s="108"/>
      <c r="J201" s="108"/>
      <c r="K201" s="108"/>
      <c r="L201" s="108"/>
      <c r="M201" s="108"/>
      <c r="N201" s="109"/>
    </row>
    <row r="202" spans="1:14">
      <c r="A202" s="95" t="s">
        <v>73</v>
      </c>
      <c r="B202" s="106"/>
      <c r="C202" s="125"/>
      <c r="D202" s="112" t="s">
        <v>54</v>
      </c>
      <c r="E202" s="108"/>
      <c r="F202" s="108"/>
      <c r="G202" s="108"/>
      <c r="H202" s="108"/>
      <c r="I202" s="108"/>
      <c r="J202" s="108"/>
      <c r="K202" s="108"/>
      <c r="L202" s="108"/>
      <c r="M202" s="108"/>
      <c r="N202" s="109"/>
    </row>
    <row r="203" spans="1:14">
      <c r="A203" s="93" t="s">
        <v>74</v>
      </c>
      <c r="B203" s="110"/>
      <c r="C203" s="126"/>
      <c r="D203" s="107" t="s">
        <v>430</v>
      </c>
      <c r="E203" s="108"/>
      <c r="F203" s="108"/>
      <c r="G203" s="108"/>
      <c r="H203" s="108"/>
      <c r="I203" s="108"/>
      <c r="J203" s="108"/>
      <c r="K203" s="108"/>
      <c r="L203" s="108"/>
      <c r="M203" s="108"/>
      <c r="N203" s="109"/>
    </row>
    <row r="204" spans="1:14">
      <c r="A204" s="93" t="s">
        <v>76</v>
      </c>
      <c r="B204" s="110"/>
      <c r="C204" s="126"/>
      <c r="D204" s="107" t="s">
        <v>431</v>
      </c>
      <c r="E204" s="108"/>
      <c r="F204" s="108"/>
      <c r="G204" s="108"/>
      <c r="H204" s="108"/>
      <c r="I204" s="108"/>
      <c r="J204" s="108"/>
      <c r="K204" s="108"/>
      <c r="L204" s="108"/>
      <c r="M204" s="108"/>
      <c r="N204" s="109"/>
    </row>
    <row r="205" spans="1:14">
      <c r="A205" s="93" t="s">
        <v>78</v>
      </c>
      <c r="B205" s="110"/>
      <c r="C205" s="126"/>
      <c r="D205" s="107" t="s">
        <v>79</v>
      </c>
      <c r="E205" s="108"/>
      <c r="F205" s="108"/>
      <c r="G205" s="108"/>
      <c r="H205" s="108"/>
      <c r="I205" s="108"/>
      <c r="J205" s="108"/>
      <c r="K205" s="108"/>
      <c r="L205" s="108"/>
      <c r="M205" s="108"/>
      <c r="N205" s="109"/>
    </row>
    <row r="206" spans="1:14">
      <c r="A206" s="90" t="s">
        <v>151</v>
      </c>
      <c r="B206" s="127"/>
      <c r="C206" s="128"/>
      <c r="D206" s="129" t="s">
        <v>432</v>
      </c>
      <c r="E206" s="120"/>
      <c r="F206" s="120"/>
      <c r="G206" s="120"/>
      <c r="H206" s="120"/>
      <c r="I206" s="120"/>
      <c r="J206" s="120"/>
      <c r="K206" s="120"/>
      <c r="L206" s="120"/>
      <c r="M206" s="120"/>
      <c r="N206" s="121"/>
    </row>
    <row r="207" spans="1:14" ht="53.25" customHeight="1">
      <c r="A207" s="92" t="s">
        <v>82</v>
      </c>
      <c r="B207" s="108"/>
      <c r="C207" s="109"/>
      <c r="D207" s="112" t="s">
        <v>433</v>
      </c>
      <c r="E207" s="108"/>
      <c r="F207" s="108"/>
      <c r="G207" s="108"/>
      <c r="H207" s="108"/>
      <c r="I207" s="108"/>
      <c r="J207" s="108"/>
      <c r="K207" s="108"/>
      <c r="L207" s="108"/>
      <c r="M207" s="108"/>
      <c r="N207" s="109"/>
    </row>
    <row r="208" spans="1:14">
      <c r="A208" s="92" t="s">
        <v>84</v>
      </c>
      <c r="B208" s="108"/>
      <c r="C208" s="109"/>
      <c r="D208" s="112" t="s">
        <v>434</v>
      </c>
      <c r="E208" s="108"/>
      <c r="F208" s="108"/>
      <c r="G208" s="108"/>
      <c r="H208" s="108"/>
      <c r="I208" s="108"/>
      <c r="J208" s="108"/>
      <c r="K208" s="108"/>
      <c r="L208" s="108"/>
      <c r="M208" s="108"/>
      <c r="N208" s="109"/>
    </row>
    <row r="209" spans="1:14" ht="32.1" customHeight="1">
      <c r="A209" s="91" t="s">
        <v>86</v>
      </c>
      <c r="B209" s="109"/>
      <c r="C209" s="91" t="s">
        <v>87</v>
      </c>
      <c r="D209" s="109"/>
      <c r="E209" s="91" t="s">
        <v>88</v>
      </c>
      <c r="F209" s="109"/>
      <c r="G209" s="91" t="s">
        <v>89</v>
      </c>
      <c r="H209" s="109"/>
      <c r="I209" s="91" t="s">
        <v>90</v>
      </c>
      <c r="J209" s="109"/>
      <c r="K209" s="91" t="s">
        <v>91</v>
      </c>
      <c r="L209" s="109"/>
      <c r="M209" s="45" t="s">
        <v>92</v>
      </c>
      <c r="N209" s="46" t="s">
        <v>93</v>
      </c>
    </row>
    <row r="210" spans="1:14" ht="83.25" customHeight="1">
      <c r="A210" s="130" t="s">
        <v>435</v>
      </c>
      <c r="B210" s="109"/>
      <c r="C210" s="130" t="s">
        <v>436</v>
      </c>
      <c r="D210" s="109"/>
      <c r="E210" s="130" t="s">
        <v>129</v>
      </c>
      <c r="F210" s="109"/>
      <c r="G210" s="130" t="s">
        <v>97</v>
      </c>
      <c r="H210" s="109"/>
      <c r="I210" s="130" t="s">
        <v>437</v>
      </c>
      <c r="J210" s="109"/>
      <c r="K210" s="130" t="s">
        <v>438</v>
      </c>
      <c r="L210" s="109"/>
      <c r="M210" s="131"/>
      <c r="N210" s="131" t="s">
        <v>283</v>
      </c>
    </row>
    <row r="211" spans="1:14">
      <c r="A211" s="105"/>
      <c r="B211" s="105"/>
      <c r="C211" s="105"/>
      <c r="D211" s="105"/>
      <c r="E211" s="105"/>
      <c r="F211" s="105"/>
      <c r="G211" s="105"/>
      <c r="H211" s="105"/>
      <c r="I211" s="105"/>
      <c r="J211" s="105"/>
      <c r="K211" s="105"/>
      <c r="L211" s="105"/>
      <c r="M211" s="105"/>
      <c r="N211" s="105"/>
    </row>
    <row r="212" spans="1:14">
      <c r="A212" s="94" t="s">
        <v>72</v>
      </c>
      <c r="B212" s="123"/>
      <c r="C212" s="124"/>
      <c r="D212" s="107" t="str">
        <f>$A$1</f>
        <v>Experiencia de Usuario</v>
      </c>
      <c r="E212" s="108"/>
      <c r="F212" s="108"/>
      <c r="G212" s="108"/>
      <c r="H212" s="108"/>
      <c r="I212" s="108"/>
      <c r="J212" s="108"/>
      <c r="K212" s="108"/>
      <c r="L212" s="108"/>
      <c r="M212" s="108"/>
      <c r="N212" s="109"/>
    </row>
    <row r="213" spans="1:14">
      <c r="A213" s="95" t="s">
        <v>73</v>
      </c>
      <c r="B213" s="106"/>
      <c r="C213" s="125"/>
      <c r="D213" s="112" t="s">
        <v>54</v>
      </c>
      <c r="E213" s="108"/>
      <c r="F213" s="108"/>
      <c r="G213" s="108"/>
      <c r="H213" s="108"/>
      <c r="I213" s="108"/>
      <c r="J213" s="108"/>
      <c r="K213" s="108"/>
      <c r="L213" s="108"/>
      <c r="M213" s="108"/>
      <c r="N213" s="109"/>
    </row>
    <row r="214" spans="1:14">
      <c r="A214" s="93" t="s">
        <v>74</v>
      </c>
      <c r="B214" s="110"/>
      <c r="C214" s="126"/>
      <c r="D214" s="107" t="s">
        <v>439</v>
      </c>
      <c r="E214" s="108"/>
      <c r="F214" s="108"/>
      <c r="G214" s="108"/>
      <c r="H214" s="108"/>
      <c r="I214" s="108"/>
      <c r="J214" s="108"/>
      <c r="K214" s="108"/>
      <c r="L214" s="108"/>
      <c r="M214" s="108"/>
      <c r="N214" s="109"/>
    </row>
    <row r="215" spans="1:14">
      <c r="A215" s="93" t="s">
        <v>76</v>
      </c>
      <c r="B215" s="110"/>
      <c r="C215" s="126"/>
      <c r="D215" s="107" t="s">
        <v>440</v>
      </c>
      <c r="E215" s="108"/>
      <c r="F215" s="108"/>
      <c r="G215" s="108"/>
      <c r="H215" s="108"/>
      <c r="I215" s="108"/>
      <c r="J215" s="108"/>
      <c r="K215" s="108"/>
      <c r="L215" s="108"/>
      <c r="M215" s="108"/>
      <c r="N215" s="109"/>
    </row>
    <row r="216" spans="1:14">
      <c r="A216" s="93" t="s">
        <v>78</v>
      </c>
      <c r="B216" s="110"/>
      <c r="C216" s="126"/>
      <c r="D216" s="107" t="s">
        <v>103</v>
      </c>
      <c r="E216" s="108"/>
      <c r="F216" s="108"/>
      <c r="G216" s="108"/>
      <c r="H216" s="108"/>
      <c r="I216" s="108"/>
      <c r="J216" s="108"/>
      <c r="K216" s="108"/>
      <c r="L216" s="108"/>
      <c r="M216" s="108"/>
      <c r="N216" s="109"/>
    </row>
    <row r="217" spans="1:14" ht="41.25" customHeight="1">
      <c r="A217" s="90" t="s">
        <v>151</v>
      </c>
      <c r="B217" s="127"/>
      <c r="C217" s="128"/>
      <c r="D217" s="129" t="s">
        <v>441</v>
      </c>
      <c r="E217" s="120"/>
      <c r="F217" s="120"/>
      <c r="G217" s="120"/>
      <c r="H217" s="120"/>
      <c r="I217" s="120"/>
      <c r="J217" s="120"/>
      <c r="K217" s="120"/>
      <c r="L217" s="120"/>
      <c r="M217" s="120"/>
      <c r="N217" s="121"/>
    </row>
    <row r="218" spans="1:14" ht="41.25" customHeight="1">
      <c r="A218" s="92" t="s">
        <v>82</v>
      </c>
      <c r="B218" s="108"/>
      <c r="C218" s="109"/>
      <c r="D218" s="112" t="s">
        <v>442</v>
      </c>
      <c r="E218" s="108"/>
      <c r="F218" s="108"/>
      <c r="G218" s="108"/>
      <c r="H218" s="108"/>
      <c r="I218" s="108"/>
      <c r="J218" s="108"/>
      <c r="K218" s="108"/>
      <c r="L218" s="108"/>
      <c r="M218" s="108"/>
      <c r="N218" s="109"/>
    </row>
    <row r="219" spans="1:14">
      <c r="A219" s="92" t="s">
        <v>84</v>
      </c>
      <c r="B219" s="108"/>
      <c r="C219" s="109"/>
      <c r="D219" s="112" t="s">
        <v>443</v>
      </c>
      <c r="E219" s="108"/>
      <c r="F219" s="108"/>
      <c r="G219" s="108"/>
      <c r="H219" s="108"/>
      <c r="I219" s="108"/>
      <c r="J219" s="108"/>
      <c r="K219" s="108"/>
      <c r="L219" s="108"/>
      <c r="M219" s="108"/>
      <c r="N219" s="109"/>
    </row>
    <row r="220" spans="1:14" ht="32.1" customHeight="1">
      <c r="A220" s="91" t="s">
        <v>86</v>
      </c>
      <c r="B220" s="109"/>
      <c r="C220" s="91" t="s">
        <v>87</v>
      </c>
      <c r="D220" s="109"/>
      <c r="E220" s="91" t="s">
        <v>88</v>
      </c>
      <c r="F220" s="109"/>
      <c r="G220" s="91" t="s">
        <v>89</v>
      </c>
      <c r="H220" s="109"/>
      <c r="I220" s="91" t="s">
        <v>90</v>
      </c>
      <c r="J220" s="109"/>
      <c r="K220" s="91" t="s">
        <v>91</v>
      </c>
      <c r="L220" s="109"/>
      <c r="M220" s="45" t="s">
        <v>92</v>
      </c>
      <c r="N220" s="46" t="s">
        <v>93</v>
      </c>
    </row>
    <row r="221" spans="1:14" ht="68.25" customHeight="1">
      <c r="A221" s="130" t="s">
        <v>444</v>
      </c>
      <c r="B221" s="109"/>
      <c r="C221" s="130" t="s">
        <v>445</v>
      </c>
      <c r="D221" s="109"/>
      <c r="E221" s="130" t="s">
        <v>129</v>
      </c>
      <c r="F221" s="109"/>
      <c r="G221" s="130" t="s">
        <v>97</v>
      </c>
      <c r="H221" s="109"/>
      <c r="I221" s="130" t="s">
        <v>446</v>
      </c>
      <c r="J221" s="109"/>
      <c r="K221" s="130" t="s">
        <v>447</v>
      </c>
      <c r="L221" s="109"/>
      <c r="M221" s="131"/>
      <c r="N221" s="131" t="s">
        <v>293</v>
      </c>
    </row>
  </sheetData>
  <mergeCells count="560">
    <mergeCell ref="K33:L33"/>
    <mergeCell ref="D174:N174"/>
    <mergeCell ref="A136:C136"/>
    <mergeCell ref="A192:C192"/>
    <mergeCell ref="A21:C21"/>
    <mergeCell ref="A113:C113"/>
    <mergeCell ref="A33:B33"/>
    <mergeCell ref="D28:N28"/>
    <mergeCell ref="D25:N25"/>
    <mergeCell ref="D39:N39"/>
    <mergeCell ref="A194:C194"/>
    <mergeCell ref="C121:D121"/>
    <mergeCell ref="A181:C181"/>
    <mergeCell ref="G66:H66"/>
    <mergeCell ref="K99:L99"/>
    <mergeCell ref="I66:J66"/>
    <mergeCell ref="D136:N136"/>
    <mergeCell ref="D70:N70"/>
    <mergeCell ref="A52:C52"/>
    <mergeCell ref="I155:J155"/>
    <mergeCell ref="E166:F166"/>
    <mergeCell ref="K155:L155"/>
    <mergeCell ref="D81:N81"/>
    <mergeCell ref="I154:J154"/>
    <mergeCell ref="E165:F165"/>
    <mergeCell ref="A132:B132"/>
    <mergeCell ref="K154:L154"/>
    <mergeCell ref="G111:H111"/>
    <mergeCell ref="A176:B176"/>
    <mergeCell ref="A128:C128"/>
    <mergeCell ref="D60:N60"/>
    <mergeCell ref="K177:L177"/>
    <mergeCell ref="D7:N7"/>
    <mergeCell ref="D205:N205"/>
    <mergeCell ref="A83:C83"/>
    <mergeCell ref="D71:N71"/>
    <mergeCell ref="D58:N58"/>
    <mergeCell ref="A49:C49"/>
    <mergeCell ref="G143:H143"/>
    <mergeCell ref="K221:L221"/>
    <mergeCell ref="D73:N73"/>
    <mergeCell ref="A174:C174"/>
    <mergeCell ref="A205:C205"/>
    <mergeCell ref="A118:C118"/>
    <mergeCell ref="E55:F55"/>
    <mergeCell ref="E67:F67"/>
    <mergeCell ref="G67:H67"/>
    <mergeCell ref="D131:N131"/>
    <mergeCell ref="D124:N124"/>
    <mergeCell ref="D195:N195"/>
    <mergeCell ref="A29:C29"/>
    <mergeCell ref="A84:C84"/>
    <mergeCell ref="G11:H11"/>
    <mergeCell ref="A149:C149"/>
    <mergeCell ref="I11:J11"/>
    <mergeCell ref="D10:N10"/>
    <mergeCell ref="A4:C4"/>
    <mergeCell ref="I56:J56"/>
    <mergeCell ref="K56:L56"/>
    <mergeCell ref="D126:N126"/>
    <mergeCell ref="D197:N197"/>
    <mergeCell ref="I176:J176"/>
    <mergeCell ref="D53:N53"/>
    <mergeCell ref="D47:N47"/>
    <mergeCell ref="A202:C202"/>
    <mergeCell ref="A31:C31"/>
    <mergeCell ref="A58:C58"/>
    <mergeCell ref="C110:D110"/>
    <mergeCell ref="E110:F110"/>
    <mergeCell ref="A73:C73"/>
    <mergeCell ref="A60:C60"/>
    <mergeCell ref="E187:F187"/>
    <mergeCell ref="D15:N15"/>
    <mergeCell ref="A197:C197"/>
    <mergeCell ref="D142:N142"/>
    <mergeCell ref="A124:C124"/>
    <mergeCell ref="D129:N129"/>
    <mergeCell ref="A34:B34"/>
    <mergeCell ref="A143:B143"/>
    <mergeCell ref="C34:D34"/>
    <mergeCell ref="I198:J198"/>
    <mergeCell ref="D208:N208"/>
    <mergeCell ref="K198:L198"/>
    <mergeCell ref="A50:C50"/>
    <mergeCell ref="A86:C86"/>
    <mergeCell ref="A213:C213"/>
    <mergeCell ref="A42:C42"/>
    <mergeCell ref="A151:C151"/>
    <mergeCell ref="A78:B78"/>
    <mergeCell ref="C78:D78"/>
    <mergeCell ref="C100:D100"/>
    <mergeCell ref="D139:N139"/>
    <mergeCell ref="A126:C126"/>
    <mergeCell ref="A150:C150"/>
    <mergeCell ref="K44:L44"/>
    <mergeCell ref="C44:D44"/>
    <mergeCell ref="A114:C114"/>
    <mergeCell ref="D102:N102"/>
    <mergeCell ref="A64:C64"/>
    <mergeCell ref="A191:C191"/>
    <mergeCell ref="D196:N196"/>
    <mergeCell ref="A107:C107"/>
    <mergeCell ref="D54:N54"/>
    <mergeCell ref="D191:N191"/>
    <mergeCell ref="A215:C215"/>
    <mergeCell ref="D76:N76"/>
    <mergeCell ref="A190:C190"/>
    <mergeCell ref="A55:B55"/>
    <mergeCell ref="A152:C152"/>
    <mergeCell ref="E77:F77"/>
    <mergeCell ref="E133:F133"/>
    <mergeCell ref="G133:H133"/>
    <mergeCell ref="E89:F89"/>
    <mergeCell ref="G89:H89"/>
    <mergeCell ref="K176:L176"/>
    <mergeCell ref="A129:C129"/>
    <mergeCell ref="D80:N80"/>
    <mergeCell ref="A85:C85"/>
    <mergeCell ref="D96:N96"/>
    <mergeCell ref="C99:D99"/>
    <mergeCell ref="A131:C131"/>
    <mergeCell ref="A66:B66"/>
    <mergeCell ref="I55:J55"/>
    <mergeCell ref="D162:N162"/>
    <mergeCell ref="I210:J210"/>
    <mergeCell ref="I209:J209"/>
    <mergeCell ref="K209:L209"/>
    <mergeCell ref="D213:N213"/>
    <mergeCell ref="D3:N3"/>
    <mergeCell ref="D92:N92"/>
    <mergeCell ref="D30:N30"/>
    <mergeCell ref="A70:C70"/>
    <mergeCell ref="D5:N5"/>
    <mergeCell ref="D29:N29"/>
    <mergeCell ref="A220:B220"/>
    <mergeCell ref="D94:N94"/>
    <mergeCell ref="A137:C137"/>
    <mergeCell ref="K121:L121"/>
    <mergeCell ref="D69:N69"/>
    <mergeCell ref="A74:C74"/>
    <mergeCell ref="A139:C139"/>
    <mergeCell ref="C88:D88"/>
    <mergeCell ref="E188:F188"/>
    <mergeCell ref="E88:F88"/>
    <mergeCell ref="K110:L110"/>
    <mergeCell ref="A76:C76"/>
    <mergeCell ref="A203:C203"/>
    <mergeCell ref="D170:N170"/>
    <mergeCell ref="C55:D55"/>
    <mergeCell ref="A140:C140"/>
    <mergeCell ref="I12:J12"/>
    <mergeCell ref="K12:L12"/>
    <mergeCell ref="D16:N16"/>
    <mergeCell ref="D147:N147"/>
    <mergeCell ref="A92:C92"/>
    <mergeCell ref="A144:B144"/>
    <mergeCell ref="D18:N18"/>
    <mergeCell ref="C144:D144"/>
    <mergeCell ref="A216:C216"/>
    <mergeCell ref="I78:J78"/>
    <mergeCell ref="A94:C94"/>
    <mergeCell ref="D82:N82"/>
    <mergeCell ref="A87:C87"/>
    <mergeCell ref="D19:N19"/>
    <mergeCell ref="D21:N21"/>
    <mergeCell ref="A69:C69"/>
    <mergeCell ref="A196:C196"/>
    <mergeCell ref="K143:L143"/>
    <mergeCell ref="A183:C183"/>
    <mergeCell ref="A210:B210"/>
    <mergeCell ref="D206:N206"/>
    <mergeCell ref="A41:C41"/>
    <mergeCell ref="C33:D33"/>
    <mergeCell ref="E33:F33"/>
    <mergeCell ref="A27:C27"/>
    <mergeCell ref="D159:N159"/>
    <mergeCell ref="A218:C218"/>
    <mergeCell ref="C210:D210"/>
    <mergeCell ref="A193:C193"/>
    <mergeCell ref="E210:F210"/>
    <mergeCell ref="E111:F111"/>
    <mergeCell ref="A105:C105"/>
    <mergeCell ref="A26:C26"/>
    <mergeCell ref="D31:N31"/>
    <mergeCell ref="D158:N158"/>
    <mergeCell ref="A71:C71"/>
    <mergeCell ref="E198:F198"/>
    <mergeCell ref="G198:H198"/>
    <mergeCell ref="C45:D45"/>
    <mergeCell ref="A120:C120"/>
    <mergeCell ref="A37:C37"/>
    <mergeCell ref="I89:J89"/>
    <mergeCell ref="K89:L89"/>
    <mergeCell ref="C89:D89"/>
    <mergeCell ref="G176:H176"/>
    <mergeCell ref="C187:D187"/>
    <mergeCell ref="K88:L88"/>
    <mergeCell ref="A185:C185"/>
    <mergeCell ref="C177:D177"/>
    <mergeCell ref="E155:F155"/>
    <mergeCell ref="D6:N6"/>
    <mergeCell ref="D108:N108"/>
    <mergeCell ref="A99:B99"/>
    <mergeCell ref="D95:N95"/>
    <mergeCell ref="D160:N160"/>
    <mergeCell ref="A184:C184"/>
    <mergeCell ref="A171:C171"/>
    <mergeCell ref="D97:N97"/>
    <mergeCell ref="D72:N72"/>
    <mergeCell ref="A173:C173"/>
    <mergeCell ref="A148:C148"/>
    <mergeCell ref="D184:N184"/>
    <mergeCell ref="A6:C6"/>
    <mergeCell ref="D42:N42"/>
    <mergeCell ref="E22:F22"/>
    <mergeCell ref="D113:N113"/>
    <mergeCell ref="G22:H22"/>
    <mergeCell ref="K78:L78"/>
    <mergeCell ref="D148:N148"/>
    <mergeCell ref="D26:N26"/>
    <mergeCell ref="D50:N50"/>
    <mergeCell ref="D115:N115"/>
    <mergeCell ref="E122:F122"/>
    <mergeCell ref="A45:B45"/>
    <mergeCell ref="A3:C3"/>
    <mergeCell ref="K55:L55"/>
    <mergeCell ref="A95:C95"/>
    <mergeCell ref="A160:C160"/>
    <mergeCell ref="I144:J144"/>
    <mergeCell ref="K144:L144"/>
    <mergeCell ref="E209:F209"/>
    <mergeCell ref="G209:H209"/>
    <mergeCell ref="A5:C5"/>
    <mergeCell ref="A32:C32"/>
    <mergeCell ref="A159:C159"/>
    <mergeCell ref="A18:C18"/>
    <mergeCell ref="D190:N190"/>
    <mergeCell ref="A110:B110"/>
    <mergeCell ref="D40:N40"/>
    <mergeCell ref="A195:C195"/>
    <mergeCell ref="A187:B187"/>
    <mergeCell ref="D183:N183"/>
    <mergeCell ref="A116:C116"/>
    <mergeCell ref="I100:J100"/>
    <mergeCell ref="K100:L100"/>
    <mergeCell ref="C11:D11"/>
    <mergeCell ref="E11:F11"/>
    <mergeCell ref="A208:C208"/>
    <mergeCell ref="A219:C219"/>
    <mergeCell ref="A97:C97"/>
    <mergeCell ref="A89:B89"/>
    <mergeCell ref="A96:C96"/>
    <mergeCell ref="D179:N179"/>
    <mergeCell ref="A161:C161"/>
    <mergeCell ref="G177:H177"/>
    <mergeCell ref="G33:H33"/>
    <mergeCell ref="I177:J177"/>
    <mergeCell ref="I33:J33"/>
    <mergeCell ref="D103:N103"/>
    <mergeCell ref="D37:N37"/>
    <mergeCell ref="C166:D166"/>
    <mergeCell ref="A214:C214"/>
    <mergeCell ref="D63:N63"/>
    <mergeCell ref="E132:F132"/>
    <mergeCell ref="G132:H132"/>
    <mergeCell ref="G122:H122"/>
    <mergeCell ref="C143:D143"/>
    <mergeCell ref="A47:C47"/>
    <mergeCell ref="E143:F143"/>
    <mergeCell ref="D52:N52"/>
    <mergeCell ref="G199:H199"/>
    <mergeCell ref="D119:N119"/>
    <mergeCell ref="K220:L220"/>
    <mergeCell ref="D168:N168"/>
    <mergeCell ref="D180:N180"/>
    <mergeCell ref="D9:N9"/>
    <mergeCell ref="D118:N118"/>
    <mergeCell ref="A100:B100"/>
    <mergeCell ref="A165:B165"/>
    <mergeCell ref="D161:N161"/>
    <mergeCell ref="C165:D165"/>
    <mergeCell ref="K66:L66"/>
    <mergeCell ref="C66:D66"/>
    <mergeCell ref="G99:H99"/>
    <mergeCell ref="D38:N38"/>
    <mergeCell ref="E66:F66"/>
    <mergeCell ref="D98:N98"/>
    <mergeCell ref="I99:J99"/>
    <mergeCell ref="D169:N169"/>
    <mergeCell ref="A212:C212"/>
    <mergeCell ref="A16:C16"/>
    <mergeCell ref="A77:B77"/>
    <mergeCell ref="C77:D77"/>
    <mergeCell ref="A108:C108"/>
    <mergeCell ref="A166:B166"/>
    <mergeCell ref="G155:H155"/>
    <mergeCell ref="I221:J221"/>
    <mergeCell ref="D27:N27"/>
    <mergeCell ref="D116:N116"/>
    <mergeCell ref="I165:J165"/>
    <mergeCell ref="D91:N91"/>
    <mergeCell ref="D106:N106"/>
    <mergeCell ref="I23:J23"/>
    <mergeCell ref="K23:L23"/>
    <mergeCell ref="A23:B23"/>
    <mergeCell ref="D93:N93"/>
    <mergeCell ref="C23:D23"/>
    <mergeCell ref="K210:L210"/>
    <mergeCell ref="A182:C182"/>
    <mergeCell ref="A98:C98"/>
    <mergeCell ref="A169:C169"/>
    <mergeCell ref="D157:N157"/>
    <mergeCell ref="A162:C162"/>
    <mergeCell ref="E56:F56"/>
    <mergeCell ref="C154:D154"/>
    <mergeCell ref="G56:H56"/>
    <mergeCell ref="I34:J34"/>
    <mergeCell ref="D182:N182"/>
    <mergeCell ref="K34:L34"/>
    <mergeCell ref="A164:C164"/>
    <mergeCell ref="D219:N219"/>
    <mergeCell ref="D104:N104"/>
    <mergeCell ref="K165:L165"/>
    <mergeCell ref="A17:C17"/>
    <mergeCell ref="A53:C53"/>
    <mergeCell ref="A109:C109"/>
    <mergeCell ref="A180:C180"/>
    <mergeCell ref="D185:N185"/>
    <mergeCell ref="D41:N41"/>
    <mergeCell ref="A19:C19"/>
    <mergeCell ref="K77:L77"/>
    <mergeCell ref="A117:C117"/>
    <mergeCell ref="D214:N214"/>
    <mergeCell ref="D43:N43"/>
    <mergeCell ref="D137:N137"/>
    <mergeCell ref="A48:C48"/>
    <mergeCell ref="A142:C142"/>
    <mergeCell ref="D74:N74"/>
    <mergeCell ref="D130:N130"/>
    <mergeCell ref="D201:N201"/>
    <mergeCell ref="A121:B121"/>
    <mergeCell ref="D117:N117"/>
    <mergeCell ref="A44:B44"/>
    <mergeCell ref="D59:N59"/>
    <mergeCell ref="E220:F220"/>
    <mergeCell ref="G220:H220"/>
    <mergeCell ref="A43:C43"/>
    <mergeCell ref="D48:N48"/>
    <mergeCell ref="G121:H121"/>
    <mergeCell ref="I121:J121"/>
    <mergeCell ref="A63:C63"/>
    <mergeCell ref="D87:N87"/>
    <mergeCell ref="A130:C130"/>
    <mergeCell ref="A188:B188"/>
    <mergeCell ref="D62:N62"/>
    <mergeCell ref="G110:H110"/>
    <mergeCell ref="D193:N193"/>
    <mergeCell ref="I110:J110"/>
    <mergeCell ref="I166:J166"/>
    <mergeCell ref="I44:J44"/>
    <mergeCell ref="K166:L166"/>
    <mergeCell ref="D114:N114"/>
    <mergeCell ref="A138:C138"/>
    <mergeCell ref="D64:N64"/>
    <mergeCell ref="A119:C119"/>
    <mergeCell ref="A111:B111"/>
    <mergeCell ref="D51:N51"/>
    <mergeCell ref="C111:D111"/>
    <mergeCell ref="E12:F12"/>
    <mergeCell ref="G12:H12"/>
    <mergeCell ref="I199:J199"/>
    <mergeCell ref="D138:N138"/>
    <mergeCell ref="D203:N203"/>
    <mergeCell ref="D140:N140"/>
    <mergeCell ref="D204:N204"/>
    <mergeCell ref="A38:C38"/>
    <mergeCell ref="A147:C147"/>
    <mergeCell ref="D141:N141"/>
    <mergeCell ref="D75:N75"/>
    <mergeCell ref="D135:N135"/>
    <mergeCell ref="C188:D188"/>
    <mergeCell ref="I111:J111"/>
    <mergeCell ref="D181:N181"/>
    <mergeCell ref="A40:C40"/>
    <mergeCell ref="C132:D132"/>
    <mergeCell ref="A186:C186"/>
    <mergeCell ref="A15:C15"/>
    <mergeCell ref="E154:F154"/>
    <mergeCell ref="G154:H154"/>
    <mergeCell ref="A51:C51"/>
    <mergeCell ref="A82:C82"/>
    <mergeCell ref="D14:N14"/>
    <mergeCell ref="G221:H221"/>
    <mergeCell ref="A146:C146"/>
    <mergeCell ref="I187:J187"/>
    <mergeCell ref="K187:L187"/>
    <mergeCell ref="D153:N153"/>
    <mergeCell ref="D128:N128"/>
    <mergeCell ref="A158:C158"/>
    <mergeCell ref="I45:J45"/>
    <mergeCell ref="K45:L45"/>
    <mergeCell ref="D186:N186"/>
    <mergeCell ref="D217:N217"/>
    <mergeCell ref="A204:C204"/>
    <mergeCell ref="I188:J188"/>
    <mergeCell ref="D65:N65"/>
    <mergeCell ref="K188:L188"/>
    <mergeCell ref="D212:N212"/>
    <mergeCell ref="A209:B209"/>
    <mergeCell ref="C209:D209"/>
    <mergeCell ref="A153:C153"/>
    <mergeCell ref="D207:N207"/>
    <mergeCell ref="A67:B67"/>
    <mergeCell ref="D85:N85"/>
    <mergeCell ref="A54:C54"/>
    <mergeCell ref="A217:C217"/>
    <mergeCell ref="K11:L11"/>
    <mergeCell ref="A141:C141"/>
    <mergeCell ref="A135:C135"/>
    <mergeCell ref="E177:F177"/>
    <mergeCell ref="A206:C206"/>
    <mergeCell ref="A133:B133"/>
    <mergeCell ref="C133:D133"/>
    <mergeCell ref="A62:C62"/>
    <mergeCell ref="C22:D22"/>
    <mergeCell ref="D194:N194"/>
    <mergeCell ref="E78:F78"/>
    <mergeCell ref="C176:D176"/>
    <mergeCell ref="G78:H78"/>
    <mergeCell ref="E176:F176"/>
    <mergeCell ref="A72:C72"/>
    <mergeCell ref="D17:N17"/>
    <mergeCell ref="K111:L111"/>
    <mergeCell ref="A28:C28"/>
    <mergeCell ref="A30:C30"/>
    <mergeCell ref="A59:C59"/>
    <mergeCell ref="E144:F144"/>
    <mergeCell ref="G144:H144"/>
    <mergeCell ref="D83:N83"/>
    <mergeCell ref="A61:C61"/>
    <mergeCell ref="A9:C9"/>
    <mergeCell ref="I67:J67"/>
    <mergeCell ref="I132:J132"/>
    <mergeCell ref="K132:L132"/>
    <mergeCell ref="D202:N202"/>
    <mergeCell ref="A122:B122"/>
    <mergeCell ref="C122:D122"/>
    <mergeCell ref="A207:C207"/>
    <mergeCell ref="A36:C36"/>
    <mergeCell ref="A14:C14"/>
    <mergeCell ref="A177:B177"/>
    <mergeCell ref="A106:C106"/>
    <mergeCell ref="A81:C81"/>
    <mergeCell ref="D61:N61"/>
    <mergeCell ref="A170:C170"/>
    <mergeCell ref="D175:N175"/>
    <mergeCell ref="D125:N125"/>
    <mergeCell ref="G88:H88"/>
    <mergeCell ref="A201:C201"/>
    <mergeCell ref="I88:J88"/>
    <mergeCell ref="D152:N152"/>
    <mergeCell ref="D127:N127"/>
    <mergeCell ref="A155:B155"/>
    <mergeCell ref="C155:D155"/>
    <mergeCell ref="D8:N8"/>
    <mergeCell ref="A199:B199"/>
    <mergeCell ref="C199:D199"/>
    <mergeCell ref="E199:F199"/>
    <mergeCell ref="A65:C65"/>
    <mergeCell ref="D20:N20"/>
    <mergeCell ref="A80:C80"/>
    <mergeCell ref="D109:N109"/>
    <mergeCell ref="E23:F23"/>
    <mergeCell ref="G23:H23"/>
    <mergeCell ref="A88:B88"/>
    <mergeCell ref="D84:N84"/>
    <mergeCell ref="D149:N149"/>
    <mergeCell ref="A179:C179"/>
    <mergeCell ref="D86:N86"/>
    <mergeCell ref="D151:N151"/>
    <mergeCell ref="I122:J122"/>
    <mergeCell ref="A91:C91"/>
    <mergeCell ref="A56:B56"/>
    <mergeCell ref="C56:D56"/>
    <mergeCell ref="A154:B154"/>
    <mergeCell ref="D150:N150"/>
    <mergeCell ref="E34:F34"/>
    <mergeCell ref="K122:L122"/>
    <mergeCell ref="D215:N215"/>
    <mergeCell ref="G34:H34"/>
    <mergeCell ref="K67:L67"/>
    <mergeCell ref="E99:F99"/>
    <mergeCell ref="A93:C93"/>
    <mergeCell ref="D4:N4"/>
    <mergeCell ref="A157:C157"/>
    <mergeCell ref="A22:B22"/>
    <mergeCell ref="E100:F100"/>
    <mergeCell ref="C67:D67"/>
    <mergeCell ref="G100:H100"/>
    <mergeCell ref="G165:H165"/>
    <mergeCell ref="D164:N164"/>
    <mergeCell ref="G44:H44"/>
    <mergeCell ref="G77:H77"/>
    <mergeCell ref="I77:J77"/>
    <mergeCell ref="I133:J133"/>
    <mergeCell ref="A75:C75"/>
    <mergeCell ref="K133:L133"/>
    <mergeCell ref="A11:B11"/>
    <mergeCell ref="D172:N172"/>
    <mergeCell ref="A104:C104"/>
    <mergeCell ref="A175:C175"/>
    <mergeCell ref="D36:N36"/>
    <mergeCell ref="D216:N216"/>
    <mergeCell ref="C220:D220"/>
    <mergeCell ref="A7:C7"/>
    <mergeCell ref="A172:C172"/>
    <mergeCell ref="A25:C25"/>
    <mergeCell ref="E121:F121"/>
    <mergeCell ref="D218:N218"/>
    <mergeCell ref="A163:C163"/>
    <mergeCell ref="E44:F44"/>
    <mergeCell ref="G166:H166"/>
    <mergeCell ref="D105:N105"/>
    <mergeCell ref="D49:N49"/>
    <mergeCell ref="D120:N120"/>
    <mergeCell ref="D107:N107"/>
    <mergeCell ref="D163:N163"/>
    <mergeCell ref="A20:C20"/>
    <mergeCell ref="A125:C125"/>
    <mergeCell ref="A12:B12"/>
    <mergeCell ref="I143:J143"/>
    <mergeCell ref="C12:D12"/>
    <mergeCell ref="K199:L199"/>
    <mergeCell ref="G210:H210"/>
    <mergeCell ref="D171:N171"/>
    <mergeCell ref="A127:C127"/>
    <mergeCell ref="A221:B221"/>
    <mergeCell ref="C221:D221"/>
    <mergeCell ref="A8:C8"/>
    <mergeCell ref="E221:F221"/>
    <mergeCell ref="I22:J22"/>
    <mergeCell ref="D32:N32"/>
    <mergeCell ref="K22:L22"/>
    <mergeCell ref="I220:J220"/>
    <mergeCell ref="A198:B198"/>
    <mergeCell ref="G187:H187"/>
    <mergeCell ref="C198:D198"/>
    <mergeCell ref="A10:C10"/>
    <mergeCell ref="A115:C115"/>
    <mergeCell ref="A102:C102"/>
    <mergeCell ref="E45:F45"/>
    <mergeCell ref="G45:H45"/>
    <mergeCell ref="A39:C39"/>
    <mergeCell ref="D146:N146"/>
    <mergeCell ref="G188:H188"/>
    <mergeCell ref="G55:H55"/>
    <mergeCell ref="D192:N192"/>
    <mergeCell ref="A103:C103"/>
    <mergeCell ref="A168:C168"/>
    <mergeCell ref="D173:N173"/>
  </mergeCells>
  <hyperlinks>
    <hyperlink ref="A1" location="'Experiencia de usuario'!A1" display="Experiencia de Usuario"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59999389629810485"/>
  </sheetPr>
  <dimension ref="A1:N330"/>
  <sheetViews>
    <sheetView topLeftCell="I1" workbookViewId="0">
      <selection activeCell="N187" sqref="N187"/>
    </sheetView>
  </sheetViews>
  <sheetFormatPr defaultColWidth="11.42578125" defaultRowHeight="15"/>
  <cols>
    <col min="1" max="1" width="12.140625" style="43" bestFit="1" customWidth="1"/>
    <col min="2" max="9" width="11.42578125" style="43" customWidth="1"/>
    <col min="10" max="10" width="61.28515625" style="43" customWidth="1"/>
    <col min="11" max="11" width="11.42578125" style="43" customWidth="1"/>
    <col min="12" max="12" width="37.42578125" style="43" customWidth="1"/>
    <col min="13" max="13" width="11.42578125" style="43" customWidth="1"/>
    <col min="14" max="14" width="64.85546875" style="43" customWidth="1"/>
    <col min="15" max="16384" width="11.42578125" style="43"/>
  </cols>
  <sheetData>
    <row r="1" spans="1:14">
      <c r="A1" s="42" t="s">
        <v>14</v>
      </c>
      <c r="B1" s="105"/>
      <c r="C1" s="105"/>
      <c r="D1" s="105"/>
      <c r="E1" s="105"/>
      <c r="F1" s="105"/>
      <c r="G1" s="105"/>
      <c r="H1" s="105"/>
      <c r="I1" s="105"/>
      <c r="J1" s="105"/>
      <c r="K1" s="105"/>
      <c r="L1" s="105"/>
      <c r="M1" s="105"/>
      <c r="N1" s="105"/>
    </row>
    <row r="2" spans="1:14">
      <c r="A2" s="98" t="s">
        <v>72</v>
      </c>
      <c r="B2" s="106"/>
      <c r="C2" s="106"/>
      <c r="D2" s="112" t="s">
        <v>14</v>
      </c>
      <c r="E2" s="108"/>
      <c r="F2" s="108"/>
      <c r="G2" s="108"/>
      <c r="H2" s="108"/>
      <c r="I2" s="108"/>
      <c r="J2" s="108"/>
      <c r="K2" s="108"/>
      <c r="L2" s="108"/>
      <c r="M2" s="108"/>
      <c r="N2" s="109"/>
    </row>
    <row r="3" spans="1:14" ht="29.25" customHeight="1">
      <c r="A3" s="98" t="s">
        <v>73</v>
      </c>
      <c r="B3" s="106"/>
      <c r="C3" s="106"/>
      <c r="D3" s="112" t="s">
        <v>55</v>
      </c>
      <c r="E3" s="108"/>
      <c r="F3" s="108"/>
      <c r="G3" s="108"/>
      <c r="H3" s="108"/>
      <c r="I3" s="108"/>
      <c r="J3" s="108"/>
      <c r="K3" s="108"/>
      <c r="L3" s="108"/>
      <c r="M3" s="108"/>
      <c r="N3" s="109"/>
    </row>
    <row r="4" spans="1:14">
      <c r="A4" s="97" t="s">
        <v>74</v>
      </c>
      <c r="B4" s="110"/>
      <c r="C4" s="111"/>
      <c r="D4" s="112" t="s">
        <v>448</v>
      </c>
      <c r="E4" s="108"/>
      <c r="F4" s="108"/>
      <c r="G4" s="108"/>
      <c r="H4" s="108"/>
      <c r="I4" s="108"/>
      <c r="J4" s="108"/>
      <c r="K4" s="108"/>
      <c r="L4" s="108"/>
      <c r="M4" s="108"/>
      <c r="N4" s="109"/>
    </row>
    <row r="5" spans="1:14">
      <c r="A5" s="97" t="s">
        <v>76</v>
      </c>
      <c r="B5" s="110"/>
      <c r="C5" s="111"/>
      <c r="D5" s="112" t="s">
        <v>449</v>
      </c>
      <c r="E5" s="108"/>
      <c r="F5" s="108"/>
      <c r="G5" s="108"/>
      <c r="H5" s="108"/>
      <c r="I5" s="108"/>
      <c r="J5" s="108"/>
      <c r="K5" s="108"/>
      <c r="L5" s="108"/>
      <c r="M5" s="108"/>
      <c r="N5" s="109"/>
    </row>
    <row r="6" spans="1:14">
      <c r="A6" s="97" t="s">
        <v>78</v>
      </c>
      <c r="B6" s="110"/>
      <c r="C6" s="111"/>
      <c r="D6" s="112" t="s">
        <v>79</v>
      </c>
      <c r="E6" s="108"/>
      <c r="F6" s="108"/>
      <c r="G6" s="108"/>
      <c r="H6" s="108"/>
      <c r="I6" s="108"/>
      <c r="J6" s="108"/>
      <c r="K6" s="108"/>
      <c r="L6" s="108"/>
      <c r="M6" s="108"/>
      <c r="N6" s="109"/>
    </row>
    <row r="7" spans="1:14">
      <c r="A7" s="97" t="s">
        <v>151</v>
      </c>
      <c r="B7" s="110"/>
      <c r="C7" s="111"/>
      <c r="D7" s="112" t="s">
        <v>450</v>
      </c>
      <c r="E7" s="108"/>
      <c r="F7" s="108"/>
      <c r="G7" s="108"/>
      <c r="H7" s="108"/>
      <c r="I7" s="108"/>
      <c r="J7" s="108"/>
      <c r="K7" s="108"/>
      <c r="L7" s="108"/>
      <c r="M7" s="108"/>
      <c r="N7" s="109"/>
    </row>
    <row r="8" spans="1:14" ht="44.25" customHeight="1">
      <c r="A8" s="97" t="s">
        <v>82</v>
      </c>
      <c r="B8" s="110"/>
      <c r="C8" s="111"/>
      <c r="D8" s="112" t="s">
        <v>451</v>
      </c>
      <c r="E8" s="108"/>
      <c r="F8" s="108"/>
      <c r="G8" s="108"/>
      <c r="H8" s="108"/>
      <c r="I8" s="108"/>
      <c r="J8" s="108"/>
      <c r="K8" s="108"/>
      <c r="L8" s="108"/>
      <c r="M8" s="108"/>
      <c r="N8" s="109"/>
    </row>
    <row r="9" spans="1:14" ht="46.5" customHeight="1">
      <c r="A9" s="97" t="s">
        <v>84</v>
      </c>
      <c r="B9" s="110"/>
      <c r="C9" s="111"/>
      <c r="D9" s="112" t="s">
        <v>452</v>
      </c>
      <c r="E9" s="108"/>
      <c r="F9" s="108"/>
      <c r="G9" s="108"/>
      <c r="H9" s="108"/>
      <c r="I9" s="108"/>
      <c r="J9" s="108"/>
      <c r="K9" s="108"/>
      <c r="L9" s="108"/>
      <c r="M9" s="108"/>
      <c r="N9" s="109"/>
    </row>
    <row r="10" spans="1:14" ht="32.1" customHeight="1">
      <c r="A10" s="99" t="s">
        <v>86</v>
      </c>
      <c r="B10" s="111"/>
      <c r="C10" s="100" t="s">
        <v>87</v>
      </c>
      <c r="D10" s="111"/>
      <c r="E10" s="96" t="s">
        <v>88</v>
      </c>
      <c r="F10" s="113"/>
      <c r="G10" s="96" t="s">
        <v>89</v>
      </c>
      <c r="H10" s="113"/>
      <c r="I10" s="96" t="s">
        <v>90</v>
      </c>
      <c r="J10" s="113"/>
      <c r="K10" s="96" t="s">
        <v>91</v>
      </c>
      <c r="L10" s="113"/>
      <c r="M10" s="48" t="s">
        <v>92</v>
      </c>
      <c r="N10" s="48" t="s">
        <v>93</v>
      </c>
    </row>
    <row r="11" spans="1:14" ht="63" customHeight="1">
      <c r="A11" s="114" t="s">
        <v>453</v>
      </c>
      <c r="B11" s="111"/>
      <c r="C11" s="115" t="s">
        <v>454</v>
      </c>
      <c r="D11" s="111"/>
      <c r="E11" s="115" t="s">
        <v>129</v>
      </c>
      <c r="F11" s="111"/>
      <c r="G11" s="115" t="s">
        <v>97</v>
      </c>
      <c r="H11" s="111"/>
      <c r="I11" s="115" t="s">
        <v>455</v>
      </c>
      <c r="J11" s="111"/>
      <c r="K11" s="115" t="s">
        <v>456</v>
      </c>
      <c r="L11" s="111"/>
      <c r="M11" s="132"/>
      <c r="N11" s="132" t="s">
        <v>457</v>
      </c>
    </row>
    <row r="12" spans="1:14">
      <c r="A12" s="42"/>
      <c r="B12" s="105"/>
      <c r="C12" s="105"/>
      <c r="D12" s="105"/>
      <c r="E12" s="105"/>
      <c r="F12" s="105"/>
      <c r="G12" s="105"/>
      <c r="H12" s="105"/>
      <c r="I12" s="105"/>
      <c r="J12" s="105"/>
      <c r="K12" s="105"/>
      <c r="L12" s="105"/>
      <c r="M12" s="105"/>
      <c r="N12" s="105"/>
    </row>
    <row r="13" spans="1:14">
      <c r="A13" s="98" t="s">
        <v>72</v>
      </c>
      <c r="B13" s="106"/>
      <c r="C13" s="106"/>
      <c r="D13" s="112" t="s">
        <v>14</v>
      </c>
      <c r="E13" s="108"/>
      <c r="F13" s="108"/>
      <c r="G13" s="108"/>
      <c r="H13" s="108"/>
      <c r="I13" s="108"/>
      <c r="J13" s="108"/>
      <c r="K13" s="108"/>
      <c r="L13" s="108"/>
      <c r="M13" s="108"/>
      <c r="N13" s="109"/>
    </row>
    <row r="14" spans="1:14">
      <c r="A14" s="98" t="s">
        <v>73</v>
      </c>
      <c r="B14" s="106"/>
      <c r="C14" s="106"/>
      <c r="D14" s="112" t="s">
        <v>55</v>
      </c>
      <c r="E14" s="108"/>
      <c r="F14" s="108"/>
      <c r="G14" s="108"/>
      <c r="H14" s="108"/>
      <c r="I14" s="108"/>
      <c r="J14" s="108"/>
      <c r="K14" s="108"/>
      <c r="L14" s="108"/>
      <c r="M14" s="108"/>
      <c r="N14" s="109"/>
    </row>
    <row r="15" spans="1:14">
      <c r="A15" s="97" t="s">
        <v>74</v>
      </c>
      <c r="B15" s="110"/>
      <c r="C15" s="111"/>
      <c r="D15" s="112" t="s">
        <v>458</v>
      </c>
      <c r="E15" s="108"/>
      <c r="F15" s="108"/>
      <c r="G15" s="108"/>
      <c r="H15" s="108"/>
      <c r="I15" s="108"/>
      <c r="J15" s="108"/>
      <c r="K15" s="108"/>
      <c r="L15" s="108"/>
      <c r="M15" s="108"/>
      <c r="N15" s="109"/>
    </row>
    <row r="16" spans="1:14">
      <c r="A16" s="97" t="s">
        <v>76</v>
      </c>
      <c r="B16" s="110"/>
      <c r="C16" s="111"/>
      <c r="D16" s="112" t="s">
        <v>459</v>
      </c>
      <c r="E16" s="108"/>
      <c r="F16" s="108"/>
      <c r="G16" s="108"/>
      <c r="H16" s="108"/>
      <c r="I16" s="108"/>
      <c r="J16" s="108"/>
      <c r="K16" s="108"/>
      <c r="L16" s="108"/>
      <c r="M16" s="108"/>
      <c r="N16" s="109"/>
    </row>
    <row r="17" spans="1:14">
      <c r="A17" s="97" t="s">
        <v>78</v>
      </c>
      <c r="B17" s="110"/>
      <c r="C17" s="111"/>
      <c r="D17" s="112" t="s">
        <v>103</v>
      </c>
      <c r="E17" s="108"/>
      <c r="F17" s="108"/>
      <c r="G17" s="108"/>
      <c r="H17" s="108"/>
      <c r="I17" s="108"/>
      <c r="J17" s="108"/>
      <c r="K17" s="108"/>
      <c r="L17" s="108"/>
      <c r="M17" s="108"/>
      <c r="N17" s="109"/>
    </row>
    <row r="18" spans="1:14">
      <c r="A18" s="97" t="s">
        <v>151</v>
      </c>
      <c r="B18" s="110"/>
      <c r="C18" s="111"/>
      <c r="D18" s="112" t="s">
        <v>460</v>
      </c>
      <c r="E18" s="108"/>
      <c r="F18" s="108"/>
      <c r="G18" s="108"/>
      <c r="H18" s="108"/>
      <c r="I18" s="108"/>
      <c r="J18" s="108"/>
      <c r="K18" s="108"/>
      <c r="L18" s="108"/>
      <c r="M18" s="108"/>
      <c r="N18" s="109"/>
    </row>
    <row r="19" spans="1:14" ht="63.75" customHeight="1">
      <c r="A19" s="97" t="s">
        <v>82</v>
      </c>
      <c r="B19" s="110"/>
      <c r="C19" s="111"/>
      <c r="D19" s="112" t="s">
        <v>461</v>
      </c>
      <c r="E19" s="108"/>
      <c r="F19" s="108"/>
      <c r="G19" s="108"/>
      <c r="H19" s="108"/>
      <c r="I19" s="108"/>
      <c r="J19" s="108"/>
      <c r="K19" s="108"/>
      <c r="L19" s="108"/>
      <c r="M19" s="108"/>
      <c r="N19" s="109"/>
    </row>
    <row r="20" spans="1:14">
      <c r="A20" s="97" t="s">
        <v>84</v>
      </c>
      <c r="B20" s="110"/>
      <c r="C20" s="111"/>
      <c r="D20" s="112" t="s">
        <v>462</v>
      </c>
      <c r="E20" s="108"/>
      <c r="F20" s="108"/>
      <c r="G20" s="108"/>
      <c r="H20" s="108"/>
      <c r="I20" s="108"/>
      <c r="J20" s="108"/>
      <c r="K20" s="108"/>
      <c r="L20" s="108"/>
      <c r="M20" s="108"/>
      <c r="N20" s="109"/>
    </row>
    <row r="21" spans="1:14" ht="32.1" customHeight="1">
      <c r="A21" s="99" t="s">
        <v>86</v>
      </c>
      <c r="B21" s="111"/>
      <c r="C21" s="100" t="s">
        <v>87</v>
      </c>
      <c r="D21" s="111"/>
      <c r="E21" s="96" t="s">
        <v>88</v>
      </c>
      <c r="F21" s="113"/>
      <c r="G21" s="96" t="s">
        <v>89</v>
      </c>
      <c r="H21" s="113"/>
      <c r="I21" s="96" t="s">
        <v>90</v>
      </c>
      <c r="J21" s="113"/>
      <c r="K21" s="96" t="s">
        <v>91</v>
      </c>
      <c r="L21" s="113"/>
      <c r="M21" s="48" t="s">
        <v>92</v>
      </c>
      <c r="N21" s="48" t="s">
        <v>93</v>
      </c>
    </row>
    <row r="22" spans="1:14" ht="72" customHeight="1">
      <c r="A22" s="114" t="s">
        <v>463</v>
      </c>
      <c r="B22" s="111"/>
      <c r="C22" s="115" t="s">
        <v>464</v>
      </c>
      <c r="D22" s="111"/>
      <c r="E22" s="115" t="s">
        <v>129</v>
      </c>
      <c r="F22" s="111"/>
      <c r="G22" s="115" t="s">
        <v>97</v>
      </c>
      <c r="H22" s="111"/>
      <c r="I22" s="115" t="s">
        <v>465</v>
      </c>
      <c r="J22" s="111"/>
      <c r="K22" s="115" t="s">
        <v>466</v>
      </c>
      <c r="L22" s="111"/>
      <c r="M22" s="132"/>
      <c r="N22" s="132" t="s">
        <v>467</v>
      </c>
    </row>
    <row r="23" spans="1:14">
      <c r="A23" s="42"/>
      <c r="B23" s="105"/>
      <c r="C23" s="105"/>
      <c r="D23" s="105"/>
      <c r="E23" s="105"/>
      <c r="F23" s="105"/>
      <c r="G23" s="105"/>
      <c r="H23" s="105"/>
      <c r="I23" s="105"/>
      <c r="J23" s="105"/>
      <c r="K23" s="105"/>
      <c r="L23" s="105"/>
      <c r="M23" s="105"/>
      <c r="N23" s="105"/>
    </row>
    <row r="24" spans="1:14">
      <c r="A24" s="98" t="s">
        <v>72</v>
      </c>
      <c r="B24" s="106"/>
      <c r="C24" s="106"/>
      <c r="D24" s="112" t="s">
        <v>14</v>
      </c>
      <c r="E24" s="108"/>
      <c r="F24" s="108"/>
      <c r="G24" s="108"/>
      <c r="H24" s="108"/>
      <c r="I24" s="108"/>
      <c r="J24" s="108"/>
      <c r="K24" s="108"/>
      <c r="L24" s="108"/>
      <c r="M24" s="108"/>
      <c r="N24" s="109"/>
    </row>
    <row r="25" spans="1:14">
      <c r="A25" s="98" t="s">
        <v>73</v>
      </c>
      <c r="B25" s="106"/>
      <c r="C25" s="106"/>
      <c r="D25" s="112" t="s">
        <v>56</v>
      </c>
      <c r="E25" s="108"/>
      <c r="F25" s="108"/>
      <c r="G25" s="108"/>
      <c r="H25" s="108"/>
      <c r="I25" s="108"/>
      <c r="J25" s="108"/>
      <c r="K25" s="108"/>
      <c r="L25" s="108"/>
      <c r="M25" s="108"/>
      <c r="N25" s="109"/>
    </row>
    <row r="26" spans="1:14">
      <c r="A26" s="97" t="s">
        <v>74</v>
      </c>
      <c r="B26" s="110"/>
      <c r="C26" s="111"/>
      <c r="D26" s="112" t="s">
        <v>468</v>
      </c>
      <c r="E26" s="108"/>
      <c r="F26" s="108"/>
      <c r="G26" s="108"/>
      <c r="H26" s="108"/>
      <c r="I26" s="108"/>
      <c r="J26" s="108"/>
      <c r="K26" s="108"/>
      <c r="L26" s="108"/>
      <c r="M26" s="108"/>
      <c r="N26" s="109"/>
    </row>
    <row r="27" spans="1:14">
      <c r="A27" s="97" t="s">
        <v>76</v>
      </c>
      <c r="B27" s="110"/>
      <c r="C27" s="111"/>
      <c r="D27" s="112" t="s">
        <v>469</v>
      </c>
      <c r="E27" s="108"/>
      <c r="F27" s="108"/>
      <c r="G27" s="108"/>
      <c r="H27" s="108"/>
      <c r="I27" s="108"/>
      <c r="J27" s="108"/>
      <c r="K27" s="108"/>
      <c r="L27" s="108"/>
      <c r="M27" s="108"/>
      <c r="N27" s="109"/>
    </row>
    <row r="28" spans="1:14">
      <c r="A28" s="97" t="s">
        <v>78</v>
      </c>
      <c r="B28" s="110"/>
      <c r="C28" s="111"/>
      <c r="D28" s="112" t="s">
        <v>79</v>
      </c>
      <c r="E28" s="108"/>
      <c r="F28" s="108"/>
      <c r="G28" s="108"/>
      <c r="H28" s="108"/>
      <c r="I28" s="108"/>
      <c r="J28" s="108"/>
      <c r="K28" s="108"/>
      <c r="L28" s="108"/>
      <c r="M28" s="108"/>
      <c r="N28" s="109"/>
    </row>
    <row r="29" spans="1:14">
      <c r="A29" s="97" t="s">
        <v>151</v>
      </c>
      <c r="B29" s="110"/>
      <c r="C29" s="111"/>
      <c r="D29" s="112" t="s">
        <v>470</v>
      </c>
      <c r="E29" s="108"/>
      <c r="F29" s="108"/>
      <c r="G29" s="108"/>
      <c r="H29" s="108"/>
      <c r="I29" s="108"/>
      <c r="J29" s="108"/>
      <c r="K29" s="108"/>
      <c r="L29" s="108"/>
      <c r="M29" s="108"/>
      <c r="N29" s="109"/>
    </row>
    <row r="30" spans="1:14" ht="49.5" customHeight="1">
      <c r="A30" s="97" t="s">
        <v>82</v>
      </c>
      <c r="B30" s="110"/>
      <c r="C30" s="111"/>
      <c r="D30" s="112" t="s">
        <v>471</v>
      </c>
      <c r="E30" s="108"/>
      <c r="F30" s="108"/>
      <c r="G30" s="108"/>
      <c r="H30" s="108"/>
      <c r="I30" s="108"/>
      <c r="J30" s="108"/>
      <c r="K30" s="108"/>
      <c r="L30" s="108"/>
      <c r="M30" s="108"/>
      <c r="N30" s="109"/>
    </row>
    <row r="31" spans="1:14" ht="32.25" customHeight="1">
      <c r="A31" s="97" t="s">
        <v>84</v>
      </c>
      <c r="B31" s="110"/>
      <c r="C31" s="111"/>
      <c r="D31" s="112" t="s">
        <v>472</v>
      </c>
      <c r="E31" s="108"/>
      <c r="F31" s="108"/>
      <c r="G31" s="108"/>
      <c r="H31" s="108"/>
      <c r="I31" s="108"/>
      <c r="J31" s="108"/>
      <c r="K31" s="108"/>
      <c r="L31" s="108"/>
      <c r="M31" s="108"/>
      <c r="N31" s="109"/>
    </row>
    <row r="32" spans="1:14" ht="32.1" customHeight="1">
      <c r="A32" s="99" t="s">
        <v>86</v>
      </c>
      <c r="B32" s="111"/>
      <c r="C32" s="100" t="s">
        <v>87</v>
      </c>
      <c r="D32" s="111"/>
      <c r="E32" s="96" t="s">
        <v>88</v>
      </c>
      <c r="F32" s="113"/>
      <c r="G32" s="96" t="s">
        <v>89</v>
      </c>
      <c r="H32" s="113"/>
      <c r="I32" s="96" t="s">
        <v>90</v>
      </c>
      <c r="J32" s="113"/>
      <c r="K32" s="96" t="s">
        <v>91</v>
      </c>
      <c r="L32" s="113"/>
      <c r="M32" s="48" t="s">
        <v>92</v>
      </c>
      <c r="N32" s="48" t="s">
        <v>93</v>
      </c>
    </row>
    <row r="33" spans="1:14" ht="79.5" customHeight="1">
      <c r="A33" s="114" t="s">
        <v>453</v>
      </c>
      <c r="B33" s="111"/>
      <c r="C33" s="115" t="s">
        <v>473</v>
      </c>
      <c r="D33" s="111"/>
      <c r="E33" s="115" t="s">
        <v>129</v>
      </c>
      <c r="F33" s="111"/>
      <c r="G33" s="115" t="s">
        <v>97</v>
      </c>
      <c r="H33" s="111"/>
      <c r="I33" s="115" t="s">
        <v>474</v>
      </c>
      <c r="J33" s="111"/>
      <c r="K33" s="115" t="s">
        <v>475</v>
      </c>
      <c r="L33" s="111"/>
      <c r="M33" s="132"/>
      <c r="N33" s="132" t="s">
        <v>457</v>
      </c>
    </row>
    <row r="34" spans="1:14">
      <c r="A34" s="42"/>
      <c r="B34" s="105"/>
      <c r="C34" s="105"/>
      <c r="D34" s="105"/>
      <c r="E34" s="105"/>
      <c r="F34" s="105"/>
      <c r="G34" s="105"/>
      <c r="H34" s="105"/>
      <c r="I34" s="105"/>
      <c r="J34" s="105"/>
      <c r="K34" s="105"/>
      <c r="L34" s="105"/>
      <c r="M34" s="105"/>
      <c r="N34" s="105"/>
    </row>
    <row r="35" spans="1:14">
      <c r="A35" s="98" t="s">
        <v>72</v>
      </c>
      <c r="B35" s="106"/>
      <c r="C35" s="106"/>
      <c r="D35" s="112" t="s">
        <v>14</v>
      </c>
      <c r="E35" s="108"/>
      <c r="F35" s="108"/>
      <c r="G35" s="108"/>
      <c r="H35" s="108"/>
      <c r="I35" s="108"/>
      <c r="J35" s="108"/>
      <c r="K35" s="108"/>
      <c r="L35" s="108"/>
      <c r="M35" s="108"/>
      <c r="N35" s="109"/>
    </row>
    <row r="36" spans="1:14">
      <c r="A36" s="98" t="s">
        <v>73</v>
      </c>
      <c r="B36" s="106"/>
      <c r="C36" s="106"/>
      <c r="D36" s="112" t="s">
        <v>56</v>
      </c>
      <c r="E36" s="108"/>
      <c r="F36" s="108"/>
      <c r="G36" s="108"/>
      <c r="H36" s="108"/>
      <c r="I36" s="108"/>
      <c r="J36" s="108"/>
      <c r="K36" s="108"/>
      <c r="L36" s="108"/>
      <c r="M36" s="108"/>
      <c r="N36" s="109"/>
    </row>
    <row r="37" spans="1:14">
      <c r="A37" s="97" t="s">
        <v>74</v>
      </c>
      <c r="B37" s="110"/>
      <c r="C37" s="111"/>
      <c r="D37" s="112" t="s">
        <v>476</v>
      </c>
      <c r="E37" s="108"/>
      <c r="F37" s="108"/>
      <c r="G37" s="108"/>
      <c r="H37" s="108"/>
      <c r="I37" s="108"/>
      <c r="J37" s="108"/>
      <c r="K37" s="108"/>
      <c r="L37" s="108"/>
      <c r="M37" s="108"/>
      <c r="N37" s="109"/>
    </row>
    <row r="38" spans="1:14">
      <c r="A38" s="97" t="s">
        <v>76</v>
      </c>
      <c r="B38" s="110"/>
      <c r="C38" s="111"/>
      <c r="D38" s="112" t="s">
        <v>477</v>
      </c>
      <c r="E38" s="108"/>
      <c r="F38" s="108"/>
      <c r="G38" s="108"/>
      <c r="H38" s="108"/>
      <c r="I38" s="108"/>
      <c r="J38" s="108"/>
      <c r="K38" s="108"/>
      <c r="L38" s="108"/>
      <c r="M38" s="108"/>
      <c r="N38" s="109"/>
    </row>
    <row r="39" spans="1:14">
      <c r="A39" s="97" t="s">
        <v>78</v>
      </c>
      <c r="B39" s="110"/>
      <c r="C39" s="111"/>
      <c r="D39" s="112" t="s">
        <v>103</v>
      </c>
      <c r="E39" s="108"/>
      <c r="F39" s="108"/>
      <c r="G39" s="108"/>
      <c r="H39" s="108"/>
      <c r="I39" s="108"/>
      <c r="J39" s="108"/>
      <c r="K39" s="108"/>
      <c r="L39" s="108"/>
      <c r="M39" s="108"/>
      <c r="N39" s="109"/>
    </row>
    <row r="40" spans="1:14">
      <c r="A40" s="97" t="s">
        <v>151</v>
      </c>
      <c r="B40" s="110"/>
      <c r="C40" s="111"/>
      <c r="D40" s="112" t="s">
        <v>478</v>
      </c>
      <c r="E40" s="108"/>
      <c r="F40" s="108"/>
      <c r="G40" s="108"/>
      <c r="H40" s="108"/>
      <c r="I40" s="108"/>
      <c r="J40" s="108"/>
      <c r="K40" s="108"/>
      <c r="L40" s="108"/>
      <c r="M40" s="108"/>
      <c r="N40" s="109"/>
    </row>
    <row r="41" spans="1:14" ht="50.25" customHeight="1">
      <c r="A41" s="97" t="s">
        <v>82</v>
      </c>
      <c r="B41" s="110"/>
      <c r="C41" s="111"/>
      <c r="D41" s="112" t="s">
        <v>479</v>
      </c>
      <c r="E41" s="108"/>
      <c r="F41" s="108"/>
      <c r="G41" s="108"/>
      <c r="H41" s="108"/>
      <c r="I41" s="108"/>
      <c r="J41" s="108"/>
      <c r="K41" s="108"/>
      <c r="L41" s="108"/>
      <c r="M41" s="108"/>
      <c r="N41" s="109"/>
    </row>
    <row r="42" spans="1:14">
      <c r="A42" s="97" t="s">
        <v>84</v>
      </c>
      <c r="B42" s="110"/>
      <c r="C42" s="111"/>
      <c r="D42" s="112" t="s">
        <v>480</v>
      </c>
      <c r="E42" s="108"/>
      <c r="F42" s="108"/>
      <c r="G42" s="108"/>
      <c r="H42" s="108"/>
      <c r="I42" s="108"/>
      <c r="J42" s="108"/>
      <c r="K42" s="108"/>
      <c r="L42" s="108"/>
      <c r="M42" s="108"/>
      <c r="N42" s="109"/>
    </row>
    <row r="43" spans="1:14" ht="32.1" customHeight="1">
      <c r="A43" s="99" t="s">
        <v>86</v>
      </c>
      <c r="B43" s="111"/>
      <c r="C43" s="100" t="s">
        <v>87</v>
      </c>
      <c r="D43" s="111"/>
      <c r="E43" s="96" t="s">
        <v>88</v>
      </c>
      <c r="F43" s="113"/>
      <c r="G43" s="96" t="s">
        <v>89</v>
      </c>
      <c r="H43" s="113"/>
      <c r="I43" s="96" t="s">
        <v>90</v>
      </c>
      <c r="J43" s="113"/>
      <c r="K43" s="96" t="s">
        <v>91</v>
      </c>
      <c r="L43" s="113"/>
      <c r="M43" s="48" t="s">
        <v>92</v>
      </c>
      <c r="N43" s="48" t="s">
        <v>93</v>
      </c>
    </row>
    <row r="44" spans="1:14" ht="83.25" customHeight="1">
      <c r="A44" s="114" t="s">
        <v>453</v>
      </c>
      <c r="B44" s="111"/>
      <c r="C44" s="115" t="s">
        <v>481</v>
      </c>
      <c r="D44" s="111"/>
      <c r="E44" s="115" t="s">
        <v>129</v>
      </c>
      <c r="F44" s="111"/>
      <c r="G44" s="115" t="s">
        <v>97</v>
      </c>
      <c r="H44" s="111"/>
      <c r="I44" s="115" t="s">
        <v>482</v>
      </c>
      <c r="J44" s="111"/>
      <c r="K44" s="115" t="s">
        <v>483</v>
      </c>
      <c r="L44" s="111"/>
      <c r="M44" s="132"/>
      <c r="N44" s="132" t="s">
        <v>467</v>
      </c>
    </row>
    <row r="45" spans="1:14">
      <c r="A45" s="42"/>
      <c r="B45" s="105"/>
      <c r="C45" s="105"/>
      <c r="D45" s="105"/>
      <c r="E45" s="105"/>
      <c r="F45" s="105"/>
      <c r="G45" s="105"/>
      <c r="H45" s="105"/>
      <c r="I45" s="105"/>
      <c r="J45" s="105"/>
      <c r="K45" s="105"/>
      <c r="L45" s="105"/>
      <c r="M45" s="105"/>
      <c r="N45" s="105"/>
    </row>
    <row r="46" spans="1:14">
      <c r="A46" s="98" t="s">
        <v>72</v>
      </c>
      <c r="B46" s="106"/>
      <c r="C46" s="106"/>
      <c r="D46" s="112" t="s">
        <v>14</v>
      </c>
      <c r="E46" s="108"/>
      <c r="F46" s="108"/>
      <c r="G46" s="108"/>
      <c r="H46" s="108"/>
      <c r="I46" s="108"/>
      <c r="J46" s="108"/>
      <c r="K46" s="108"/>
      <c r="L46" s="108"/>
      <c r="M46" s="108"/>
      <c r="N46" s="109"/>
    </row>
    <row r="47" spans="1:14">
      <c r="A47" s="98" t="s">
        <v>73</v>
      </c>
      <c r="B47" s="106"/>
      <c r="C47" s="106"/>
      <c r="D47" s="112" t="s">
        <v>57</v>
      </c>
      <c r="E47" s="108"/>
      <c r="F47" s="108"/>
      <c r="G47" s="108"/>
      <c r="H47" s="108"/>
      <c r="I47" s="108"/>
      <c r="J47" s="108"/>
      <c r="K47" s="108"/>
      <c r="L47" s="108"/>
      <c r="M47" s="108"/>
      <c r="N47" s="109"/>
    </row>
    <row r="48" spans="1:14">
      <c r="A48" s="97" t="s">
        <v>74</v>
      </c>
      <c r="B48" s="110"/>
      <c r="C48" s="111"/>
      <c r="D48" s="112" t="s">
        <v>484</v>
      </c>
      <c r="E48" s="108"/>
      <c r="F48" s="108"/>
      <c r="G48" s="108"/>
      <c r="H48" s="108"/>
      <c r="I48" s="108"/>
      <c r="J48" s="108"/>
      <c r="K48" s="108"/>
      <c r="L48" s="108"/>
      <c r="M48" s="108"/>
      <c r="N48" s="109"/>
    </row>
    <row r="49" spans="1:14">
      <c r="A49" s="97" t="s">
        <v>76</v>
      </c>
      <c r="B49" s="110"/>
      <c r="C49" s="111"/>
      <c r="D49" s="112" t="s">
        <v>485</v>
      </c>
      <c r="E49" s="108"/>
      <c r="F49" s="108"/>
      <c r="G49" s="108"/>
      <c r="H49" s="108"/>
      <c r="I49" s="108"/>
      <c r="J49" s="108"/>
      <c r="K49" s="108"/>
      <c r="L49" s="108"/>
      <c r="M49" s="108"/>
      <c r="N49" s="109"/>
    </row>
    <row r="50" spans="1:14">
      <c r="A50" s="97" t="s">
        <v>78</v>
      </c>
      <c r="B50" s="110"/>
      <c r="C50" s="111"/>
      <c r="D50" s="112" t="s">
        <v>79</v>
      </c>
      <c r="E50" s="108"/>
      <c r="F50" s="108"/>
      <c r="G50" s="108"/>
      <c r="H50" s="108"/>
      <c r="I50" s="108"/>
      <c r="J50" s="108"/>
      <c r="K50" s="108"/>
      <c r="L50" s="108"/>
      <c r="M50" s="108"/>
      <c r="N50" s="109"/>
    </row>
    <row r="51" spans="1:14">
      <c r="A51" s="97" t="s">
        <v>151</v>
      </c>
      <c r="B51" s="110"/>
      <c r="C51" s="111"/>
      <c r="D51" s="112" t="s">
        <v>486</v>
      </c>
      <c r="E51" s="108"/>
      <c r="F51" s="108"/>
      <c r="G51" s="108"/>
      <c r="H51" s="108"/>
      <c r="I51" s="108"/>
      <c r="J51" s="108"/>
      <c r="K51" s="108"/>
      <c r="L51" s="108"/>
      <c r="M51" s="108"/>
      <c r="N51" s="109"/>
    </row>
    <row r="52" spans="1:14" ht="37.5" customHeight="1">
      <c r="A52" s="97" t="s">
        <v>82</v>
      </c>
      <c r="B52" s="110"/>
      <c r="C52" s="111"/>
      <c r="D52" s="112" t="s">
        <v>487</v>
      </c>
      <c r="E52" s="108"/>
      <c r="F52" s="108"/>
      <c r="G52" s="108"/>
      <c r="H52" s="108"/>
      <c r="I52" s="108"/>
      <c r="J52" s="108"/>
      <c r="K52" s="108"/>
      <c r="L52" s="108"/>
      <c r="M52" s="108"/>
      <c r="N52" s="109"/>
    </row>
    <row r="53" spans="1:14">
      <c r="A53" s="97" t="s">
        <v>84</v>
      </c>
      <c r="B53" s="110"/>
      <c r="C53" s="111"/>
      <c r="D53" s="112" t="s">
        <v>488</v>
      </c>
      <c r="E53" s="108"/>
      <c r="F53" s="108"/>
      <c r="G53" s="108"/>
      <c r="H53" s="108"/>
      <c r="I53" s="108"/>
      <c r="J53" s="108"/>
      <c r="K53" s="108"/>
      <c r="L53" s="108"/>
      <c r="M53" s="108"/>
      <c r="N53" s="109"/>
    </row>
    <row r="54" spans="1:14" ht="32.1" customHeight="1">
      <c r="A54" s="99" t="s">
        <v>86</v>
      </c>
      <c r="B54" s="111"/>
      <c r="C54" s="100" t="s">
        <v>87</v>
      </c>
      <c r="D54" s="111"/>
      <c r="E54" s="96" t="s">
        <v>88</v>
      </c>
      <c r="F54" s="113"/>
      <c r="G54" s="96" t="s">
        <v>89</v>
      </c>
      <c r="H54" s="113"/>
      <c r="I54" s="96" t="s">
        <v>90</v>
      </c>
      <c r="J54" s="113"/>
      <c r="K54" s="96" t="s">
        <v>91</v>
      </c>
      <c r="L54" s="113"/>
      <c r="M54" s="48" t="s">
        <v>92</v>
      </c>
      <c r="N54" s="48" t="s">
        <v>93</v>
      </c>
    </row>
    <row r="55" spans="1:14" ht="70.5" customHeight="1">
      <c r="A55" s="114" t="s">
        <v>453</v>
      </c>
      <c r="B55" s="111"/>
      <c r="C55" s="115" t="s">
        <v>489</v>
      </c>
      <c r="D55" s="111"/>
      <c r="E55" s="115" t="s">
        <v>129</v>
      </c>
      <c r="F55" s="111"/>
      <c r="G55" s="115" t="s">
        <v>97</v>
      </c>
      <c r="H55" s="111"/>
      <c r="I55" s="115" t="s">
        <v>490</v>
      </c>
      <c r="J55" s="111"/>
      <c r="K55" s="115" t="s">
        <v>491</v>
      </c>
      <c r="L55" s="111"/>
      <c r="M55" s="132"/>
      <c r="N55" s="132" t="s">
        <v>457</v>
      </c>
    </row>
    <row r="56" spans="1:14">
      <c r="A56" s="42"/>
      <c r="B56" s="105"/>
      <c r="C56" s="105"/>
      <c r="D56" s="105"/>
      <c r="E56" s="105"/>
      <c r="F56" s="105"/>
      <c r="G56" s="105"/>
      <c r="H56" s="105"/>
      <c r="I56" s="105"/>
      <c r="J56" s="105"/>
      <c r="K56" s="105"/>
      <c r="L56" s="105"/>
      <c r="M56" s="105"/>
      <c r="N56" s="105"/>
    </row>
    <row r="57" spans="1:14">
      <c r="A57" s="98" t="s">
        <v>72</v>
      </c>
      <c r="B57" s="106"/>
      <c r="C57" s="106"/>
      <c r="D57" s="112" t="s">
        <v>14</v>
      </c>
      <c r="E57" s="108"/>
      <c r="F57" s="108"/>
      <c r="G57" s="108"/>
      <c r="H57" s="108"/>
      <c r="I57" s="108"/>
      <c r="J57" s="108"/>
      <c r="K57" s="108"/>
      <c r="L57" s="108"/>
      <c r="M57" s="108"/>
      <c r="N57" s="109"/>
    </row>
    <row r="58" spans="1:14">
      <c r="A58" s="98" t="s">
        <v>73</v>
      </c>
      <c r="B58" s="106"/>
      <c r="C58" s="106"/>
      <c r="D58" s="112" t="s">
        <v>57</v>
      </c>
      <c r="E58" s="108"/>
      <c r="F58" s="108"/>
      <c r="G58" s="108"/>
      <c r="H58" s="108"/>
      <c r="I58" s="108"/>
      <c r="J58" s="108"/>
      <c r="K58" s="108"/>
      <c r="L58" s="108"/>
      <c r="M58" s="108"/>
      <c r="N58" s="109"/>
    </row>
    <row r="59" spans="1:14">
      <c r="A59" s="97" t="s">
        <v>74</v>
      </c>
      <c r="B59" s="110"/>
      <c r="C59" s="111"/>
      <c r="D59" s="112" t="s">
        <v>492</v>
      </c>
      <c r="E59" s="108"/>
      <c r="F59" s="108"/>
      <c r="G59" s="108"/>
      <c r="H59" s="108"/>
      <c r="I59" s="108"/>
      <c r="J59" s="108"/>
      <c r="K59" s="108"/>
      <c r="L59" s="108"/>
      <c r="M59" s="108"/>
      <c r="N59" s="109"/>
    </row>
    <row r="60" spans="1:14">
      <c r="A60" s="97" t="s">
        <v>76</v>
      </c>
      <c r="B60" s="110"/>
      <c r="C60" s="111"/>
      <c r="D60" s="112" t="s">
        <v>493</v>
      </c>
      <c r="E60" s="108"/>
      <c r="F60" s="108"/>
      <c r="G60" s="108"/>
      <c r="H60" s="108"/>
      <c r="I60" s="108"/>
      <c r="J60" s="108"/>
      <c r="K60" s="108"/>
      <c r="L60" s="108"/>
      <c r="M60" s="108"/>
      <c r="N60" s="109"/>
    </row>
    <row r="61" spans="1:14">
      <c r="A61" s="97" t="s">
        <v>78</v>
      </c>
      <c r="B61" s="110"/>
      <c r="C61" s="111"/>
      <c r="D61" s="112" t="s">
        <v>103</v>
      </c>
      <c r="E61" s="108"/>
      <c r="F61" s="108"/>
      <c r="G61" s="108"/>
      <c r="H61" s="108"/>
      <c r="I61" s="108"/>
      <c r="J61" s="108"/>
      <c r="K61" s="108"/>
      <c r="L61" s="108"/>
      <c r="M61" s="108"/>
      <c r="N61" s="109"/>
    </row>
    <row r="62" spans="1:14">
      <c r="A62" s="97" t="s">
        <v>151</v>
      </c>
      <c r="B62" s="110"/>
      <c r="C62" s="111"/>
      <c r="D62" s="112" t="s">
        <v>494</v>
      </c>
      <c r="E62" s="108"/>
      <c r="F62" s="108"/>
      <c r="G62" s="108"/>
      <c r="H62" s="108"/>
      <c r="I62" s="108"/>
      <c r="J62" s="108"/>
      <c r="K62" s="108"/>
      <c r="L62" s="108"/>
      <c r="M62" s="108"/>
      <c r="N62" s="109"/>
    </row>
    <row r="63" spans="1:14" ht="36.75" customHeight="1">
      <c r="A63" s="97" t="s">
        <v>82</v>
      </c>
      <c r="B63" s="110"/>
      <c r="C63" s="111"/>
      <c r="D63" s="112" t="s">
        <v>495</v>
      </c>
      <c r="E63" s="108"/>
      <c r="F63" s="108"/>
      <c r="G63" s="108"/>
      <c r="H63" s="108"/>
      <c r="I63" s="108"/>
      <c r="J63" s="108"/>
      <c r="K63" s="108"/>
      <c r="L63" s="108"/>
      <c r="M63" s="108"/>
      <c r="N63" s="109"/>
    </row>
    <row r="64" spans="1:14">
      <c r="A64" s="97" t="s">
        <v>84</v>
      </c>
      <c r="B64" s="110"/>
      <c r="C64" s="111"/>
      <c r="D64" s="112" t="s">
        <v>496</v>
      </c>
      <c r="E64" s="108"/>
      <c r="F64" s="108"/>
      <c r="G64" s="108"/>
      <c r="H64" s="108"/>
      <c r="I64" s="108"/>
      <c r="J64" s="108"/>
      <c r="K64" s="108"/>
      <c r="L64" s="108"/>
      <c r="M64" s="108"/>
      <c r="N64" s="109"/>
    </row>
    <row r="65" spans="1:14" ht="32.1" customHeight="1">
      <c r="A65" s="99" t="s">
        <v>86</v>
      </c>
      <c r="B65" s="111"/>
      <c r="C65" s="100" t="s">
        <v>87</v>
      </c>
      <c r="D65" s="111"/>
      <c r="E65" s="96" t="s">
        <v>88</v>
      </c>
      <c r="F65" s="113"/>
      <c r="G65" s="96" t="s">
        <v>89</v>
      </c>
      <c r="H65" s="113"/>
      <c r="I65" s="96" t="s">
        <v>90</v>
      </c>
      <c r="J65" s="113"/>
      <c r="K65" s="96" t="s">
        <v>91</v>
      </c>
      <c r="L65" s="113"/>
      <c r="M65" s="48" t="s">
        <v>92</v>
      </c>
      <c r="N65" s="48" t="s">
        <v>93</v>
      </c>
    </row>
    <row r="66" spans="1:14" ht="87.75" customHeight="1">
      <c r="A66" s="114" t="s">
        <v>453</v>
      </c>
      <c r="B66" s="111"/>
      <c r="C66" s="115" t="s">
        <v>497</v>
      </c>
      <c r="D66" s="111"/>
      <c r="E66" s="115" t="s">
        <v>129</v>
      </c>
      <c r="F66" s="111"/>
      <c r="G66" s="115" t="s">
        <v>97</v>
      </c>
      <c r="H66" s="111"/>
      <c r="I66" s="115" t="s">
        <v>498</v>
      </c>
      <c r="J66" s="111"/>
      <c r="K66" s="115" t="s">
        <v>499</v>
      </c>
      <c r="L66" s="111"/>
      <c r="M66" s="132"/>
      <c r="N66" s="132" t="s">
        <v>467</v>
      </c>
    </row>
    <row r="67" spans="1:14">
      <c r="A67" s="105"/>
      <c r="B67" s="105"/>
      <c r="C67" s="105"/>
      <c r="D67" s="105"/>
      <c r="E67" s="105"/>
      <c r="F67" s="105"/>
      <c r="G67" s="105"/>
      <c r="H67" s="105"/>
      <c r="I67" s="105"/>
      <c r="J67" s="105"/>
      <c r="K67" s="105"/>
      <c r="L67" s="105"/>
      <c r="M67" s="105"/>
      <c r="N67" s="105"/>
    </row>
    <row r="68" spans="1:14">
      <c r="A68" s="98" t="s">
        <v>72</v>
      </c>
      <c r="B68" s="106"/>
      <c r="C68" s="106"/>
      <c r="D68" s="112" t="s">
        <v>14</v>
      </c>
      <c r="E68" s="108"/>
      <c r="F68" s="108"/>
      <c r="G68" s="108"/>
      <c r="H68" s="108"/>
      <c r="I68" s="108"/>
      <c r="J68" s="108"/>
      <c r="K68" s="108"/>
      <c r="L68" s="108"/>
      <c r="M68" s="108"/>
      <c r="N68" s="109"/>
    </row>
    <row r="69" spans="1:14">
      <c r="A69" s="98" t="s">
        <v>73</v>
      </c>
      <c r="B69" s="106"/>
      <c r="C69" s="106"/>
      <c r="D69" s="112" t="s">
        <v>59</v>
      </c>
      <c r="E69" s="108"/>
      <c r="F69" s="108"/>
      <c r="G69" s="108"/>
      <c r="H69" s="108"/>
      <c r="I69" s="108"/>
      <c r="J69" s="108"/>
      <c r="K69" s="108"/>
      <c r="L69" s="108"/>
      <c r="M69" s="108"/>
      <c r="N69" s="109"/>
    </row>
    <row r="70" spans="1:14">
      <c r="A70" s="97" t="s">
        <v>74</v>
      </c>
      <c r="B70" s="110"/>
      <c r="C70" s="111"/>
      <c r="D70" s="112" t="s">
        <v>500</v>
      </c>
      <c r="E70" s="108"/>
      <c r="F70" s="108"/>
      <c r="G70" s="108"/>
      <c r="H70" s="108"/>
      <c r="I70" s="108"/>
      <c r="J70" s="108"/>
      <c r="K70" s="108"/>
      <c r="L70" s="108"/>
      <c r="M70" s="108"/>
      <c r="N70" s="109"/>
    </row>
    <row r="71" spans="1:14">
      <c r="A71" s="97" t="s">
        <v>76</v>
      </c>
      <c r="B71" s="110"/>
      <c r="C71" s="111"/>
      <c r="D71" s="112" t="s">
        <v>501</v>
      </c>
      <c r="E71" s="108"/>
      <c r="F71" s="108"/>
      <c r="G71" s="108"/>
      <c r="H71" s="108"/>
      <c r="I71" s="108"/>
      <c r="J71" s="108"/>
      <c r="K71" s="108"/>
      <c r="L71" s="108"/>
      <c r="M71" s="108"/>
      <c r="N71" s="109"/>
    </row>
    <row r="72" spans="1:14">
      <c r="A72" s="97" t="s">
        <v>78</v>
      </c>
      <c r="B72" s="110"/>
      <c r="C72" s="111"/>
      <c r="D72" s="112" t="s">
        <v>79</v>
      </c>
      <c r="E72" s="108"/>
      <c r="F72" s="108"/>
      <c r="G72" s="108"/>
      <c r="H72" s="108"/>
      <c r="I72" s="108"/>
      <c r="J72" s="108"/>
      <c r="K72" s="108"/>
      <c r="L72" s="108"/>
      <c r="M72" s="108"/>
      <c r="N72" s="109"/>
    </row>
    <row r="73" spans="1:14">
      <c r="A73" s="97" t="s">
        <v>151</v>
      </c>
      <c r="B73" s="110"/>
      <c r="C73" s="111"/>
      <c r="D73" s="112" t="s">
        <v>502</v>
      </c>
      <c r="E73" s="108"/>
      <c r="F73" s="108"/>
      <c r="G73" s="108"/>
      <c r="H73" s="108"/>
      <c r="I73" s="108"/>
      <c r="J73" s="108"/>
      <c r="K73" s="108"/>
      <c r="L73" s="108"/>
      <c r="M73" s="108"/>
      <c r="N73" s="109"/>
    </row>
    <row r="74" spans="1:14" ht="35.25" customHeight="1">
      <c r="A74" s="97" t="s">
        <v>82</v>
      </c>
      <c r="B74" s="110"/>
      <c r="C74" s="111"/>
      <c r="D74" s="112" t="s">
        <v>503</v>
      </c>
      <c r="E74" s="108"/>
      <c r="F74" s="108"/>
      <c r="G74" s="108"/>
      <c r="H74" s="108"/>
      <c r="I74" s="108"/>
      <c r="J74" s="108"/>
      <c r="K74" s="108"/>
      <c r="L74" s="108"/>
      <c r="M74" s="108"/>
      <c r="N74" s="109"/>
    </row>
    <row r="75" spans="1:14">
      <c r="A75" s="97" t="s">
        <v>84</v>
      </c>
      <c r="B75" s="110"/>
      <c r="C75" s="111"/>
      <c r="D75" s="112" t="s">
        <v>504</v>
      </c>
      <c r="E75" s="108"/>
      <c r="F75" s="108"/>
      <c r="G75" s="108"/>
      <c r="H75" s="108"/>
      <c r="I75" s="108"/>
      <c r="J75" s="108"/>
      <c r="K75" s="108"/>
      <c r="L75" s="108"/>
      <c r="M75" s="108"/>
      <c r="N75" s="109"/>
    </row>
    <row r="76" spans="1:14" ht="32.1" customHeight="1">
      <c r="A76" s="99" t="s">
        <v>86</v>
      </c>
      <c r="B76" s="111"/>
      <c r="C76" s="100" t="s">
        <v>87</v>
      </c>
      <c r="D76" s="111"/>
      <c r="E76" s="96" t="s">
        <v>88</v>
      </c>
      <c r="F76" s="113"/>
      <c r="G76" s="96" t="s">
        <v>89</v>
      </c>
      <c r="H76" s="113"/>
      <c r="I76" s="96" t="s">
        <v>90</v>
      </c>
      <c r="J76" s="113"/>
      <c r="K76" s="96" t="s">
        <v>91</v>
      </c>
      <c r="L76" s="113"/>
      <c r="M76" s="48" t="s">
        <v>92</v>
      </c>
      <c r="N76" s="48" t="s">
        <v>93</v>
      </c>
    </row>
    <row r="77" spans="1:14" ht="78.75" customHeight="1">
      <c r="A77" s="114" t="s">
        <v>453</v>
      </c>
      <c r="B77" s="111"/>
      <c r="C77" s="115" t="s">
        <v>505</v>
      </c>
      <c r="D77" s="111"/>
      <c r="E77" s="115" t="s">
        <v>129</v>
      </c>
      <c r="F77" s="111"/>
      <c r="G77" s="115" t="s">
        <v>97</v>
      </c>
      <c r="H77" s="111"/>
      <c r="I77" s="115" t="s">
        <v>506</v>
      </c>
      <c r="J77" s="111"/>
      <c r="K77" s="115" t="s">
        <v>507</v>
      </c>
      <c r="L77" s="111"/>
      <c r="M77" s="132"/>
      <c r="N77" s="132" t="s">
        <v>457</v>
      </c>
    </row>
    <row r="78" spans="1:14">
      <c r="A78" s="42"/>
      <c r="B78" s="105"/>
      <c r="C78" s="105"/>
      <c r="D78" s="105"/>
      <c r="E78" s="105"/>
      <c r="F78" s="105"/>
      <c r="G78" s="105"/>
      <c r="H78" s="105"/>
      <c r="I78" s="105"/>
      <c r="J78" s="105"/>
      <c r="K78" s="105"/>
      <c r="L78" s="105"/>
      <c r="M78" s="105"/>
      <c r="N78" s="105"/>
    </row>
    <row r="79" spans="1:14">
      <c r="A79" s="98" t="s">
        <v>72</v>
      </c>
      <c r="B79" s="106"/>
      <c r="C79" s="106"/>
      <c r="D79" s="112" t="s">
        <v>14</v>
      </c>
      <c r="E79" s="108"/>
      <c r="F79" s="108"/>
      <c r="G79" s="108"/>
      <c r="H79" s="108"/>
      <c r="I79" s="108"/>
      <c r="J79" s="108"/>
      <c r="K79" s="108"/>
      <c r="L79" s="108"/>
      <c r="M79" s="108"/>
      <c r="N79" s="109"/>
    </row>
    <row r="80" spans="1:14">
      <c r="A80" s="98" t="s">
        <v>73</v>
      </c>
      <c r="B80" s="106"/>
      <c r="C80" s="106"/>
      <c r="D80" s="112" t="s">
        <v>59</v>
      </c>
      <c r="E80" s="108"/>
      <c r="F80" s="108"/>
      <c r="G80" s="108"/>
      <c r="H80" s="108"/>
      <c r="I80" s="108"/>
      <c r="J80" s="108"/>
      <c r="K80" s="108"/>
      <c r="L80" s="108"/>
      <c r="M80" s="108"/>
      <c r="N80" s="109"/>
    </row>
    <row r="81" spans="1:14">
      <c r="A81" s="97" t="s">
        <v>74</v>
      </c>
      <c r="B81" s="110"/>
      <c r="C81" s="111"/>
      <c r="D81" s="112" t="s">
        <v>508</v>
      </c>
      <c r="E81" s="108"/>
      <c r="F81" s="108"/>
      <c r="G81" s="108"/>
      <c r="H81" s="108"/>
      <c r="I81" s="108"/>
      <c r="J81" s="108"/>
      <c r="K81" s="108"/>
      <c r="L81" s="108"/>
      <c r="M81" s="108"/>
      <c r="N81" s="109"/>
    </row>
    <row r="82" spans="1:14">
      <c r="A82" s="97" t="s">
        <v>76</v>
      </c>
      <c r="B82" s="110"/>
      <c r="C82" s="111"/>
      <c r="D82" s="112" t="s">
        <v>509</v>
      </c>
      <c r="E82" s="108"/>
      <c r="F82" s="108"/>
      <c r="G82" s="108"/>
      <c r="H82" s="108"/>
      <c r="I82" s="108"/>
      <c r="J82" s="108"/>
      <c r="K82" s="108"/>
      <c r="L82" s="108"/>
      <c r="M82" s="108"/>
      <c r="N82" s="109"/>
    </row>
    <row r="83" spans="1:14">
      <c r="A83" s="97" t="s">
        <v>78</v>
      </c>
      <c r="B83" s="110"/>
      <c r="C83" s="111"/>
      <c r="D83" s="112" t="s">
        <v>103</v>
      </c>
      <c r="E83" s="108"/>
      <c r="F83" s="108"/>
      <c r="G83" s="108"/>
      <c r="H83" s="108"/>
      <c r="I83" s="108"/>
      <c r="J83" s="108"/>
      <c r="K83" s="108"/>
      <c r="L83" s="108"/>
      <c r="M83" s="108"/>
      <c r="N83" s="109"/>
    </row>
    <row r="84" spans="1:14">
      <c r="A84" s="97" t="s">
        <v>151</v>
      </c>
      <c r="B84" s="110"/>
      <c r="C84" s="111"/>
      <c r="D84" s="112" t="s">
        <v>510</v>
      </c>
      <c r="E84" s="108"/>
      <c r="F84" s="108"/>
      <c r="G84" s="108"/>
      <c r="H84" s="108"/>
      <c r="I84" s="108"/>
      <c r="J84" s="108"/>
      <c r="K84" s="108"/>
      <c r="L84" s="108"/>
      <c r="M84" s="108"/>
      <c r="N84" s="109"/>
    </row>
    <row r="85" spans="1:14" ht="53.25" customHeight="1">
      <c r="A85" s="97" t="s">
        <v>82</v>
      </c>
      <c r="B85" s="110"/>
      <c r="C85" s="111"/>
      <c r="D85" s="112" t="s">
        <v>511</v>
      </c>
      <c r="E85" s="108"/>
      <c r="F85" s="108"/>
      <c r="G85" s="108"/>
      <c r="H85" s="108"/>
      <c r="I85" s="108"/>
      <c r="J85" s="108"/>
      <c r="K85" s="108"/>
      <c r="L85" s="108"/>
      <c r="M85" s="108"/>
      <c r="N85" s="109"/>
    </row>
    <row r="86" spans="1:14">
      <c r="A86" s="97" t="s">
        <v>84</v>
      </c>
      <c r="B86" s="110"/>
      <c r="C86" s="111"/>
      <c r="D86" s="112" t="s">
        <v>512</v>
      </c>
      <c r="E86" s="108"/>
      <c r="F86" s="108"/>
      <c r="G86" s="108"/>
      <c r="H86" s="108"/>
      <c r="I86" s="108"/>
      <c r="J86" s="108"/>
      <c r="K86" s="108"/>
      <c r="L86" s="108"/>
      <c r="M86" s="108"/>
      <c r="N86" s="109"/>
    </row>
    <row r="87" spans="1:14" ht="32.1" customHeight="1">
      <c r="A87" s="99" t="s">
        <v>86</v>
      </c>
      <c r="B87" s="111"/>
      <c r="C87" s="100" t="s">
        <v>87</v>
      </c>
      <c r="D87" s="111"/>
      <c r="E87" s="96" t="s">
        <v>88</v>
      </c>
      <c r="F87" s="113"/>
      <c r="G87" s="96" t="s">
        <v>89</v>
      </c>
      <c r="H87" s="113"/>
      <c r="I87" s="96" t="s">
        <v>90</v>
      </c>
      <c r="J87" s="113"/>
      <c r="K87" s="96" t="s">
        <v>91</v>
      </c>
      <c r="L87" s="113"/>
      <c r="M87" s="48" t="s">
        <v>92</v>
      </c>
      <c r="N87" s="48" t="s">
        <v>93</v>
      </c>
    </row>
    <row r="88" spans="1:14" ht="108" customHeight="1">
      <c r="A88" s="114" t="s">
        <v>453</v>
      </c>
      <c r="B88" s="111"/>
      <c r="C88" s="115" t="s">
        <v>513</v>
      </c>
      <c r="D88" s="111"/>
      <c r="E88" s="115" t="s">
        <v>129</v>
      </c>
      <c r="F88" s="111"/>
      <c r="G88" s="115" t="s">
        <v>97</v>
      </c>
      <c r="H88" s="111"/>
      <c r="I88" s="115" t="s">
        <v>514</v>
      </c>
      <c r="J88" s="111"/>
      <c r="K88" s="115" t="s">
        <v>515</v>
      </c>
      <c r="L88" s="111"/>
      <c r="M88" s="132"/>
      <c r="N88" s="132" t="s">
        <v>467</v>
      </c>
    </row>
    <row r="89" spans="1:14">
      <c r="A89" s="105"/>
      <c r="B89" s="105"/>
      <c r="C89" s="105"/>
      <c r="D89" s="105"/>
      <c r="E89" s="105"/>
      <c r="F89" s="105"/>
      <c r="G89" s="105"/>
      <c r="H89" s="105"/>
      <c r="I89" s="105"/>
      <c r="J89" s="105"/>
      <c r="K89" s="105"/>
      <c r="L89" s="105"/>
      <c r="M89" s="105"/>
      <c r="N89" s="105"/>
    </row>
    <row r="90" spans="1:14">
      <c r="A90" s="98" t="s">
        <v>72</v>
      </c>
      <c r="B90" s="106"/>
      <c r="C90" s="106"/>
      <c r="D90" s="112" t="s">
        <v>14</v>
      </c>
      <c r="E90" s="108"/>
      <c r="F90" s="108"/>
      <c r="G90" s="108"/>
      <c r="H90" s="108"/>
      <c r="I90" s="108"/>
      <c r="J90" s="108"/>
      <c r="K90" s="108"/>
      <c r="L90" s="108"/>
      <c r="M90" s="108"/>
      <c r="N90" s="109"/>
    </row>
    <row r="91" spans="1:14">
      <c r="A91" s="98" t="s">
        <v>73</v>
      </c>
      <c r="B91" s="106"/>
      <c r="C91" s="106"/>
      <c r="D91" s="112" t="s">
        <v>60</v>
      </c>
      <c r="E91" s="108"/>
      <c r="F91" s="108"/>
      <c r="G91" s="108"/>
      <c r="H91" s="108"/>
      <c r="I91" s="108"/>
      <c r="J91" s="108"/>
      <c r="K91" s="108"/>
      <c r="L91" s="108"/>
      <c r="M91" s="108"/>
      <c r="N91" s="109"/>
    </row>
    <row r="92" spans="1:14">
      <c r="A92" s="97" t="s">
        <v>74</v>
      </c>
      <c r="B92" s="110"/>
      <c r="C92" s="111"/>
      <c r="D92" s="112" t="s">
        <v>516</v>
      </c>
      <c r="E92" s="108"/>
      <c r="F92" s="108"/>
      <c r="G92" s="108"/>
      <c r="H92" s="108"/>
      <c r="I92" s="108"/>
      <c r="J92" s="108"/>
      <c r="K92" s="108"/>
      <c r="L92" s="108"/>
      <c r="M92" s="108"/>
      <c r="N92" s="109"/>
    </row>
    <row r="93" spans="1:14">
      <c r="A93" s="97" t="s">
        <v>76</v>
      </c>
      <c r="B93" s="110"/>
      <c r="C93" s="111"/>
      <c r="D93" s="112" t="s">
        <v>517</v>
      </c>
      <c r="E93" s="108"/>
      <c r="F93" s="108"/>
      <c r="G93" s="108"/>
      <c r="H93" s="108"/>
      <c r="I93" s="108"/>
      <c r="J93" s="108"/>
      <c r="K93" s="108"/>
      <c r="L93" s="108"/>
      <c r="M93" s="108"/>
      <c r="N93" s="109"/>
    </row>
    <row r="94" spans="1:14">
      <c r="A94" s="97" t="s">
        <v>78</v>
      </c>
      <c r="B94" s="110"/>
      <c r="C94" s="111"/>
      <c r="D94" s="112" t="s">
        <v>79</v>
      </c>
      <c r="E94" s="108"/>
      <c r="F94" s="108"/>
      <c r="G94" s="108"/>
      <c r="H94" s="108"/>
      <c r="I94" s="108"/>
      <c r="J94" s="108"/>
      <c r="K94" s="108"/>
      <c r="L94" s="108"/>
      <c r="M94" s="108"/>
      <c r="N94" s="109"/>
    </row>
    <row r="95" spans="1:14">
      <c r="A95" s="97" t="s">
        <v>151</v>
      </c>
      <c r="B95" s="110"/>
      <c r="C95" s="111"/>
      <c r="D95" s="112" t="s">
        <v>518</v>
      </c>
      <c r="E95" s="108"/>
      <c r="F95" s="108"/>
      <c r="G95" s="108"/>
      <c r="H95" s="108"/>
      <c r="I95" s="108"/>
      <c r="J95" s="108"/>
      <c r="K95" s="108"/>
      <c r="L95" s="108"/>
      <c r="M95" s="108"/>
      <c r="N95" s="109"/>
    </row>
    <row r="96" spans="1:14" ht="30" customHeight="1">
      <c r="A96" s="97" t="s">
        <v>82</v>
      </c>
      <c r="B96" s="110"/>
      <c r="C96" s="111"/>
      <c r="D96" s="112" t="s">
        <v>519</v>
      </c>
      <c r="E96" s="108"/>
      <c r="F96" s="108"/>
      <c r="G96" s="108"/>
      <c r="H96" s="108"/>
      <c r="I96" s="108"/>
      <c r="J96" s="108"/>
      <c r="K96" s="108"/>
      <c r="L96" s="108"/>
      <c r="M96" s="108"/>
      <c r="N96" s="109"/>
    </row>
    <row r="97" spans="1:14">
      <c r="A97" s="97" t="s">
        <v>84</v>
      </c>
      <c r="B97" s="110"/>
      <c r="C97" s="111"/>
      <c r="D97" s="112" t="s">
        <v>520</v>
      </c>
      <c r="E97" s="108"/>
      <c r="F97" s="108"/>
      <c r="G97" s="108"/>
      <c r="H97" s="108"/>
      <c r="I97" s="108"/>
      <c r="J97" s="108"/>
      <c r="K97" s="108"/>
      <c r="L97" s="108"/>
      <c r="M97" s="108"/>
      <c r="N97" s="109"/>
    </row>
    <row r="98" spans="1:14" ht="32.1" customHeight="1">
      <c r="A98" s="99" t="s">
        <v>86</v>
      </c>
      <c r="B98" s="111"/>
      <c r="C98" s="100" t="s">
        <v>87</v>
      </c>
      <c r="D98" s="111"/>
      <c r="E98" s="96" t="s">
        <v>88</v>
      </c>
      <c r="F98" s="113"/>
      <c r="G98" s="96" t="s">
        <v>89</v>
      </c>
      <c r="H98" s="113"/>
      <c r="I98" s="96" t="s">
        <v>90</v>
      </c>
      <c r="J98" s="113"/>
      <c r="K98" s="96" t="s">
        <v>91</v>
      </c>
      <c r="L98" s="113"/>
      <c r="M98" s="48" t="s">
        <v>92</v>
      </c>
      <c r="N98" s="48" t="s">
        <v>93</v>
      </c>
    </row>
    <row r="99" spans="1:14" ht="66.75" customHeight="1">
      <c r="A99" s="114" t="s">
        <v>453</v>
      </c>
      <c r="B99" s="111"/>
      <c r="C99" s="115" t="s">
        <v>521</v>
      </c>
      <c r="D99" s="111"/>
      <c r="E99" s="115" t="s">
        <v>129</v>
      </c>
      <c r="F99" s="111"/>
      <c r="G99" s="115" t="s">
        <v>97</v>
      </c>
      <c r="H99" s="111"/>
      <c r="I99" s="115" t="s">
        <v>522</v>
      </c>
      <c r="J99" s="111"/>
      <c r="K99" s="115" t="s">
        <v>523</v>
      </c>
      <c r="L99" s="111"/>
      <c r="M99" s="132"/>
      <c r="N99" s="132" t="s">
        <v>457</v>
      </c>
    </row>
    <row r="100" spans="1:14">
      <c r="A100" s="42"/>
      <c r="B100" s="105"/>
      <c r="C100" s="105"/>
      <c r="D100" s="105"/>
      <c r="E100" s="105"/>
      <c r="F100" s="105"/>
      <c r="G100" s="105"/>
      <c r="H100" s="105"/>
      <c r="I100" s="105"/>
      <c r="J100" s="105"/>
      <c r="K100" s="105"/>
      <c r="L100" s="105"/>
      <c r="M100" s="105"/>
      <c r="N100" s="105"/>
    </row>
    <row r="101" spans="1:14">
      <c r="A101" s="98" t="s">
        <v>72</v>
      </c>
      <c r="B101" s="106"/>
      <c r="C101" s="106"/>
      <c r="D101" s="112" t="s">
        <v>14</v>
      </c>
      <c r="E101" s="108"/>
      <c r="F101" s="108"/>
      <c r="G101" s="108"/>
      <c r="H101" s="108"/>
      <c r="I101" s="108"/>
      <c r="J101" s="108"/>
      <c r="K101" s="108"/>
      <c r="L101" s="108"/>
      <c r="M101" s="108"/>
      <c r="N101" s="109"/>
    </row>
    <row r="102" spans="1:14">
      <c r="A102" s="98" t="s">
        <v>73</v>
      </c>
      <c r="B102" s="106"/>
      <c r="C102" s="106"/>
      <c r="D102" s="112" t="s">
        <v>60</v>
      </c>
      <c r="E102" s="108"/>
      <c r="F102" s="108"/>
      <c r="G102" s="108"/>
      <c r="H102" s="108"/>
      <c r="I102" s="108"/>
      <c r="J102" s="108"/>
      <c r="K102" s="108"/>
      <c r="L102" s="108"/>
      <c r="M102" s="108"/>
      <c r="N102" s="109"/>
    </row>
    <row r="103" spans="1:14">
      <c r="A103" s="97" t="s">
        <v>74</v>
      </c>
      <c r="B103" s="110"/>
      <c r="C103" s="111"/>
      <c r="D103" s="112" t="s">
        <v>524</v>
      </c>
      <c r="E103" s="108"/>
      <c r="F103" s="108"/>
      <c r="G103" s="108"/>
      <c r="H103" s="108"/>
      <c r="I103" s="108"/>
      <c r="J103" s="108"/>
      <c r="K103" s="108"/>
      <c r="L103" s="108"/>
      <c r="M103" s="108"/>
      <c r="N103" s="109"/>
    </row>
    <row r="104" spans="1:14">
      <c r="A104" s="97" t="s">
        <v>76</v>
      </c>
      <c r="B104" s="110"/>
      <c r="C104" s="111"/>
      <c r="D104" s="112" t="s">
        <v>525</v>
      </c>
      <c r="E104" s="108"/>
      <c r="F104" s="108"/>
      <c r="G104" s="108"/>
      <c r="H104" s="108"/>
      <c r="I104" s="108"/>
      <c r="J104" s="108"/>
      <c r="K104" s="108"/>
      <c r="L104" s="108"/>
      <c r="M104" s="108"/>
      <c r="N104" s="109"/>
    </row>
    <row r="105" spans="1:14">
      <c r="A105" s="97" t="s">
        <v>78</v>
      </c>
      <c r="B105" s="110"/>
      <c r="C105" s="111"/>
      <c r="D105" s="112" t="s">
        <v>103</v>
      </c>
      <c r="E105" s="108"/>
      <c r="F105" s="108"/>
      <c r="G105" s="108"/>
      <c r="H105" s="108"/>
      <c r="I105" s="108"/>
      <c r="J105" s="108"/>
      <c r="K105" s="108"/>
      <c r="L105" s="108"/>
      <c r="M105" s="108"/>
      <c r="N105" s="109"/>
    </row>
    <row r="106" spans="1:14">
      <c r="A106" s="97" t="s">
        <v>151</v>
      </c>
      <c r="B106" s="110"/>
      <c r="C106" s="111"/>
      <c r="D106" s="112" t="s">
        <v>526</v>
      </c>
      <c r="E106" s="108"/>
      <c r="F106" s="108"/>
      <c r="G106" s="108"/>
      <c r="H106" s="108"/>
      <c r="I106" s="108"/>
      <c r="J106" s="108"/>
      <c r="K106" s="108"/>
      <c r="L106" s="108"/>
      <c r="M106" s="108"/>
      <c r="N106" s="109"/>
    </row>
    <row r="107" spans="1:14" ht="47.25" customHeight="1">
      <c r="A107" s="97" t="s">
        <v>82</v>
      </c>
      <c r="B107" s="110"/>
      <c r="C107" s="111"/>
      <c r="D107" s="112" t="s">
        <v>527</v>
      </c>
      <c r="E107" s="108"/>
      <c r="F107" s="108"/>
      <c r="G107" s="108"/>
      <c r="H107" s="108"/>
      <c r="I107" s="108"/>
      <c r="J107" s="108"/>
      <c r="K107" s="108"/>
      <c r="L107" s="108"/>
      <c r="M107" s="108"/>
      <c r="N107" s="109"/>
    </row>
    <row r="108" spans="1:14">
      <c r="A108" s="97" t="s">
        <v>84</v>
      </c>
      <c r="B108" s="110"/>
      <c r="C108" s="111"/>
      <c r="D108" s="112" t="s">
        <v>528</v>
      </c>
      <c r="E108" s="108"/>
      <c r="F108" s="108"/>
      <c r="G108" s="108"/>
      <c r="H108" s="108"/>
      <c r="I108" s="108"/>
      <c r="J108" s="108"/>
      <c r="K108" s="108"/>
      <c r="L108" s="108"/>
      <c r="M108" s="108"/>
      <c r="N108" s="109"/>
    </row>
    <row r="109" spans="1:14" ht="32.1" customHeight="1">
      <c r="A109" s="99" t="s">
        <v>86</v>
      </c>
      <c r="B109" s="111"/>
      <c r="C109" s="100" t="s">
        <v>87</v>
      </c>
      <c r="D109" s="111"/>
      <c r="E109" s="96" t="s">
        <v>88</v>
      </c>
      <c r="F109" s="113"/>
      <c r="G109" s="96" t="s">
        <v>89</v>
      </c>
      <c r="H109" s="113"/>
      <c r="I109" s="96" t="s">
        <v>90</v>
      </c>
      <c r="J109" s="113"/>
      <c r="K109" s="96" t="s">
        <v>91</v>
      </c>
      <c r="L109" s="113"/>
      <c r="M109" s="48" t="s">
        <v>92</v>
      </c>
      <c r="N109" s="48" t="s">
        <v>93</v>
      </c>
    </row>
    <row r="110" spans="1:14" ht="72.75" customHeight="1">
      <c r="A110" s="114" t="s">
        <v>453</v>
      </c>
      <c r="B110" s="111"/>
      <c r="C110" s="115" t="s">
        <v>529</v>
      </c>
      <c r="D110" s="111"/>
      <c r="E110" s="115" t="s">
        <v>129</v>
      </c>
      <c r="F110" s="111"/>
      <c r="G110" s="115" t="s">
        <v>97</v>
      </c>
      <c r="H110" s="111"/>
      <c r="I110" s="115" t="s">
        <v>530</v>
      </c>
      <c r="J110" s="111"/>
      <c r="K110" s="115" t="s">
        <v>531</v>
      </c>
      <c r="L110" s="111"/>
      <c r="M110" s="132"/>
      <c r="N110" s="132" t="s">
        <v>467</v>
      </c>
    </row>
    <row r="111" spans="1:14">
      <c r="A111" s="105"/>
      <c r="B111" s="105"/>
      <c r="C111" s="105"/>
      <c r="D111" s="105"/>
      <c r="E111" s="105"/>
      <c r="F111" s="105"/>
      <c r="G111" s="105"/>
      <c r="H111" s="105"/>
      <c r="I111" s="105"/>
      <c r="J111" s="105"/>
      <c r="K111" s="105"/>
      <c r="L111" s="105"/>
      <c r="M111" s="105"/>
      <c r="N111" s="105"/>
    </row>
    <row r="112" spans="1:14">
      <c r="A112" s="98" t="s">
        <v>72</v>
      </c>
      <c r="B112" s="106"/>
      <c r="C112" s="106"/>
      <c r="D112" s="112" t="s">
        <v>14</v>
      </c>
      <c r="E112" s="108"/>
      <c r="F112" s="108"/>
      <c r="G112" s="108"/>
      <c r="H112" s="108"/>
      <c r="I112" s="108"/>
      <c r="J112" s="108"/>
      <c r="K112" s="108"/>
      <c r="L112" s="108"/>
      <c r="M112" s="108"/>
      <c r="N112" s="109"/>
    </row>
    <row r="113" spans="1:14">
      <c r="A113" s="98" t="s">
        <v>73</v>
      </c>
      <c r="B113" s="106"/>
      <c r="C113" s="106"/>
      <c r="D113" s="112" t="s">
        <v>61</v>
      </c>
      <c r="E113" s="108"/>
      <c r="F113" s="108"/>
      <c r="G113" s="108"/>
      <c r="H113" s="108"/>
      <c r="I113" s="108"/>
      <c r="J113" s="108"/>
      <c r="K113" s="108"/>
      <c r="L113" s="108"/>
      <c r="M113" s="108"/>
      <c r="N113" s="109"/>
    </row>
    <row r="114" spans="1:14">
      <c r="A114" s="97" t="s">
        <v>74</v>
      </c>
      <c r="B114" s="110"/>
      <c r="C114" s="111"/>
      <c r="D114" s="112" t="s">
        <v>532</v>
      </c>
      <c r="E114" s="108"/>
      <c r="F114" s="108"/>
      <c r="G114" s="108"/>
      <c r="H114" s="108"/>
      <c r="I114" s="108"/>
      <c r="J114" s="108"/>
      <c r="K114" s="108"/>
      <c r="L114" s="108"/>
      <c r="M114" s="108"/>
      <c r="N114" s="109"/>
    </row>
    <row r="115" spans="1:14">
      <c r="A115" s="97" t="s">
        <v>76</v>
      </c>
      <c r="B115" s="110"/>
      <c r="C115" s="111"/>
      <c r="D115" s="112" t="s">
        <v>533</v>
      </c>
      <c r="E115" s="108"/>
      <c r="F115" s="108"/>
      <c r="G115" s="108"/>
      <c r="H115" s="108"/>
      <c r="I115" s="108"/>
      <c r="J115" s="108"/>
      <c r="K115" s="108"/>
      <c r="L115" s="108"/>
      <c r="M115" s="108"/>
      <c r="N115" s="109"/>
    </row>
    <row r="116" spans="1:14">
      <c r="A116" s="97" t="s">
        <v>78</v>
      </c>
      <c r="B116" s="110"/>
      <c r="C116" s="111"/>
      <c r="D116" s="112" t="s">
        <v>79</v>
      </c>
      <c r="E116" s="108"/>
      <c r="F116" s="108"/>
      <c r="G116" s="108"/>
      <c r="H116" s="108"/>
      <c r="I116" s="108"/>
      <c r="J116" s="108"/>
      <c r="K116" s="108"/>
      <c r="L116" s="108"/>
      <c r="M116" s="108"/>
      <c r="N116" s="109"/>
    </row>
    <row r="117" spans="1:14" ht="25.5" customHeight="1">
      <c r="A117" s="97" t="s">
        <v>151</v>
      </c>
      <c r="B117" s="110"/>
      <c r="C117" s="111"/>
      <c r="D117" s="112" t="s">
        <v>534</v>
      </c>
      <c r="E117" s="108"/>
      <c r="F117" s="108"/>
      <c r="G117" s="108"/>
      <c r="H117" s="108"/>
      <c r="I117" s="108"/>
      <c r="J117" s="108"/>
      <c r="K117" s="108"/>
      <c r="L117" s="108"/>
      <c r="M117" s="108"/>
      <c r="N117" s="109"/>
    </row>
    <row r="118" spans="1:14" ht="39" customHeight="1">
      <c r="A118" s="97" t="s">
        <v>82</v>
      </c>
      <c r="B118" s="110"/>
      <c r="C118" s="111"/>
      <c r="D118" s="112" t="s">
        <v>535</v>
      </c>
      <c r="E118" s="108"/>
      <c r="F118" s="108"/>
      <c r="G118" s="108"/>
      <c r="H118" s="108"/>
      <c r="I118" s="108"/>
      <c r="J118" s="108"/>
      <c r="K118" s="108"/>
      <c r="L118" s="108"/>
      <c r="M118" s="108"/>
      <c r="N118" s="109"/>
    </row>
    <row r="119" spans="1:14">
      <c r="A119" s="97" t="s">
        <v>84</v>
      </c>
      <c r="B119" s="110"/>
      <c r="C119" s="111"/>
      <c r="D119" s="112" t="s">
        <v>536</v>
      </c>
      <c r="E119" s="108"/>
      <c r="F119" s="108"/>
      <c r="G119" s="108"/>
      <c r="H119" s="108"/>
      <c r="I119" s="108"/>
      <c r="J119" s="108"/>
      <c r="K119" s="108"/>
      <c r="L119" s="108"/>
      <c r="M119" s="108"/>
      <c r="N119" s="109"/>
    </row>
    <row r="120" spans="1:14" ht="32.1" customHeight="1">
      <c r="A120" s="99" t="s">
        <v>86</v>
      </c>
      <c r="B120" s="111"/>
      <c r="C120" s="100" t="s">
        <v>87</v>
      </c>
      <c r="D120" s="111"/>
      <c r="E120" s="96" t="s">
        <v>88</v>
      </c>
      <c r="F120" s="113"/>
      <c r="G120" s="96" t="s">
        <v>89</v>
      </c>
      <c r="H120" s="113"/>
      <c r="I120" s="96" t="s">
        <v>90</v>
      </c>
      <c r="J120" s="113"/>
      <c r="K120" s="96" t="s">
        <v>91</v>
      </c>
      <c r="L120" s="113"/>
      <c r="M120" s="48" t="s">
        <v>92</v>
      </c>
      <c r="N120" s="48" t="s">
        <v>93</v>
      </c>
    </row>
    <row r="121" spans="1:14" ht="120" customHeight="1">
      <c r="A121" s="114" t="s">
        <v>453</v>
      </c>
      <c r="B121" s="111"/>
      <c r="C121" s="115" t="s">
        <v>537</v>
      </c>
      <c r="D121" s="111"/>
      <c r="E121" s="115" t="s">
        <v>129</v>
      </c>
      <c r="F121" s="111"/>
      <c r="G121" s="115" t="s">
        <v>97</v>
      </c>
      <c r="H121" s="111"/>
      <c r="I121" s="115" t="s">
        <v>538</v>
      </c>
      <c r="J121" s="111"/>
      <c r="K121" s="115" t="s">
        <v>539</v>
      </c>
      <c r="L121" s="111"/>
      <c r="M121" s="132"/>
      <c r="N121" s="132" t="s">
        <v>457</v>
      </c>
    </row>
    <row r="122" spans="1:14">
      <c r="A122" s="42"/>
      <c r="B122" s="105"/>
      <c r="C122" s="105"/>
      <c r="D122" s="105"/>
      <c r="E122" s="105"/>
      <c r="F122" s="105"/>
      <c r="G122" s="105"/>
      <c r="H122" s="105"/>
      <c r="I122" s="105"/>
      <c r="J122" s="105"/>
      <c r="K122" s="105"/>
      <c r="L122" s="105"/>
      <c r="M122" s="105"/>
      <c r="N122" s="105"/>
    </row>
    <row r="123" spans="1:14">
      <c r="A123" s="98" t="s">
        <v>72</v>
      </c>
      <c r="B123" s="106"/>
      <c r="C123" s="106"/>
      <c r="D123" s="112" t="s">
        <v>14</v>
      </c>
      <c r="E123" s="108"/>
      <c r="F123" s="108"/>
      <c r="G123" s="108"/>
      <c r="H123" s="108"/>
      <c r="I123" s="108"/>
      <c r="J123" s="108"/>
      <c r="K123" s="108"/>
      <c r="L123" s="108"/>
      <c r="M123" s="108"/>
      <c r="N123" s="109"/>
    </row>
    <row r="124" spans="1:14">
      <c r="A124" s="98" t="s">
        <v>73</v>
      </c>
      <c r="B124" s="106"/>
      <c r="C124" s="106"/>
      <c r="D124" s="112" t="s">
        <v>61</v>
      </c>
      <c r="E124" s="108"/>
      <c r="F124" s="108"/>
      <c r="G124" s="108"/>
      <c r="H124" s="108"/>
      <c r="I124" s="108"/>
      <c r="J124" s="108"/>
      <c r="K124" s="108"/>
      <c r="L124" s="108"/>
      <c r="M124" s="108"/>
      <c r="N124" s="109"/>
    </row>
    <row r="125" spans="1:14">
      <c r="A125" s="97" t="s">
        <v>74</v>
      </c>
      <c r="B125" s="110"/>
      <c r="C125" s="111"/>
      <c r="D125" s="112" t="s">
        <v>540</v>
      </c>
      <c r="E125" s="108"/>
      <c r="F125" s="108"/>
      <c r="G125" s="108"/>
      <c r="H125" s="108"/>
      <c r="I125" s="108"/>
      <c r="J125" s="108"/>
      <c r="K125" s="108"/>
      <c r="L125" s="108"/>
      <c r="M125" s="108"/>
      <c r="N125" s="109"/>
    </row>
    <row r="126" spans="1:14">
      <c r="A126" s="97" t="s">
        <v>76</v>
      </c>
      <c r="B126" s="110"/>
      <c r="C126" s="111"/>
      <c r="D126" s="112" t="s">
        <v>541</v>
      </c>
      <c r="E126" s="108"/>
      <c r="F126" s="108"/>
      <c r="G126" s="108"/>
      <c r="H126" s="108"/>
      <c r="I126" s="108"/>
      <c r="J126" s="108"/>
      <c r="K126" s="108"/>
      <c r="L126" s="108"/>
      <c r="M126" s="108"/>
      <c r="N126" s="109"/>
    </row>
    <row r="127" spans="1:14">
      <c r="A127" s="97" t="s">
        <v>78</v>
      </c>
      <c r="B127" s="110"/>
      <c r="C127" s="111"/>
      <c r="D127" s="112" t="s">
        <v>103</v>
      </c>
      <c r="E127" s="108"/>
      <c r="F127" s="108"/>
      <c r="G127" s="108"/>
      <c r="H127" s="108"/>
      <c r="I127" s="108"/>
      <c r="J127" s="108"/>
      <c r="K127" s="108"/>
      <c r="L127" s="108"/>
      <c r="M127" s="108"/>
      <c r="N127" s="109"/>
    </row>
    <row r="128" spans="1:14">
      <c r="A128" s="97" t="s">
        <v>151</v>
      </c>
      <c r="B128" s="110"/>
      <c r="C128" s="111"/>
      <c r="D128" s="112" t="s">
        <v>542</v>
      </c>
      <c r="E128" s="108"/>
      <c r="F128" s="108"/>
      <c r="G128" s="108"/>
      <c r="H128" s="108"/>
      <c r="I128" s="108"/>
      <c r="J128" s="108"/>
      <c r="K128" s="108"/>
      <c r="L128" s="108"/>
      <c r="M128" s="108"/>
      <c r="N128" s="109"/>
    </row>
    <row r="129" spans="1:14" ht="47.25" customHeight="1">
      <c r="A129" s="97" t="s">
        <v>82</v>
      </c>
      <c r="B129" s="110"/>
      <c r="C129" s="111"/>
      <c r="D129" s="112" t="s">
        <v>543</v>
      </c>
      <c r="E129" s="108"/>
      <c r="F129" s="108"/>
      <c r="G129" s="108"/>
      <c r="H129" s="108"/>
      <c r="I129" s="108"/>
      <c r="J129" s="108"/>
      <c r="K129" s="108"/>
      <c r="L129" s="108"/>
      <c r="M129" s="108"/>
      <c r="N129" s="109"/>
    </row>
    <row r="130" spans="1:14">
      <c r="A130" s="97" t="s">
        <v>84</v>
      </c>
      <c r="B130" s="110"/>
      <c r="C130" s="111"/>
      <c r="D130" s="112" t="s">
        <v>544</v>
      </c>
      <c r="E130" s="108"/>
      <c r="F130" s="108"/>
      <c r="G130" s="108"/>
      <c r="H130" s="108"/>
      <c r="I130" s="108"/>
      <c r="J130" s="108"/>
      <c r="K130" s="108"/>
      <c r="L130" s="108"/>
      <c r="M130" s="108"/>
      <c r="N130" s="109"/>
    </row>
    <row r="131" spans="1:14" ht="32.1" customHeight="1">
      <c r="A131" s="99" t="s">
        <v>86</v>
      </c>
      <c r="B131" s="111"/>
      <c r="C131" s="100" t="s">
        <v>87</v>
      </c>
      <c r="D131" s="111"/>
      <c r="E131" s="96" t="s">
        <v>88</v>
      </c>
      <c r="F131" s="113"/>
      <c r="G131" s="96" t="s">
        <v>89</v>
      </c>
      <c r="H131" s="113"/>
      <c r="I131" s="96" t="s">
        <v>90</v>
      </c>
      <c r="J131" s="113"/>
      <c r="K131" s="96" t="s">
        <v>91</v>
      </c>
      <c r="L131" s="113"/>
      <c r="M131" s="48" t="s">
        <v>92</v>
      </c>
      <c r="N131" s="48" t="s">
        <v>93</v>
      </c>
    </row>
    <row r="132" spans="1:14" ht="110.25" customHeight="1">
      <c r="A132" s="114" t="s">
        <v>453</v>
      </c>
      <c r="B132" s="111"/>
      <c r="C132" s="115" t="s">
        <v>545</v>
      </c>
      <c r="D132" s="111"/>
      <c r="E132" s="115" t="s">
        <v>129</v>
      </c>
      <c r="F132" s="111"/>
      <c r="G132" s="115" t="s">
        <v>97</v>
      </c>
      <c r="H132" s="111"/>
      <c r="I132" s="115" t="s">
        <v>546</v>
      </c>
      <c r="J132" s="111"/>
      <c r="K132" s="115" t="s">
        <v>547</v>
      </c>
      <c r="L132" s="111"/>
      <c r="M132" s="132"/>
      <c r="N132" s="132" t="s">
        <v>467</v>
      </c>
    </row>
    <row r="133" spans="1:14">
      <c r="A133" s="105"/>
      <c r="B133" s="105"/>
      <c r="C133" s="105"/>
      <c r="D133" s="105"/>
      <c r="E133" s="105"/>
      <c r="F133" s="105"/>
      <c r="G133" s="105"/>
      <c r="H133" s="105"/>
      <c r="I133" s="105"/>
      <c r="J133" s="105"/>
      <c r="K133" s="105"/>
      <c r="L133" s="105"/>
      <c r="M133" s="105"/>
      <c r="N133" s="105"/>
    </row>
    <row r="134" spans="1:14">
      <c r="A134" s="98" t="s">
        <v>72</v>
      </c>
      <c r="B134" s="106"/>
      <c r="C134" s="106"/>
      <c r="D134" s="112" t="s">
        <v>14</v>
      </c>
      <c r="E134" s="108"/>
      <c r="F134" s="108"/>
      <c r="G134" s="108"/>
      <c r="H134" s="108"/>
      <c r="I134" s="108"/>
      <c r="J134" s="108"/>
      <c r="K134" s="108"/>
      <c r="L134" s="108"/>
      <c r="M134" s="108"/>
      <c r="N134" s="109"/>
    </row>
    <row r="135" spans="1:14">
      <c r="A135" s="98" t="s">
        <v>73</v>
      </c>
      <c r="B135" s="106"/>
      <c r="C135" s="106"/>
      <c r="D135" s="112" t="s">
        <v>62</v>
      </c>
      <c r="E135" s="108"/>
      <c r="F135" s="108"/>
      <c r="G135" s="108"/>
      <c r="H135" s="108"/>
      <c r="I135" s="108"/>
      <c r="J135" s="108"/>
      <c r="K135" s="108"/>
      <c r="L135" s="108"/>
      <c r="M135" s="108"/>
      <c r="N135" s="109"/>
    </row>
    <row r="136" spans="1:14">
      <c r="A136" s="97" t="s">
        <v>74</v>
      </c>
      <c r="B136" s="110"/>
      <c r="C136" s="111"/>
      <c r="D136" s="112" t="s">
        <v>548</v>
      </c>
      <c r="E136" s="108"/>
      <c r="F136" s="108"/>
      <c r="G136" s="108"/>
      <c r="H136" s="108"/>
      <c r="I136" s="108"/>
      <c r="J136" s="108"/>
      <c r="K136" s="108"/>
      <c r="L136" s="108"/>
      <c r="M136" s="108"/>
      <c r="N136" s="109"/>
    </row>
    <row r="137" spans="1:14">
      <c r="A137" s="97" t="s">
        <v>76</v>
      </c>
      <c r="B137" s="110"/>
      <c r="C137" s="111"/>
      <c r="D137" s="112" t="s">
        <v>549</v>
      </c>
      <c r="E137" s="108"/>
      <c r="F137" s="108"/>
      <c r="G137" s="108"/>
      <c r="H137" s="108"/>
      <c r="I137" s="108"/>
      <c r="J137" s="108"/>
      <c r="K137" s="108"/>
      <c r="L137" s="108"/>
      <c r="M137" s="108"/>
      <c r="N137" s="109"/>
    </row>
    <row r="138" spans="1:14">
      <c r="A138" s="97" t="s">
        <v>78</v>
      </c>
      <c r="B138" s="110"/>
      <c r="C138" s="111"/>
      <c r="D138" s="112" t="s">
        <v>79</v>
      </c>
      <c r="E138" s="108"/>
      <c r="F138" s="108"/>
      <c r="G138" s="108"/>
      <c r="H138" s="108"/>
      <c r="I138" s="108"/>
      <c r="J138" s="108"/>
      <c r="K138" s="108"/>
      <c r="L138" s="108"/>
      <c r="M138" s="108"/>
      <c r="N138" s="109"/>
    </row>
    <row r="139" spans="1:14">
      <c r="A139" s="97" t="s">
        <v>151</v>
      </c>
      <c r="B139" s="110"/>
      <c r="C139" s="111"/>
      <c r="D139" s="112" t="s">
        <v>550</v>
      </c>
      <c r="E139" s="108"/>
      <c r="F139" s="108"/>
      <c r="G139" s="108"/>
      <c r="H139" s="108"/>
      <c r="I139" s="108"/>
      <c r="J139" s="108"/>
      <c r="K139" s="108"/>
      <c r="L139" s="108"/>
      <c r="M139" s="108"/>
      <c r="N139" s="109"/>
    </row>
    <row r="140" spans="1:14" ht="44.25" customHeight="1">
      <c r="A140" s="97" t="s">
        <v>82</v>
      </c>
      <c r="B140" s="110"/>
      <c r="C140" s="111"/>
      <c r="D140" s="112" t="s">
        <v>551</v>
      </c>
      <c r="E140" s="108"/>
      <c r="F140" s="108"/>
      <c r="G140" s="108"/>
      <c r="H140" s="108"/>
      <c r="I140" s="108"/>
      <c r="J140" s="108"/>
      <c r="K140" s="108"/>
      <c r="L140" s="108"/>
      <c r="M140" s="108"/>
      <c r="N140" s="109"/>
    </row>
    <row r="141" spans="1:14">
      <c r="A141" s="97" t="s">
        <v>84</v>
      </c>
      <c r="B141" s="110"/>
      <c r="C141" s="111"/>
      <c r="D141" s="112" t="s">
        <v>552</v>
      </c>
      <c r="E141" s="108"/>
      <c r="F141" s="108"/>
      <c r="G141" s="108"/>
      <c r="H141" s="108"/>
      <c r="I141" s="108"/>
      <c r="J141" s="108"/>
      <c r="K141" s="108"/>
      <c r="L141" s="108"/>
      <c r="M141" s="108"/>
      <c r="N141" s="109"/>
    </row>
    <row r="142" spans="1:14" ht="32.1" customHeight="1">
      <c r="A142" s="99" t="s">
        <v>86</v>
      </c>
      <c r="B142" s="111"/>
      <c r="C142" s="100" t="s">
        <v>87</v>
      </c>
      <c r="D142" s="111"/>
      <c r="E142" s="96" t="s">
        <v>88</v>
      </c>
      <c r="F142" s="113"/>
      <c r="G142" s="96" t="s">
        <v>89</v>
      </c>
      <c r="H142" s="113"/>
      <c r="I142" s="96" t="s">
        <v>90</v>
      </c>
      <c r="J142" s="113"/>
      <c r="K142" s="96" t="s">
        <v>91</v>
      </c>
      <c r="L142" s="113"/>
      <c r="M142" s="48" t="s">
        <v>92</v>
      </c>
      <c r="N142" s="48" t="s">
        <v>93</v>
      </c>
    </row>
    <row r="143" spans="1:14" ht="96.75" customHeight="1">
      <c r="A143" s="114" t="s">
        <v>453</v>
      </c>
      <c r="B143" s="111"/>
      <c r="C143" s="115" t="s">
        <v>553</v>
      </c>
      <c r="D143" s="111"/>
      <c r="E143" s="115" t="s">
        <v>129</v>
      </c>
      <c r="F143" s="111"/>
      <c r="G143" s="115" t="s">
        <v>97</v>
      </c>
      <c r="H143" s="111"/>
      <c r="I143" s="115" t="s">
        <v>554</v>
      </c>
      <c r="J143" s="111"/>
      <c r="K143" s="115" t="s">
        <v>555</v>
      </c>
      <c r="L143" s="111"/>
      <c r="M143" s="132"/>
      <c r="N143" s="132" t="s">
        <v>457</v>
      </c>
    </row>
    <row r="144" spans="1:14">
      <c r="A144" s="42"/>
      <c r="B144" s="105"/>
      <c r="C144" s="105"/>
      <c r="D144" s="105"/>
      <c r="E144" s="105"/>
      <c r="F144" s="105"/>
      <c r="G144" s="105"/>
      <c r="H144" s="105"/>
      <c r="I144" s="105"/>
      <c r="J144" s="105"/>
      <c r="K144" s="105"/>
      <c r="L144" s="105"/>
      <c r="M144" s="105"/>
      <c r="N144" s="105"/>
    </row>
    <row r="145" spans="1:14">
      <c r="A145" s="98" t="s">
        <v>72</v>
      </c>
      <c r="B145" s="106"/>
      <c r="C145" s="106"/>
      <c r="D145" s="112" t="s">
        <v>14</v>
      </c>
      <c r="E145" s="108"/>
      <c r="F145" s="108"/>
      <c r="G145" s="108"/>
      <c r="H145" s="108"/>
      <c r="I145" s="108"/>
      <c r="J145" s="108"/>
      <c r="K145" s="108"/>
      <c r="L145" s="108"/>
      <c r="M145" s="108"/>
      <c r="N145" s="109"/>
    </row>
    <row r="146" spans="1:14">
      <c r="A146" s="98" t="s">
        <v>73</v>
      </c>
      <c r="B146" s="106"/>
      <c r="C146" s="106"/>
      <c r="D146" s="112" t="s">
        <v>62</v>
      </c>
      <c r="E146" s="108"/>
      <c r="F146" s="108"/>
      <c r="G146" s="108"/>
      <c r="H146" s="108"/>
      <c r="I146" s="108"/>
      <c r="J146" s="108"/>
      <c r="K146" s="108"/>
      <c r="L146" s="108"/>
      <c r="M146" s="108"/>
      <c r="N146" s="109"/>
    </row>
    <row r="147" spans="1:14">
      <c r="A147" s="97" t="s">
        <v>74</v>
      </c>
      <c r="B147" s="110"/>
      <c r="C147" s="111"/>
      <c r="D147" s="112" t="s">
        <v>556</v>
      </c>
      <c r="E147" s="108"/>
      <c r="F147" s="108"/>
      <c r="G147" s="108"/>
      <c r="H147" s="108"/>
      <c r="I147" s="108"/>
      <c r="J147" s="108"/>
      <c r="K147" s="108"/>
      <c r="L147" s="108"/>
      <c r="M147" s="108"/>
      <c r="N147" s="109"/>
    </row>
    <row r="148" spans="1:14">
      <c r="A148" s="97" t="s">
        <v>76</v>
      </c>
      <c r="B148" s="110"/>
      <c r="C148" s="111"/>
      <c r="D148" s="112" t="s">
        <v>557</v>
      </c>
      <c r="E148" s="108"/>
      <c r="F148" s="108"/>
      <c r="G148" s="108"/>
      <c r="H148" s="108"/>
      <c r="I148" s="108"/>
      <c r="J148" s="108"/>
      <c r="K148" s="108"/>
      <c r="L148" s="108"/>
      <c r="M148" s="108"/>
      <c r="N148" s="109"/>
    </row>
    <row r="149" spans="1:14">
      <c r="A149" s="97" t="s">
        <v>78</v>
      </c>
      <c r="B149" s="110"/>
      <c r="C149" s="111"/>
      <c r="D149" s="112" t="s">
        <v>103</v>
      </c>
      <c r="E149" s="108"/>
      <c r="F149" s="108"/>
      <c r="G149" s="108"/>
      <c r="H149" s="108"/>
      <c r="I149" s="108"/>
      <c r="J149" s="108"/>
      <c r="K149" s="108"/>
      <c r="L149" s="108"/>
      <c r="M149" s="108"/>
      <c r="N149" s="109"/>
    </row>
    <row r="150" spans="1:14">
      <c r="A150" s="97" t="s">
        <v>151</v>
      </c>
      <c r="B150" s="110"/>
      <c r="C150" s="111"/>
      <c r="D150" s="112" t="s">
        <v>558</v>
      </c>
      <c r="E150" s="108"/>
      <c r="F150" s="108"/>
      <c r="G150" s="108"/>
      <c r="H150" s="108"/>
      <c r="I150" s="108"/>
      <c r="J150" s="108"/>
      <c r="K150" s="108"/>
      <c r="L150" s="108"/>
      <c r="M150" s="108"/>
      <c r="N150" s="109"/>
    </row>
    <row r="151" spans="1:14" ht="35.25" customHeight="1">
      <c r="A151" s="97" t="s">
        <v>82</v>
      </c>
      <c r="B151" s="110"/>
      <c r="C151" s="111"/>
      <c r="D151" s="112" t="s">
        <v>559</v>
      </c>
      <c r="E151" s="108"/>
      <c r="F151" s="108"/>
      <c r="G151" s="108"/>
      <c r="H151" s="108"/>
      <c r="I151" s="108"/>
      <c r="J151" s="108"/>
      <c r="K151" s="108"/>
      <c r="L151" s="108"/>
      <c r="M151" s="108"/>
      <c r="N151" s="109"/>
    </row>
    <row r="152" spans="1:14">
      <c r="A152" s="97" t="s">
        <v>84</v>
      </c>
      <c r="B152" s="110"/>
      <c r="C152" s="111"/>
      <c r="D152" s="112" t="s">
        <v>560</v>
      </c>
      <c r="E152" s="108"/>
      <c r="F152" s="108"/>
      <c r="G152" s="108"/>
      <c r="H152" s="108"/>
      <c r="I152" s="108"/>
      <c r="J152" s="108"/>
      <c r="K152" s="108"/>
      <c r="L152" s="108"/>
      <c r="M152" s="108"/>
      <c r="N152" s="109"/>
    </row>
    <row r="153" spans="1:14" ht="32.1" customHeight="1">
      <c r="A153" s="99" t="s">
        <v>86</v>
      </c>
      <c r="B153" s="111"/>
      <c r="C153" s="100" t="s">
        <v>87</v>
      </c>
      <c r="D153" s="111"/>
      <c r="E153" s="96" t="s">
        <v>88</v>
      </c>
      <c r="F153" s="113"/>
      <c r="G153" s="96" t="s">
        <v>89</v>
      </c>
      <c r="H153" s="113"/>
      <c r="I153" s="96" t="s">
        <v>90</v>
      </c>
      <c r="J153" s="113"/>
      <c r="K153" s="96" t="s">
        <v>91</v>
      </c>
      <c r="L153" s="113"/>
      <c r="M153" s="48" t="s">
        <v>92</v>
      </c>
      <c r="N153" s="48" t="s">
        <v>93</v>
      </c>
    </row>
    <row r="154" spans="1:14" ht="86.25" customHeight="1">
      <c r="A154" s="114" t="s">
        <v>561</v>
      </c>
      <c r="B154" s="111"/>
      <c r="C154" s="115" t="s">
        <v>562</v>
      </c>
      <c r="D154" s="111"/>
      <c r="E154" s="115" t="s">
        <v>129</v>
      </c>
      <c r="F154" s="111"/>
      <c r="G154" s="115" t="s">
        <v>97</v>
      </c>
      <c r="H154" s="111"/>
      <c r="I154" s="115" t="s">
        <v>563</v>
      </c>
      <c r="J154" s="111"/>
      <c r="K154" s="115" t="s">
        <v>564</v>
      </c>
      <c r="L154" s="111"/>
      <c r="M154" s="132"/>
      <c r="N154" s="132" t="s">
        <v>467</v>
      </c>
    </row>
    <row r="155" spans="1:14">
      <c r="A155" s="105"/>
      <c r="B155" s="105"/>
      <c r="C155" s="105"/>
      <c r="D155" s="105"/>
      <c r="E155" s="105"/>
      <c r="F155" s="105"/>
      <c r="G155" s="105"/>
      <c r="H155" s="105"/>
      <c r="I155" s="105"/>
      <c r="J155" s="105"/>
      <c r="K155" s="105"/>
      <c r="L155" s="105"/>
      <c r="M155" s="105"/>
      <c r="N155" s="105"/>
    </row>
    <row r="156" spans="1:14">
      <c r="A156" s="98" t="s">
        <v>72</v>
      </c>
      <c r="B156" s="106"/>
      <c r="C156" s="106"/>
      <c r="D156" s="112" t="s">
        <v>14</v>
      </c>
      <c r="E156" s="108"/>
      <c r="F156" s="108"/>
      <c r="G156" s="108"/>
      <c r="H156" s="108"/>
      <c r="I156" s="108"/>
      <c r="J156" s="108"/>
      <c r="K156" s="108"/>
      <c r="L156" s="108"/>
      <c r="M156" s="108"/>
      <c r="N156" s="109"/>
    </row>
    <row r="157" spans="1:14">
      <c r="A157" s="98" t="s">
        <v>73</v>
      </c>
      <c r="B157" s="106"/>
      <c r="C157" s="106"/>
      <c r="D157" s="112" t="s">
        <v>63</v>
      </c>
      <c r="E157" s="108"/>
      <c r="F157" s="108"/>
      <c r="G157" s="108"/>
      <c r="H157" s="108"/>
      <c r="I157" s="108"/>
      <c r="J157" s="108"/>
      <c r="K157" s="108"/>
      <c r="L157" s="108"/>
      <c r="M157" s="108"/>
      <c r="N157" s="109"/>
    </row>
    <row r="158" spans="1:14">
      <c r="A158" s="97" t="s">
        <v>74</v>
      </c>
      <c r="B158" s="110"/>
      <c r="C158" s="111"/>
      <c r="D158" s="112" t="s">
        <v>565</v>
      </c>
      <c r="E158" s="108"/>
      <c r="F158" s="108"/>
      <c r="G158" s="108"/>
      <c r="H158" s="108"/>
      <c r="I158" s="108"/>
      <c r="J158" s="108"/>
      <c r="K158" s="108"/>
      <c r="L158" s="108"/>
      <c r="M158" s="108"/>
      <c r="N158" s="109"/>
    </row>
    <row r="159" spans="1:14">
      <c r="A159" s="97" t="s">
        <v>76</v>
      </c>
      <c r="B159" s="110"/>
      <c r="C159" s="111"/>
      <c r="D159" s="112" t="s">
        <v>566</v>
      </c>
      <c r="E159" s="108"/>
      <c r="F159" s="108"/>
      <c r="G159" s="108"/>
      <c r="H159" s="108"/>
      <c r="I159" s="108"/>
      <c r="J159" s="108"/>
      <c r="K159" s="108"/>
      <c r="L159" s="108"/>
      <c r="M159" s="108"/>
      <c r="N159" s="109"/>
    </row>
    <row r="160" spans="1:14">
      <c r="A160" s="97" t="s">
        <v>78</v>
      </c>
      <c r="B160" s="110"/>
      <c r="C160" s="111"/>
      <c r="D160" s="112" t="s">
        <v>79</v>
      </c>
      <c r="E160" s="108"/>
      <c r="F160" s="108"/>
      <c r="G160" s="108"/>
      <c r="H160" s="108"/>
      <c r="I160" s="108"/>
      <c r="J160" s="108"/>
      <c r="K160" s="108"/>
      <c r="L160" s="108"/>
      <c r="M160" s="108"/>
      <c r="N160" s="109"/>
    </row>
    <row r="161" spans="1:14">
      <c r="A161" s="97" t="s">
        <v>151</v>
      </c>
      <c r="B161" s="110"/>
      <c r="C161" s="111"/>
      <c r="D161" s="112" t="s">
        <v>567</v>
      </c>
      <c r="E161" s="108"/>
      <c r="F161" s="108"/>
      <c r="G161" s="108"/>
      <c r="H161" s="108"/>
      <c r="I161" s="108"/>
      <c r="J161" s="108"/>
      <c r="K161" s="108"/>
      <c r="L161" s="108"/>
      <c r="M161" s="108"/>
      <c r="N161" s="109"/>
    </row>
    <row r="162" spans="1:14" ht="37.5" customHeight="1">
      <c r="A162" s="97" t="s">
        <v>82</v>
      </c>
      <c r="B162" s="110"/>
      <c r="C162" s="111"/>
      <c r="D162" s="112" t="s">
        <v>568</v>
      </c>
      <c r="E162" s="108"/>
      <c r="F162" s="108"/>
      <c r="G162" s="108"/>
      <c r="H162" s="108"/>
      <c r="I162" s="108"/>
      <c r="J162" s="108"/>
      <c r="K162" s="108"/>
      <c r="L162" s="108"/>
      <c r="M162" s="108"/>
      <c r="N162" s="109"/>
    </row>
    <row r="163" spans="1:14">
      <c r="A163" s="97" t="s">
        <v>84</v>
      </c>
      <c r="B163" s="110"/>
      <c r="C163" s="111"/>
      <c r="D163" s="112" t="s">
        <v>569</v>
      </c>
      <c r="E163" s="108"/>
      <c r="F163" s="108"/>
      <c r="G163" s="108"/>
      <c r="H163" s="108"/>
      <c r="I163" s="108"/>
      <c r="J163" s="108"/>
      <c r="K163" s="108"/>
      <c r="L163" s="108"/>
      <c r="M163" s="108"/>
      <c r="N163" s="109"/>
    </row>
    <row r="164" spans="1:14" ht="32.1" customHeight="1">
      <c r="A164" s="99" t="s">
        <v>86</v>
      </c>
      <c r="B164" s="111"/>
      <c r="C164" s="100" t="s">
        <v>87</v>
      </c>
      <c r="D164" s="111"/>
      <c r="E164" s="96" t="s">
        <v>88</v>
      </c>
      <c r="F164" s="113"/>
      <c r="G164" s="96" t="s">
        <v>89</v>
      </c>
      <c r="H164" s="113"/>
      <c r="I164" s="96" t="s">
        <v>90</v>
      </c>
      <c r="J164" s="113"/>
      <c r="K164" s="96" t="s">
        <v>91</v>
      </c>
      <c r="L164" s="113"/>
      <c r="M164" s="48" t="s">
        <v>92</v>
      </c>
      <c r="N164" s="48" t="s">
        <v>93</v>
      </c>
    </row>
    <row r="165" spans="1:14" ht="78.75" customHeight="1">
      <c r="A165" s="114" t="s">
        <v>453</v>
      </c>
      <c r="B165" s="111"/>
      <c r="C165" s="115" t="s">
        <v>570</v>
      </c>
      <c r="D165" s="111"/>
      <c r="E165" s="115" t="s">
        <v>129</v>
      </c>
      <c r="F165" s="111"/>
      <c r="G165" s="115" t="s">
        <v>97</v>
      </c>
      <c r="H165" s="111"/>
      <c r="I165" s="115" t="s">
        <v>571</v>
      </c>
      <c r="J165" s="111"/>
      <c r="K165" s="115" t="s">
        <v>572</v>
      </c>
      <c r="L165" s="111"/>
      <c r="M165" s="132"/>
      <c r="N165" s="132" t="s">
        <v>457</v>
      </c>
    </row>
    <row r="166" spans="1:14">
      <c r="A166" s="42"/>
      <c r="B166" s="105"/>
      <c r="C166" s="105"/>
      <c r="D166" s="105"/>
      <c r="E166" s="105"/>
      <c r="F166" s="105"/>
      <c r="G166" s="105"/>
      <c r="H166" s="105"/>
      <c r="I166" s="105"/>
      <c r="J166" s="105"/>
      <c r="K166" s="105"/>
      <c r="L166" s="105"/>
      <c r="M166" s="105"/>
      <c r="N166" s="105"/>
    </row>
    <row r="167" spans="1:14">
      <c r="A167" s="98" t="s">
        <v>72</v>
      </c>
      <c r="B167" s="106"/>
      <c r="C167" s="106"/>
      <c r="D167" s="112" t="s">
        <v>14</v>
      </c>
      <c r="E167" s="108"/>
      <c r="F167" s="108"/>
      <c r="G167" s="108"/>
      <c r="H167" s="108"/>
      <c r="I167" s="108"/>
      <c r="J167" s="108"/>
      <c r="K167" s="108"/>
      <c r="L167" s="108"/>
      <c r="M167" s="108"/>
      <c r="N167" s="109"/>
    </row>
    <row r="168" spans="1:14">
      <c r="A168" s="98" t="s">
        <v>73</v>
      </c>
      <c r="B168" s="106"/>
      <c r="C168" s="106"/>
      <c r="D168" s="112" t="s">
        <v>63</v>
      </c>
      <c r="E168" s="108"/>
      <c r="F168" s="108"/>
      <c r="G168" s="108"/>
      <c r="H168" s="108"/>
      <c r="I168" s="108"/>
      <c r="J168" s="108"/>
      <c r="K168" s="108"/>
      <c r="L168" s="108"/>
      <c r="M168" s="108"/>
      <c r="N168" s="109"/>
    </row>
    <row r="169" spans="1:14">
      <c r="A169" s="97" t="s">
        <v>74</v>
      </c>
      <c r="B169" s="110"/>
      <c r="C169" s="111"/>
      <c r="D169" s="112" t="s">
        <v>573</v>
      </c>
      <c r="E169" s="108"/>
      <c r="F169" s="108"/>
      <c r="G169" s="108"/>
      <c r="H169" s="108"/>
      <c r="I169" s="108"/>
      <c r="J169" s="108"/>
      <c r="K169" s="108"/>
      <c r="L169" s="108"/>
      <c r="M169" s="108"/>
      <c r="N169" s="109"/>
    </row>
    <row r="170" spans="1:14">
      <c r="A170" s="97" t="s">
        <v>76</v>
      </c>
      <c r="B170" s="110"/>
      <c r="C170" s="111"/>
      <c r="D170" s="112" t="s">
        <v>574</v>
      </c>
      <c r="E170" s="108"/>
      <c r="F170" s="108"/>
      <c r="G170" s="108"/>
      <c r="H170" s="108"/>
      <c r="I170" s="108"/>
      <c r="J170" s="108"/>
      <c r="K170" s="108"/>
      <c r="L170" s="108"/>
      <c r="M170" s="108"/>
      <c r="N170" s="109"/>
    </row>
    <row r="171" spans="1:14">
      <c r="A171" s="97" t="s">
        <v>78</v>
      </c>
      <c r="B171" s="110"/>
      <c r="C171" s="111"/>
      <c r="D171" s="112" t="s">
        <v>103</v>
      </c>
      <c r="E171" s="108"/>
      <c r="F171" s="108"/>
      <c r="G171" s="108"/>
      <c r="H171" s="108"/>
      <c r="I171" s="108"/>
      <c r="J171" s="108"/>
      <c r="K171" s="108"/>
      <c r="L171" s="108"/>
      <c r="M171" s="108"/>
      <c r="N171" s="109"/>
    </row>
    <row r="172" spans="1:14" ht="49.5" customHeight="1">
      <c r="A172" s="97" t="s">
        <v>151</v>
      </c>
      <c r="B172" s="110"/>
      <c r="C172" s="111"/>
      <c r="D172" s="112" t="s">
        <v>575</v>
      </c>
      <c r="E172" s="108"/>
      <c r="F172" s="108"/>
      <c r="G172" s="108"/>
      <c r="H172" s="108"/>
      <c r="I172" s="108"/>
      <c r="J172" s="108"/>
      <c r="K172" s="108"/>
      <c r="L172" s="108"/>
      <c r="M172" s="108"/>
      <c r="N172" s="109"/>
    </row>
    <row r="173" spans="1:14" ht="35.25" customHeight="1">
      <c r="A173" s="97" t="s">
        <v>82</v>
      </c>
      <c r="B173" s="110"/>
      <c r="C173" s="111"/>
      <c r="D173" s="112" t="s">
        <v>576</v>
      </c>
      <c r="E173" s="108"/>
      <c r="F173" s="108"/>
      <c r="G173" s="108"/>
      <c r="H173" s="108"/>
      <c r="I173" s="108"/>
      <c r="J173" s="108"/>
      <c r="K173" s="108"/>
      <c r="L173" s="108"/>
      <c r="M173" s="108"/>
      <c r="N173" s="109"/>
    </row>
    <row r="174" spans="1:14">
      <c r="A174" s="97" t="s">
        <v>84</v>
      </c>
      <c r="B174" s="110"/>
      <c r="C174" s="111"/>
      <c r="D174" s="112" t="s">
        <v>577</v>
      </c>
      <c r="E174" s="108"/>
      <c r="F174" s="108"/>
      <c r="G174" s="108"/>
      <c r="H174" s="108"/>
      <c r="I174" s="108"/>
      <c r="J174" s="108"/>
      <c r="K174" s="108"/>
      <c r="L174" s="108"/>
      <c r="M174" s="108"/>
      <c r="N174" s="109"/>
    </row>
    <row r="175" spans="1:14" ht="32.1" customHeight="1">
      <c r="A175" s="99" t="s">
        <v>86</v>
      </c>
      <c r="B175" s="111"/>
      <c r="C175" s="100" t="s">
        <v>87</v>
      </c>
      <c r="D175" s="111"/>
      <c r="E175" s="96" t="s">
        <v>88</v>
      </c>
      <c r="F175" s="113"/>
      <c r="G175" s="96" t="s">
        <v>89</v>
      </c>
      <c r="H175" s="113"/>
      <c r="I175" s="96" t="s">
        <v>90</v>
      </c>
      <c r="J175" s="113"/>
      <c r="K175" s="96" t="s">
        <v>91</v>
      </c>
      <c r="L175" s="113"/>
      <c r="M175" s="48" t="s">
        <v>92</v>
      </c>
      <c r="N175" s="48" t="s">
        <v>93</v>
      </c>
    </row>
    <row r="176" spans="1:14" ht="68.25" customHeight="1">
      <c r="A176" s="114" t="s">
        <v>453</v>
      </c>
      <c r="B176" s="111"/>
      <c r="C176" s="115" t="s">
        <v>578</v>
      </c>
      <c r="D176" s="111"/>
      <c r="E176" s="115" t="s">
        <v>129</v>
      </c>
      <c r="F176" s="111"/>
      <c r="G176" s="115" t="s">
        <v>97</v>
      </c>
      <c r="H176" s="111"/>
      <c r="I176" s="115" t="s">
        <v>579</v>
      </c>
      <c r="J176" s="111"/>
      <c r="K176" s="115" t="s">
        <v>580</v>
      </c>
      <c r="L176" s="111"/>
      <c r="M176" s="132"/>
      <c r="N176" s="132" t="s">
        <v>467</v>
      </c>
    </row>
    <row r="177" spans="1:14">
      <c r="A177" s="105"/>
      <c r="B177" s="105"/>
      <c r="C177" s="105"/>
      <c r="D177" s="105"/>
      <c r="E177" s="105"/>
      <c r="F177" s="105"/>
      <c r="G177" s="105"/>
      <c r="H177" s="105"/>
      <c r="I177" s="105"/>
      <c r="J177" s="105"/>
      <c r="K177" s="105"/>
      <c r="L177" s="105"/>
      <c r="M177" s="105"/>
      <c r="N177" s="105"/>
    </row>
    <row r="178" spans="1:14">
      <c r="A178" s="98" t="s">
        <v>72</v>
      </c>
      <c r="B178" s="106"/>
      <c r="C178" s="106"/>
      <c r="D178" s="112" t="s">
        <v>14</v>
      </c>
      <c r="E178" s="108"/>
      <c r="F178" s="108"/>
      <c r="G178" s="108"/>
      <c r="H178" s="108"/>
      <c r="I178" s="108"/>
      <c r="J178" s="108"/>
      <c r="K178" s="108"/>
      <c r="L178" s="108"/>
      <c r="M178" s="108"/>
      <c r="N178" s="109"/>
    </row>
    <row r="179" spans="1:14">
      <c r="A179" s="98" t="s">
        <v>73</v>
      </c>
      <c r="B179" s="106"/>
      <c r="C179" s="106"/>
      <c r="D179" s="112" t="s">
        <v>64</v>
      </c>
      <c r="E179" s="108"/>
      <c r="F179" s="108"/>
      <c r="G179" s="108"/>
      <c r="H179" s="108"/>
      <c r="I179" s="108"/>
      <c r="J179" s="108"/>
      <c r="K179" s="108"/>
      <c r="L179" s="108"/>
      <c r="M179" s="108"/>
      <c r="N179" s="109"/>
    </row>
    <row r="180" spans="1:14">
      <c r="A180" s="97" t="s">
        <v>74</v>
      </c>
      <c r="B180" s="110"/>
      <c r="C180" s="111"/>
      <c r="D180" s="112" t="s">
        <v>581</v>
      </c>
      <c r="E180" s="108"/>
      <c r="F180" s="108"/>
      <c r="G180" s="108"/>
      <c r="H180" s="108"/>
      <c r="I180" s="108"/>
      <c r="J180" s="108"/>
      <c r="K180" s="108"/>
      <c r="L180" s="108"/>
      <c r="M180" s="108"/>
      <c r="N180" s="109"/>
    </row>
    <row r="181" spans="1:14">
      <c r="A181" s="97" t="s">
        <v>76</v>
      </c>
      <c r="B181" s="110"/>
      <c r="C181" s="111"/>
      <c r="D181" s="112" t="s">
        <v>582</v>
      </c>
      <c r="E181" s="108"/>
      <c r="F181" s="108"/>
      <c r="G181" s="108"/>
      <c r="H181" s="108"/>
      <c r="I181" s="108"/>
      <c r="J181" s="108"/>
      <c r="K181" s="108"/>
      <c r="L181" s="108"/>
      <c r="M181" s="108"/>
      <c r="N181" s="109"/>
    </row>
    <row r="182" spans="1:14">
      <c r="A182" s="97" t="s">
        <v>78</v>
      </c>
      <c r="B182" s="110"/>
      <c r="C182" s="111"/>
      <c r="D182" s="112" t="s">
        <v>79</v>
      </c>
      <c r="E182" s="108"/>
      <c r="F182" s="108"/>
      <c r="G182" s="108"/>
      <c r="H182" s="108"/>
      <c r="I182" s="108"/>
      <c r="J182" s="108"/>
      <c r="K182" s="108"/>
      <c r="L182" s="108"/>
      <c r="M182" s="108"/>
      <c r="N182" s="109"/>
    </row>
    <row r="183" spans="1:14">
      <c r="A183" s="97" t="s">
        <v>151</v>
      </c>
      <c r="B183" s="110"/>
      <c r="C183" s="111"/>
      <c r="D183" s="112" t="s">
        <v>583</v>
      </c>
      <c r="E183" s="108"/>
      <c r="F183" s="108"/>
      <c r="G183" s="108"/>
      <c r="H183" s="108"/>
      <c r="I183" s="108"/>
      <c r="J183" s="108"/>
      <c r="K183" s="108"/>
      <c r="L183" s="108"/>
      <c r="M183" s="108"/>
      <c r="N183" s="109"/>
    </row>
    <row r="184" spans="1:14" ht="35.25" customHeight="1">
      <c r="A184" s="97" t="s">
        <v>82</v>
      </c>
      <c r="B184" s="110"/>
      <c r="C184" s="111"/>
      <c r="D184" s="112" t="s">
        <v>584</v>
      </c>
      <c r="E184" s="108"/>
      <c r="F184" s="108"/>
      <c r="G184" s="108"/>
      <c r="H184" s="108"/>
      <c r="I184" s="108"/>
      <c r="J184" s="108"/>
      <c r="K184" s="108"/>
      <c r="L184" s="108"/>
      <c r="M184" s="108"/>
      <c r="N184" s="109"/>
    </row>
    <row r="185" spans="1:14">
      <c r="A185" s="97" t="s">
        <v>84</v>
      </c>
      <c r="B185" s="110"/>
      <c r="C185" s="111"/>
      <c r="D185" s="112" t="s">
        <v>585</v>
      </c>
      <c r="E185" s="108"/>
      <c r="F185" s="108"/>
      <c r="G185" s="108"/>
      <c r="H185" s="108"/>
      <c r="I185" s="108"/>
      <c r="J185" s="108"/>
      <c r="K185" s="108"/>
      <c r="L185" s="108"/>
      <c r="M185" s="108"/>
      <c r="N185" s="109"/>
    </row>
    <row r="186" spans="1:14" ht="32.1" customHeight="1">
      <c r="A186" s="99" t="s">
        <v>86</v>
      </c>
      <c r="B186" s="111"/>
      <c r="C186" s="100" t="s">
        <v>87</v>
      </c>
      <c r="D186" s="111"/>
      <c r="E186" s="96" t="s">
        <v>88</v>
      </c>
      <c r="F186" s="113"/>
      <c r="G186" s="96" t="s">
        <v>89</v>
      </c>
      <c r="H186" s="113"/>
      <c r="I186" s="96" t="s">
        <v>90</v>
      </c>
      <c r="J186" s="113"/>
      <c r="K186" s="96" t="s">
        <v>91</v>
      </c>
      <c r="L186" s="113"/>
      <c r="M186" s="48" t="s">
        <v>92</v>
      </c>
      <c r="N186" s="48" t="s">
        <v>93</v>
      </c>
    </row>
    <row r="187" spans="1:14" ht="75.75" customHeight="1">
      <c r="A187" s="114" t="s">
        <v>453</v>
      </c>
      <c r="B187" s="111"/>
      <c r="C187" s="115" t="s">
        <v>586</v>
      </c>
      <c r="D187" s="111"/>
      <c r="E187" s="115" t="s">
        <v>129</v>
      </c>
      <c r="F187" s="111"/>
      <c r="G187" s="115" t="s">
        <v>97</v>
      </c>
      <c r="H187" s="111"/>
      <c r="I187" s="115" t="s">
        <v>587</v>
      </c>
      <c r="J187" s="111"/>
      <c r="K187" s="115" t="s">
        <v>588</v>
      </c>
      <c r="L187" s="111"/>
      <c r="M187" s="132"/>
      <c r="N187" s="132" t="s">
        <v>457</v>
      </c>
    </row>
    <row r="188" spans="1:14">
      <c r="A188" s="42"/>
      <c r="B188" s="105"/>
      <c r="C188" s="105"/>
      <c r="D188" s="105"/>
      <c r="E188" s="105"/>
      <c r="F188" s="105"/>
      <c r="G188" s="105"/>
      <c r="H188" s="105"/>
      <c r="I188" s="105"/>
      <c r="J188" s="105"/>
      <c r="K188" s="105"/>
      <c r="L188" s="105"/>
      <c r="M188" s="105"/>
      <c r="N188" s="105"/>
    </row>
    <row r="189" spans="1:14">
      <c r="A189" s="98" t="s">
        <v>72</v>
      </c>
      <c r="B189" s="106"/>
      <c r="C189" s="106"/>
      <c r="D189" s="112" t="s">
        <v>14</v>
      </c>
      <c r="E189" s="108"/>
      <c r="F189" s="108"/>
      <c r="G189" s="108"/>
      <c r="H189" s="108"/>
      <c r="I189" s="108"/>
      <c r="J189" s="108"/>
      <c r="K189" s="108"/>
      <c r="L189" s="108"/>
      <c r="M189" s="108"/>
      <c r="N189" s="109"/>
    </row>
    <row r="190" spans="1:14">
      <c r="A190" s="98" t="s">
        <v>73</v>
      </c>
      <c r="B190" s="106"/>
      <c r="C190" s="106"/>
      <c r="D190" s="112" t="s">
        <v>64</v>
      </c>
      <c r="E190" s="108"/>
      <c r="F190" s="108"/>
      <c r="G190" s="108"/>
      <c r="H190" s="108"/>
      <c r="I190" s="108"/>
      <c r="J190" s="108"/>
      <c r="K190" s="108"/>
      <c r="L190" s="108"/>
      <c r="M190" s="108"/>
      <c r="N190" s="109"/>
    </row>
    <row r="191" spans="1:14">
      <c r="A191" s="97" t="s">
        <v>74</v>
      </c>
      <c r="B191" s="110"/>
      <c r="C191" s="111"/>
      <c r="D191" s="112" t="s">
        <v>589</v>
      </c>
      <c r="E191" s="108"/>
      <c r="F191" s="108"/>
      <c r="G191" s="108"/>
      <c r="H191" s="108"/>
      <c r="I191" s="108"/>
      <c r="J191" s="108"/>
      <c r="K191" s="108"/>
      <c r="L191" s="108"/>
      <c r="M191" s="108"/>
      <c r="N191" s="109"/>
    </row>
    <row r="192" spans="1:14">
      <c r="A192" s="97" t="s">
        <v>76</v>
      </c>
      <c r="B192" s="110"/>
      <c r="C192" s="111"/>
      <c r="D192" s="112" t="s">
        <v>590</v>
      </c>
      <c r="E192" s="108"/>
      <c r="F192" s="108"/>
      <c r="G192" s="108"/>
      <c r="H192" s="108"/>
      <c r="I192" s="108"/>
      <c r="J192" s="108"/>
      <c r="K192" s="108"/>
      <c r="L192" s="108"/>
      <c r="M192" s="108"/>
      <c r="N192" s="109"/>
    </row>
    <row r="193" spans="1:14">
      <c r="A193" s="97" t="s">
        <v>78</v>
      </c>
      <c r="B193" s="110"/>
      <c r="C193" s="111"/>
      <c r="D193" s="112" t="s">
        <v>103</v>
      </c>
      <c r="E193" s="108"/>
      <c r="F193" s="108"/>
      <c r="G193" s="108"/>
      <c r="H193" s="108"/>
      <c r="I193" s="108"/>
      <c r="J193" s="108"/>
      <c r="K193" s="108"/>
      <c r="L193" s="108"/>
      <c r="M193" s="108"/>
      <c r="N193" s="109"/>
    </row>
    <row r="194" spans="1:14">
      <c r="A194" s="97" t="s">
        <v>151</v>
      </c>
      <c r="B194" s="110"/>
      <c r="C194" s="111"/>
      <c r="D194" s="112" t="s">
        <v>591</v>
      </c>
      <c r="E194" s="108"/>
      <c r="F194" s="108"/>
      <c r="G194" s="108"/>
      <c r="H194" s="108"/>
      <c r="I194" s="108"/>
      <c r="J194" s="108"/>
      <c r="K194" s="108"/>
      <c r="L194" s="108"/>
      <c r="M194" s="108"/>
      <c r="N194" s="109"/>
    </row>
    <row r="195" spans="1:14" ht="40.5" customHeight="1">
      <c r="A195" s="97" t="s">
        <v>82</v>
      </c>
      <c r="B195" s="110"/>
      <c r="C195" s="111"/>
      <c r="D195" s="112" t="s">
        <v>592</v>
      </c>
      <c r="E195" s="108"/>
      <c r="F195" s="108"/>
      <c r="G195" s="108"/>
      <c r="H195" s="108"/>
      <c r="I195" s="108"/>
      <c r="J195" s="108"/>
      <c r="K195" s="108"/>
      <c r="L195" s="108"/>
      <c r="M195" s="108"/>
      <c r="N195" s="109"/>
    </row>
    <row r="196" spans="1:14">
      <c r="A196" s="97" t="s">
        <v>84</v>
      </c>
      <c r="B196" s="110"/>
      <c r="C196" s="111"/>
      <c r="D196" s="112" t="s">
        <v>593</v>
      </c>
      <c r="E196" s="108"/>
      <c r="F196" s="108"/>
      <c r="G196" s="108"/>
      <c r="H196" s="108"/>
      <c r="I196" s="108"/>
      <c r="J196" s="108"/>
      <c r="K196" s="108"/>
      <c r="L196" s="108"/>
      <c r="M196" s="108"/>
      <c r="N196" s="109"/>
    </row>
    <row r="197" spans="1:14" ht="32.1" customHeight="1">
      <c r="A197" s="99" t="s">
        <v>86</v>
      </c>
      <c r="B197" s="111"/>
      <c r="C197" s="100" t="s">
        <v>87</v>
      </c>
      <c r="D197" s="111"/>
      <c r="E197" s="96" t="s">
        <v>88</v>
      </c>
      <c r="F197" s="113"/>
      <c r="G197" s="96" t="s">
        <v>89</v>
      </c>
      <c r="H197" s="113"/>
      <c r="I197" s="96" t="s">
        <v>90</v>
      </c>
      <c r="J197" s="113"/>
      <c r="K197" s="96" t="s">
        <v>91</v>
      </c>
      <c r="L197" s="113"/>
      <c r="M197" s="48" t="s">
        <v>92</v>
      </c>
      <c r="N197" s="48" t="s">
        <v>93</v>
      </c>
    </row>
    <row r="198" spans="1:14" ht="88.5" customHeight="1">
      <c r="A198" s="114" t="s">
        <v>453</v>
      </c>
      <c r="B198" s="111"/>
      <c r="C198" s="115" t="s">
        <v>594</v>
      </c>
      <c r="D198" s="111"/>
      <c r="E198" s="115" t="s">
        <v>129</v>
      </c>
      <c r="F198" s="111"/>
      <c r="G198" s="115" t="s">
        <v>97</v>
      </c>
      <c r="H198" s="111"/>
      <c r="I198" s="115" t="s">
        <v>595</v>
      </c>
      <c r="J198" s="111"/>
      <c r="K198" s="115" t="s">
        <v>596</v>
      </c>
      <c r="L198" s="111"/>
      <c r="M198" s="132"/>
      <c r="N198" s="132" t="s">
        <v>467</v>
      </c>
    </row>
    <row r="199" spans="1:14">
      <c r="A199" s="105"/>
      <c r="B199" s="105"/>
      <c r="C199" s="105"/>
      <c r="D199" s="105"/>
      <c r="E199" s="105"/>
      <c r="F199" s="105"/>
      <c r="G199" s="105"/>
      <c r="H199" s="105"/>
      <c r="I199" s="105"/>
      <c r="J199" s="105"/>
      <c r="K199" s="105"/>
      <c r="L199" s="105"/>
      <c r="M199" s="105"/>
      <c r="N199" s="105"/>
    </row>
    <row r="200" spans="1:14">
      <c r="A200" s="98" t="s">
        <v>72</v>
      </c>
      <c r="B200" s="106"/>
      <c r="C200" s="106"/>
      <c r="D200" s="112" t="s">
        <v>14</v>
      </c>
      <c r="E200" s="108"/>
      <c r="F200" s="108"/>
      <c r="G200" s="108"/>
      <c r="H200" s="108"/>
      <c r="I200" s="108"/>
      <c r="J200" s="108"/>
      <c r="K200" s="108"/>
      <c r="L200" s="108"/>
      <c r="M200" s="108"/>
      <c r="N200" s="109"/>
    </row>
    <row r="201" spans="1:14">
      <c r="A201" s="98" t="s">
        <v>73</v>
      </c>
      <c r="B201" s="106"/>
      <c r="C201" s="106"/>
      <c r="D201" s="112" t="s">
        <v>65</v>
      </c>
      <c r="E201" s="108"/>
      <c r="F201" s="108"/>
      <c r="G201" s="108"/>
      <c r="H201" s="108"/>
      <c r="I201" s="108"/>
      <c r="J201" s="108"/>
      <c r="K201" s="108"/>
      <c r="L201" s="108"/>
      <c r="M201" s="108"/>
      <c r="N201" s="109"/>
    </row>
    <row r="202" spans="1:14">
      <c r="A202" s="97" t="s">
        <v>74</v>
      </c>
      <c r="B202" s="110"/>
      <c r="C202" s="111"/>
      <c r="D202" s="112" t="s">
        <v>597</v>
      </c>
      <c r="E202" s="108"/>
      <c r="F202" s="108"/>
      <c r="G202" s="108"/>
      <c r="H202" s="108"/>
      <c r="I202" s="108"/>
      <c r="J202" s="108"/>
      <c r="K202" s="108"/>
      <c r="L202" s="108"/>
      <c r="M202" s="108"/>
      <c r="N202" s="109"/>
    </row>
    <row r="203" spans="1:14">
      <c r="A203" s="97" t="s">
        <v>76</v>
      </c>
      <c r="B203" s="110"/>
      <c r="C203" s="111"/>
      <c r="D203" s="112" t="s">
        <v>598</v>
      </c>
      <c r="E203" s="108"/>
      <c r="F203" s="108"/>
      <c r="G203" s="108"/>
      <c r="H203" s="108"/>
      <c r="I203" s="108"/>
      <c r="J203" s="108"/>
      <c r="K203" s="108"/>
      <c r="L203" s="108"/>
      <c r="M203" s="108"/>
      <c r="N203" s="109"/>
    </row>
    <row r="204" spans="1:14">
      <c r="A204" s="97" t="s">
        <v>78</v>
      </c>
      <c r="B204" s="110"/>
      <c r="C204" s="111"/>
      <c r="D204" s="112" t="s">
        <v>79</v>
      </c>
      <c r="E204" s="108"/>
      <c r="F204" s="108"/>
      <c r="G204" s="108"/>
      <c r="H204" s="108"/>
      <c r="I204" s="108"/>
      <c r="J204" s="108"/>
      <c r="K204" s="108"/>
      <c r="L204" s="108"/>
      <c r="M204" s="108"/>
      <c r="N204" s="109"/>
    </row>
    <row r="205" spans="1:14">
      <c r="A205" s="97" t="s">
        <v>151</v>
      </c>
      <c r="B205" s="110"/>
      <c r="C205" s="111"/>
      <c r="D205" s="112" t="s">
        <v>599</v>
      </c>
      <c r="E205" s="108"/>
      <c r="F205" s="108"/>
      <c r="G205" s="108"/>
      <c r="H205" s="108"/>
      <c r="I205" s="108"/>
      <c r="J205" s="108"/>
      <c r="K205" s="108"/>
      <c r="L205" s="108"/>
      <c r="M205" s="108"/>
      <c r="N205" s="109"/>
    </row>
    <row r="206" spans="1:14" ht="36" customHeight="1">
      <c r="A206" s="97" t="s">
        <v>82</v>
      </c>
      <c r="B206" s="110"/>
      <c r="C206" s="111"/>
      <c r="D206" s="112" t="s">
        <v>600</v>
      </c>
      <c r="E206" s="108"/>
      <c r="F206" s="108"/>
      <c r="G206" s="108"/>
      <c r="H206" s="108"/>
      <c r="I206" s="108"/>
      <c r="J206" s="108"/>
      <c r="K206" s="108"/>
      <c r="L206" s="108"/>
      <c r="M206" s="108"/>
      <c r="N206" s="109"/>
    </row>
    <row r="207" spans="1:14" ht="27" customHeight="1">
      <c r="A207" s="97" t="s">
        <v>84</v>
      </c>
      <c r="B207" s="110"/>
      <c r="C207" s="111"/>
      <c r="D207" s="112" t="s">
        <v>601</v>
      </c>
      <c r="E207" s="108"/>
      <c r="F207" s="108"/>
      <c r="G207" s="108"/>
      <c r="H207" s="108"/>
      <c r="I207" s="108"/>
      <c r="J207" s="108"/>
      <c r="K207" s="108"/>
      <c r="L207" s="108"/>
      <c r="M207" s="108"/>
      <c r="N207" s="109"/>
    </row>
    <row r="208" spans="1:14" ht="32.1" customHeight="1">
      <c r="A208" s="99" t="s">
        <v>86</v>
      </c>
      <c r="B208" s="111"/>
      <c r="C208" s="100" t="s">
        <v>87</v>
      </c>
      <c r="D208" s="111"/>
      <c r="E208" s="96" t="s">
        <v>88</v>
      </c>
      <c r="F208" s="113"/>
      <c r="G208" s="96" t="s">
        <v>89</v>
      </c>
      <c r="H208" s="113"/>
      <c r="I208" s="96" t="s">
        <v>90</v>
      </c>
      <c r="J208" s="113"/>
      <c r="K208" s="96" t="s">
        <v>91</v>
      </c>
      <c r="L208" s="113"/>
      <c r="M208" s="48" t="s">
        <v>92</v>
      </c>
      <c r="N208" s="48" t="s">
        <v>93</v>
      </c>
    </row>
    <row r="209" spans="1:14" ht="72" customHeight="1">
      <c r="A209" s="114" t="s">
        <v>453</v>
      </c>
      <c r="B209" s="111"/>
      <c r="C209" s="115" t="s">
        <v>602</v>
      </c>
      <c r="D209" s="111"/>
      <c r="E209" s="115" t="s">
        <v>129</v>
      </c>
      <c r="F209" s="111"/>
      <c r="G209" s="115" t="s">
        <v>97</v>
      </c>
      <c r="H209" s="111"/>
      <c r="I209" s="115" t="s">
        <v>603</v>
      </c>
      <c r="J209" s="111"/>
      <c r="K209" s="115" t="s">
        <v>604</v>
      </c>
      <c r="L209" s="111"/>
      <c r="M209" s="132"/>
      <c r="N209" s="132" t="s">
        <v>457</v>
      </c>
    </row>
    <row r="210" spans="1:14">
      <c r="A210" s="42"/>
      <c r="B210" s="105"/>
      <c r="C210" s="105"/>
      <c r="D210" s="105"/>
      <c r="E210" s="105"/>
      <c r="F210" s="105"/>
      <c r="G210" s="105"/>
      <c r="H210" s="105"/>
      <c r="I210" s="105"/>
      <c r="J210" s="105"/>
      <c r="K210" s="105"/>
      <c r="L210" s="105"/>
      <c r="M210" s="105"/>
      <c r="N210" s="105"/>
    </row>
    <row r="211" spans="1:14">
      <c r="A211" s="98" t="s">
        <v>72</v>
      </c>
      <c r="B211" s="106"/>
      <c r="C211" s="106"/>
      <c r="D211" s="112" t="s">
        <v>14</v>
      </c>
      <c r="E211" s="108"/>
      <c r="F211" s="108"/>
      <c r="G211" s="108"/>
      <c r="H211" s="108"/>
      <c r="I211" s="108"/>
      <c r="J211" s="108"/>
      <c r="K211" s="108"/>
      <c r="L211" s="108"/>
      <c r="M211" s="108"/>
      <c r="N211" s="109"/>
    </row>
    <row r="212" spans="1:14">
      <c r="A212" s="98" t="s">
        <v>73</v>
      </c>
      <c r="B212" s="106"/>
      <c r="C212" s="106"/>
      <c r="D212" s="112" t="s">
        <v>65</v>
      </c>
      <c r="E212" s="108"/>
      <c r="F212" s="108"/>
      <c r="G212" s="108"/>
      <c r="H212" s="108"/>
      <c r="I212" s="108"/>
      <c r="J212" s="108"/>
      <c r="K212" s="108"/>
      <c r="L212" s="108"/>
      <c r="M212" s="108"/>
      <c r="N212" s="109"/>
    </row>
    <row r="213" spans="1:14">
      <c r="A213" s="97" t="s">
        <v>74</v>
      </c>
      <c r="B213" s="110"/>
      <c r="C213" s="111"/>
      <c r="D213" s="112" t="s">
        <v>605</v>
      </c>
      <c r="E213" s="108"/>
      <c r="F213" s="108"/>
      <c r="G213" s="108"/>
      <c r="H213" s="108"/>
      <c r="I213" s="108"/>
      <c r="J213" s="108"/>
      <c r="K213" s="108"/>
      <c r="L213" s="108"/>
      <c r="M213" s="108"/>
      <c r="N213" s="109"/>
    </row>
    <row r="214" spans="1:14">
      <c r="A214" s="97" t="s">
        <v>76</v>
      </c>
      <c r="B214" s="110"/>
      <c r="C214" s="111"/>
      <c r="D214" s="112" t="s">
        <v>606</v>
      </c>
      <c r="E214" s="108"/>
      <c r="F214" s="108"/>
      <c r="G214" s="108"/>
      <c r="H214" s="108"/>
      <c r="I214" s="108"/>
      <c r="J214" s="108"/>
      <c r="K214" s="108"/>
      <c r="L214" s="108"/>
      <c r="M214" s="108"/>
      <c r="N214" s="109"/>
    </row>
    <row r="215" spans="1:14">
      <c r="A215" s="97" t="s">
        <v>78</v>
      </c>
      <c r="B215" s="110"/>
      <c r="C215" s="111"/>
      <c r="D215" s="112" t="s">
        <v>103</v>
      </c>
      <c r="E215" s="108"/>
      <c r="F215" s="108"/>
      <c r="G215" s="108"/>
      <c r="H215" s="108"/>
      <c r="I215" s="108"/>
      <c r="J215" s="108"/>
      <c r="K215" s="108"/>
      <c r="L215" s="108"/>
      <c r="M215" s="108"/>
      <c r="N215" s="109"/>
    </row>
    <row r="216" spans="1:14">
      <c r="A216" s="97" t="s">
        <v>151</v>
      </c>
      <c r="B216" s="110"/>
      <c r="C216" s="111"/>
      <c r="D216" s="112" t="s">
        <v>607</v>
      </c>
      <c r="E216" s="108"/>
      <c r="F216" s="108"/>
      <c r="G216" s="108"/>
      <c r="H216" s="108"/>
      <c r="I216" s="108"/>
      <c r="J216" s="108"/>
      <c r="K216" s="108"/>
      <c r="L216" s="108"/>
      <c r="M216" s="108"/>
      <c r="N216" s="109"/>
    </row>
    <row r="217" spans="1:14" ht="42.75" customHeight="1">
      <c r="A217" s="97" t="s">
        <v>82</v>
      </c>
      <c r="B217" s="110"/>
      <c r="C217" s="111"/>
      <c r="D217" s="112" t="s">
        <v>608</v>
      </c>
      <c r="E217" s="108"/>
      <c r="F217" s="108"/>
      <c r="G217" s="108"/>
      <c r="H217" s="108"/>
      <c r="I217" s="108"/>
      <c r="J217" s="108"/>
      <c r="K217" s="108"/>
      <c r="L217" s="108"/>
      <c r="M217" s="108"/>
      <c r="N217" s="109"/>
    </row>
    <row r="218" spans="1:14">
      <c r="A218" s="97" t="s">
        <v>84</v>
      </c>
      <c r="B218" s="110"/>
      <c r="C218" s="111"/>
      <c r="D218" s="112" t="s">
        <v>609</v>
      </c>
      <c r="E218" s="108"/>
      <c r="F218" s="108"/>
      <c r="G218" s="108"/>
      <c r="H218" s="108"/>
      <c r="I218" s="108"/>
      <c r="J218" s="108"/>
      <c r="K218" s="108"/>
      <c r="L218" s="108"/>
      <c r="M218" s="108"/>
      <c r="N218" s="109"/>
    </row>
    <row r="219" spans="1:14" ht="32.1" customHeight="1">
      <c r="A219" s="99" t="s">
        <v>86</v>
      </c>
      <c r="B219" s="111"/>
      <c r="C219" s="100" t="s">
        <v>87</v>
      </c>
      <c r="D219" s="111"/>
      <c r="E219" s="96" t="s">
        <v>88</v>
      </c>
      <c r="F219" s="113"/>
      <c r="G219" s="96" t="s">
        <v>89</v>
      </c>
      <c r="H219" s="113"/>
      <c r="I219" s="96" t="s">
        <v>90</v>
      </c>
      <c r="J219" s="113"/>
      <c r="K219" s="96" t="s">
        <v>91</v>
      </c>
      <c r="L219" s="113"/>
      <c r="M219" s="48" t="s">
        <v>92</v>
      </c>
      <c r="N219" s="48" t="s">
        <v>93</v>
      </c>
    </row>
    <row r="220" spans="1:14" ht="79.5" customHeight="1">
      <c r="A220" s="114" t="s">
        <v>610</v>
      </c>
      <c r="B220" s="111"/>
      <c r="C220" s="115" t="s">
        <v>611</v>
      </c>
      <c r="D220" s="111"/>
      <c r="E220" s="115" t="s">
        <v>129</v>
      </c>
      <c r="F220" s="111"/>
      <c r="G220" s="115" t="s">
        <v>97</v>
      </c>
      <c r="H220" s="111"/>
      <c r="I220" s="115" t="s">
        <v>612</v>
      </c>
      <c r="J220" s="111"/>
      <c r="K220" s="115" t="s">
        <v>613</v>
      </c>
      <c r="L220" s="111"/>
      <c r="M220" s="132"/>
      <c r="N220" s="132" t="s">
        <v>467</v>
      </c>
    </row>
    <row r="222" spans="1:14">
      <c r="A222" s="122"/>
      <c r="B222" s="122"/>
      <c r="C222" s="122"/>
      <c r="D222" s="122"/>
      <c r="E222" s="122"/>
      <c r="F222" s="122"/>
      <c r="G222" s="122"/>
      <c r="H222" s="122"/>
      <c r="I222" s="122"/>
      <c r="J222" s="122"/>
      <c r="K222" s="122"/>
      <c r="L222" s="122"/>
      <c r="M222" s="122"/>
      <c r="N222" s="122"/>
    </row>
    <row r="223" spans="1:14">
      <c r="A223" s="122"/>
      <c r="B223" s="122"/>
      <c r="C223" s="122"/>
      <c r="D223" s="122"/>
      <c r="E223" s="122"/>
      <c r="F223" s="122"/>
      <c r="G223" s="122"/>
      <c r="H223" s="122"/>
      <c r="I223" s="122"/>
      <c r="J223" s="122"/>
      <c r="K223" s="122"/>
      <c r="L223" s="122"/>
      <c r="M223" s="122"/>
      <c r="N223" s="122"/>
    </row>
    <row r="224" spans="1:14">
      <c r="A224" s="122"/>
      <c r="B224" s="122"/>
      <c r="C224" s="122"/>
      <c r="D224" s="122"/>
      <c r="E224" s="122"/>
      <c r="F224" s="122"/>
      <c r="G224" s="122"/>
      <c r="H224" s="122"/>
      <c r="I224" s="122"/>
      <c r="J224" s="122"/>
      <c r="K224" s="122"/>
      <c r="L224" s="122"/>
      <c r="M224" s="122"/>
      <c r="N224" s="122"/>
    </row>
    <row r="225" spans="1:14">
      <c r="A225" s="122"/>
      <c r="B225" s="122"/>
      <c r="C225" s="122"/>
      <c r="D225" s="122"/>
      <c r="E225" s="122"/>
      <c r="F225" s="122"/>
      <c r="G225" s="122"/>
      <c r="H225" s="122"/>
      <c r="I225" s="122"/>
      <c r="J225" s="122"/>
      <c r="K225" s="122"/>
      <c r="L225" s="122"/>
      <c r="M225" s="122"/>
      <c r="N225" s="122"/>
    </row>
    <row r="226" spans="1:14">
      <c r="A226" s="122"/>
      <c r="B226" s="122"/>
      <c r="C226" s="122"/>
      <c r="D226" s="122"/>
      <c r="E226" s="122"/>
      <c r="F226" s="122"/>
      <c r="G226" s="122"/>
      <c r="H226" s="122"/>
      <c r="I226" s="122"/>
      <c r="J226" s="122"/>
      <c r="K226" s="122"/>
      <c r="L226" s="122"/>
      <c r="M226" s="122"/>
      <c r="N226" s="122"/>
    </row>
    <row r="227" spans="1:14">
      <c r="A227" s="122"/>
      <c r="B227" s="122"/>
      <c r="C227" s="122"/>
      <c r="D227" s="122"/>
      <c r="E227" s="122"/>
      <c r="F227" s="122"/>
      <c r="G227" s="122"/>
      <c r="H227" s="122"/>
      <c r="I227" s="122"/>
      <c r="J227" s="122"/>
      <c r="K227" s="122"/>
      <c r="L227" s="122"/>
      <c r="M227" s="122"/>
      <c r="N227" s="122"/>
    </row>
    <row r="228" spans="1:14" ht="54.75" customHeight="1">
      <c r="A228" s="122"/>
      <c r="B228" s="122"/>
      <c r="C228" s="122"/>
      <c r="D228" s="122"/>
      <c r="E228" s="122"/>
      <c r="F228" s="122"/>
      <c r="G228" s="122"/>
      <c r="H228" s="122"/>
      <c r="I228" s="122"/>
      <c r="J228" s="122"/>
      <c r="K228" s="122"/>
      <c r="L228" s="122"/>
      <c r="M228" s="122"/>
      <c r="N228" s="122"/>
    </row>
    <row r="229" spans="1:14">
      <c r="A229" s="122"/>
      <c r="B229" s="122"/>
      <c r="C229" s="122"/>
      <c r="D229" s="122"/>
      <c r="E229" s="122"/>
      <c r="F229" s="122"/>
      <c r="G229" s="122"/>
      <c r="H229" s="122"/>
      <c r="I229" s="122"/>
      <c r="J229" s="122"/>
      <c r="K229" s="122"/>
      <c r="L229" s="122"/>
      <c r="M229" s="122"/>
      <c r="N229" s="122"/>
    </row>
    <row r="230" spans="1:14" ht="32.1" customHeight="1">
      <c r="A230" s="122"/>
      <c r="B230" s="122"/>
      <c r="C230" s="122"/>
      <c r="D230" s="122"/>
      <c r="E230" s="122"/>
      <c r="F230" s="122"/>
      <c r="G230" s="122"/>
      <c r="H230" s="122"/>
      <c r="I230" s="122"/>
      <c r="J230" s="122"/>
      <c r="K230" s="122"/>
      <c r="L230" s="122"/>
      <c r="M230" s="105"/>
      <c r="N230" s="105"/>
    </row>
    <row r="231" spans="1:14" ht="96.75" customHeight="1">
      <c r="A231" s="122"/>
      <c r="B231" s="122"/>
      <c r="C231" s="122"/>
      <c r="D231" s="122"/>
      <c r="E231" s="122"/>
      <c r="F231" s="122"/>
      <c r="G231" s="122"/>
      <c r="H231" s="122"/>
      <c r="I231" s="122"/>
      <c r="J231" s="122"/>
      <c r="K231" s="122"/>
      <c r="L231" s="122"/>
      <c r="M231" s="105"/>
      <c r="N231" s="105"/>
    </row>
    <row r="233" spans="1:14">
      <c r="A233" s="122"/>
      <c r="B233" s="122"/>
      <c r="C233" s="122"/>
      <c r="D233" s="122"/>
      <c r="E233" s="122"/>
      <c r="F233" s="122"/>
      <c r="G233" s="122"/>
      <c r="H233" s="122"/>
      <c r="I233" s="122"/>
      <c r="J233" s="122"/>
      <c r="K233" s="122"/>
      <c r="L233" s="122"/>
      <c r="M233" s="122"/>
      <c r="N233" s="122"/>
    </row>
    <row r="234" spans="1:14">
      <c r="A234" s="122"/>
      <c r="B234" s="122"/>
      <c r="C234" s="122"/>
      <c r="D234" s="122"/>
      <c r="E234" s="122"/>
      <c r="F234" s="122"/>
      <c r="G234" s="122"/>
      <c r="H234" s="122"/>
      <c r="I234" s="122"/>
      <c r="J234" s="122"/>
      <c r="K234" s="122"/>
      <c r="L234" s="122"/>
      <c r="M234" s="122"/>
      <c r="N234" s="122"/>
    </row>
    <row r="235" spans="1:14">
      <c r="A235" s="122"/>
      <c r="B235" s="122"/>
      <c r="C235" s="122"/>
      <c r="D235" s="122"/>
      <c r="E235" s="122"/>
      <c r="F235" s="122"/>
      <c r="G235" s="122"/>
      <c r="H235" s="122"/>
      <c r="I235" s="122"/>
      <c r="J235" s="122"/>
      <c r="K235" s="122"/>
      <c r="L235" s="122"/>
      <c r="M235" s="122"/>
      <c r="N235" s="122"/>
    </row>
    <row r="236" spans="1:14">
      <c r="A236" s="122"/>
      <c r="B236" s="122"/>
      <c r="C236" s="122"/>
      <c r="D236" s="122"/>
      <c r="E236" s="122"/>
      <c r="F236" s="122"/>
      <c r="G236" s="122"/>
      <c r="H236" s="122"/>
      <c r="I236" s="122"/>
      <c r="J236" s="122"/>
      <c r="K236" s="122"/>
      <c r="L236" s="122"/>
      <c r="M236" s="122"/>
      <c r="N236" s="122"/>
    </row>
    <row r="237" spans="1:14">
      <c r="A237" s="122"/>
      <c r="B237" s="122"/>
      <c r="C237" s="122"/>
      <c r="D237" s="122"/>
      <c r="E237" s="122"/>
      <c r="F237" s="122"/>
      <c r="G237" s="122"/>
      <c r="H237" s="122"/>
      <c r="I237" s="122"/>
      <c r="J237" s="122"/>
      <c r="K237" s="122"/>
      <c r="L237" s="122"/>
      <c r="M237" s="122"/>
      <c r="N237" s="122"/>
    </row>
    <row r="238" spans="1:14">
      <c r="A238" s="122"/>
      <c r="B238" s="122"/>
      <c r="C238" s="122"/>
      <c r="D238" s="122"/>
      <c r="E238" s="122"/>
      <c r="F238" s="122"/>
      <c r="G238" s="122"/>
      <c r="H238" s="122"/>
      <c r="I238" s="122"/>
      <c r="J238" s="122"/>
      <c r="K238" s="122"/>
      <c r="L238" s="122"/>
      <c r="M238" s="122"/>
      <c r="N238" s="122"/>
    </row>
    <row r="239" spans="1:14" ht="39.75" customHeight="1">
      <c r="A239" s="122"/>
      <c r="B239" s="122"/>
      <c r="C239" s="122"/>
      <c r="D239" s="122"/>
      <c r="E239" s="122"/>
      <c r="F239" s="122"/>
      <c r="G239" s="122"/>
      <c r="H239" s="122"/>
      <c r="I239" s="122"/>
      <c r="J239" s="122"/>
      <c r="K239" s="122"/>
      <c r="L239" s="122"/>
      <c r="M239" s="122"/>
      <c r="N239" s="122"/>
    </row>
    <row r="240" spans="1:14">
      <c r="A240" s="122"/>
      <c r="B240" s="122"/>
      <c r="C240" s="122"/>
      <c r="D240" s="122"/>
      <c r="E240" s="122"/>
      <c r="F240" s="122"/>
      <c r="G240" s="122"/>
      <c r="H240" s="122"/>
      <c r="I240" s="122"/>
      <c r="J240" s="122"/>
      <c r="K240" s="122"/>
      <c r="L240" s="122"/>
      <c r="M240" s="122"/>
      <c r="N240" s="122"/>
    </row>
    <row r="241" spans="1:14" ht="32.1" customHeight="1">
      <c r="A241" s="122"/>
      <c r="B241" s="122"/>
      <c r="C241" s="122"/>
      <c r="D241" s="122"/>
      <c r="E241" s="122"/>
      <c r="F241" s="122"/>
      <c r="G241" s="122"/>
      <c r="H241" s="122"/>
      <c r="I241" s="122"/>
      <c r="J241" s="122"/>
      <c r="K241" s="122"/>
      <c r="L241" s="122"/>
      <c r="M241" s="105"/>
      <c r="N241" s="105"/>
    </row>
    <row r="242" spans="1:14" ht="99.75" customHeight="1">
      <c r="A242" s="122"/>
      <c r="B242" s="122"/>
      <c r="C242" s="122"/>
      <c r="D242" s="122"/>
      <c r="E242" s="122"/>
      <c r="F242" s="122"/>
      <c r="G242" s="122"/>
      <c r="H242" s="122"/>
      <c r="I242" s="122"/>
      <c r="J242" s="122"/>
      <c r="K242" s="122"/>
      <c r="L242" s="122"/>
      <c r="M242" s="105"/>
      <c r="N242" s="105"/>
    </row>
    <row r="244" spans="1:14">
      <c r="A244" s="122"/>
      <c r="B244" s="122"/>
      <c r="C244" s="122"/>
      <c r="D244" s="122"/>
      <c r="E244" s="122"/>
      <c r="F244" s="122"/>
      <c r="G244" s="122"/>
      <c r="H244" s="122"/>
      <c r="I244" s="122"/>
      <c r="J244" s="122"/>
      <c r="K244" s="122"/>
      <c r="L244" s="122"/>
      <c r="M244" s="122"/>
      <c r="N244" s="122"/>
    </row>
    <row r="245" spans="1:14">
      <c r="A245" s="122"/>
      <c r="B245" s="122"/>
      <c r="C245" s="122"/>
      <c r="D245" s="122"/>
      <c r="E245" s="122"/>
      <c r="F245" s="122"/>
      <c r="G245" s="122"/>
      <c r="H245" s="122"/>
      <c r="I245" s="122"/>
      <c r="J245" s="122"/>
      <c r="K245" s="122"/>
      <c r="L245" s="122"/>
      <c r="M245" s="122"/>
      <c r="N245" s="122"/>
    </row>
    <row r="246" spans="1:14">
      <c r="A246" s="122"/>
      <c r="B246" s="122"/>
      <c r="C246" s="122"/>
      <c r="D246" s="122"/>
      <c r="E246" s="122"/>
      <c r="F246" s="122"/>
      <c r="G246" s="122"/>
      <c r="H246" s="122"/>
      <c r="I246" s="122"/>
      <c r="J246" s="122"/>
      <c r="K246" s="122"/>
      <c r="L246" s="122"/>
      <c r="M246" s="122"/>
      <c r="N246" s="122"/>
    </row>
    <row r="247" spans="1:14">
      <c r="A247" s="122"/>
      <c r="B247" s="122"/>
      <c r="C247" s="122"/>
      <c r="D247" s="122"/>
      <c r="E247" s="122"/>
      <c r="F247" s="122"/>
      <c r="G247" s="122"/>
      <c r="H247" s="122"/>
      <c r="I247" s="122"/>
      <c r="J247" s="122"/>
      <c r="K247" s="122"/>
      <c r="L247" s="122"/>
      <c r="M247" s="122"/>
      <c r="N247" s="122"/>
    </row>
    <row r="248" spans="1:14">
      <c r="A248" s="122"/>
      <c r="B248" s="122"/>
      <c r="C248" s="122"/>
      <c r="D248" s="122"/>
      <c r="E248" s="122"/>
      <c r="F248" s="122"/>
      <c r="G248" s="122"/>
      <c r="H248" s="122"/>
      <c r="I248" s="122"/>
      <c r="J248" s="122"/>
      <c r="K248" s="122"/>
      <c r="L248" s="122"/>
      <c r="M248" s="122"/>
      <c r="N248" s="122"/>
    </row>
    <row r="249" spans="1:14">
      <c r="A249" s="122"/>
      <c r="B249" s="122"/>
      <c r="C249" s="122"/>
      <c r="D249" s="122"/>
      <c r="E249" s="122"/>
      <c r="F249" s="122"/>
      <c r="G249" s="122"/>
      <c r="H249" s="122"/>
      <c r="I249" s="122"/>
      <c r="J249" s="122"/>
      <c r="K249" s="122"/>
      <c r="L249" s="122"/>
      <c r="M249" s="122"/>
      <c r="N249" s="122"/>
    </row>
    <row r="250" spans="1:14" ht="43.5" customHeight="1">
      <c r="A250" s="122"/>
      <c r="B250" s="122"/>
      <c r="C250" s="122"/>
      <c r="D250" s="122"/>
      <c r="E250" s="122"/>
      <c r="F250" s="122"/>
      <c r="G250" s="122"/>
      <c r="H250" s="122"/>
      <c r="I250" s="122"/>
      <c r="J250" s="122"/>
      <c r="K250" s="122"/>
      <c r="L250" s="122"/>
      <c r="M250" s="122"/>
      <c r="N250" s="122"/>
    </row>
    <row r="251" spans="1:14">
      <c r="A251" s="122"/>
      <c r="B251" s="122"/>
      <c r="C251" s="122"/>
      <c r="D251" s="122"/>
      <c r="E251" s="122"/>
      <c r="F251" s="122"/>
      <c r="G251" s="122"/>
      <c r="H251" s="122"/>
      <c r="I251" s="122"/>
      <c r="J251" s="122"/>
      <c r="K251" s="122"/>
      <c r="L251" s="122"/>
      <c r="M251" s="122"/>
      <c r="N251" s="122"/>
    </row>
    <row r="252" spans="1:14" ht="32.1" customHeight="1">
      <c r="A252" s="122"/>
      <c r="B252" s="122"/>
      <c r="C252" s="122"/>
      <c r="D252" s="122"/>
      <c r="E252" s="122"/>
      <c r="F252" s="122"/>
      <c r="G252" s="122"/>
      <c r="H252" s="122"/>
      <c r="I252" s="122"/>
      <c r="J252" s="122"/>
      <c r="K252" s="122"/>
      <c r="L252" s="122"/>
      <c r="M252" s="105"/>
      <c r="N252" s="105"/>
    </row>
    <row r="253" spans="1:14" ht="76.5" customHeight="1">
      <c r="A253" s="122"/>
      <c r="B253" s="122"/>
      <c r="C253" s="122"/>
      <c r="D253" s="122"/>
      <c r="E253" s="122"/>
      <c r="F253" s="122"/>
      <c r="G253" s="122"/>
      <c r="H253" s="122"/>
      <c r="I253" s="122"/>
      <c r="J253" s="122"/>
      <c r="K253" s="122"/>
      <c r="L253" s="122"/>
      <c r="M253" s="105"/>
      <c r="N253" s="105"/>
    </row>
    <row r="255" spans="1:14">
      <c r="A255" s="122"/>
      <c r="B255" s="122"/>
      <c r="C255" s="122"/>
      <c r="D255" s="122"/>
      <c r="E255" s="122"/>
      <c r="F255" s="122"/>
      <c r="G255" s="122"/>
      <c r="H255" s="122"/>
      <c r="I255" s="122"/>
      <c r="J255" s="122"/>
      <c r="K255" s="122"/>
      <c r="L255" s="122"/>
      <c r="M255" s="122"/>
      <c r="N255" s="122"/>
    </row>
    <row r="256" spans="1:14">
      <c r="A256" s="122"/>
      <c r="B256" s="122"/>
      <c r="C256" s="122"/>
      <c r="D256" s="122"/>
      <c r="E256" s="122"/>
      <c r="F256" s="122"/>
      <c r="G256" s="122"/>
      <c r="H256" s="122"/>
      <c r="I256" s="122"/>
      <c r="J256" s="122"/>
      <c r="K256" s="122"/>
      <c r="L256" s="122"/>
      <c r="M256" s="122"/>
      <c r="N256" s="122"/>
    </row>
    <row r="257" spans="1:14">
      <c r="A257" s="122"/>
      <c r="B257" s="122"/>
      <c r="C257" s="122"/>
      <c r="D257" s="122"/>
      <c r="E257" s="122"/>
      <c r="F257" s="122"/>
      <c r="G257" s="122"/>
      <c r="H257" s="122"/>
      <c r="I257" s="122"/>
      <c r="J257" s="122"/>
      <c r="K257" s="122"/>
      <c r="L257" s="122"/>
      <c r="M257" s="122"/>
      <c r="N257" s="122"/>
    </row>
    <row r="258" spans="1:14">
      <c r="A258" s="122"/>
      <c r="B258" s="122"/>
      <c r="C258" s="122"/>
      <c r="D258" s="122"/>
      <c r="E258" s="122"/>
      <c r="F258" s="122"/>
      <c r="G258" s="122"/>
      <c r="H258" s="122"/>
      <c r="I258" s="122"/>
      <c r="J258" s="122"/>
      <c r="K258" s="122"/>
      <c r="L258" s="122"/>
      <c r="M258" s="122"/>
      <c r="N258" s="122"/>
    </row>
    <row r="259" spans="1:14">
      <c r="A259" s="122"/>
      <c r="B259" s="122"/>
      <c r="C259" s="122"/>
      <c r="D259" s="122"/>
      <c r="E259" s="122"/>
      <c r="F259" s="122"/>
      <c r="G259" s="122"/>
      <c r="H259" s="122"/>
      <c r="I259" s="122"/>
      <c r="J259" s="122"/>
      <c r="K259" s="122"/>
      <c r="L259" s="122"/>
      <c r="M259" s="122"/>
      <c r="N259" s="122"/>
    </row>
    <row r="260" spans="1:14">
      <c r="A260" s="122"/>
      <c r="B260" s="122"/>
      <c r="C260" s="122"/>
      <c r="D260" s="122"/>
      <c r="E260" s="122"/>
      <c r="F260" s="122"/>
      <c r="G260" s="122"/>
      <c r="H260" s="122"/>
      <c r="I260" s="122"/>
      <c r="J260" s="122"/>
      <c r="K260" s="122"/>
      <c r="L260" s="122"/>
      <c r="M260" s="122"/>
      <c r="N260" s="122"/>
    </row>
    <row r="261" spans="1:14" ht="39.75" customHeight="1">
      <c r="A261" s="122"/>
      <c r="B261" s="122"/>
      <c r="C261" s="122"/>
      <c r="D261" s="122"/>
      <c r="E261" s="122"/>
      <c r="F261" s="122"/>
      <c r="G261" s="122"/>
      <c r="H261" s="122"/>
      <c r="I261" s="122"/>
      <c r="J261" s="122"/>
      <c r="K261" s="122"/>
      <c r="L261" s="122"/>
      <c r="M261" s="122"/>
      <c r="N261" s="122"/>
    </row>
    <row r="262" spans="1:14">
      <c r="A262" s="122"/>
      <c r="B262" s="122"/>
      <c r="C262" s="122"/>
      <c r="D262" s="122"/>
      <c r="E262" s="122"/>
      <c r="F262" s="122"/>
      <c r="G262" s="122"/>
      <c r="H262" s="122"/>
      <c r="I262" s="122"/>
      <c r="J262" s="122"/>
      <c r="K262" s="122"/>
      <c r="L262" s="122"/>
      <c r="M262" s="122"/>
      <c r="N262" s="122"/>
    </row>
    <row r="263" spans="1:14" ht="32.1" customHeight="1">
      <c r="A263" s="122"/>
      <c r="B263" s="122"/>
      <c r="C263" s="122"/>
      <c r="D263" s="122"/>
      <c r="E263" s="122"/>
      <c r="F263" s="122"/>
      <c r="G263" s="122"/>
      <c r="H263" s="122"/>
      <c r="I263" s="122"/>
      <c r="J263" s="122"/>
      <c r="K263" s="122"/>
      <c r="L263" s="122"/>
      <c r="M263" s="105"/>
      <c r="N263" s="105"/>
    </row>
    <row r="264" spans="1:14" ht="91.5" customHeight="1">
      <c r="A264" s="122"/>
      <c r="B264" s="122"/>
      <c r="C264" s="122"/>
      <c r="D264" s="122"/>
      <c r="E264" s="122"/>
      <c r="F264" s="122"/>
      <c r="G264" s="122"/>
      <c r="H264" s="122"/>
      <c r="I264" s="122"/>
      <c r="J264" s="122"/>
      <c r="K264" s="122"/>
      <c r="L264" s="122"/>
      <c r="M264" s="105"/>
      <c r="N264" s="105"/>
    </row>
    <row r="266" spans="1:14">
      <c r="A266" s="122"/>
      <c r="B266" s="122"/>
      <c r="C266" s="122"/>
      <c r="D266" s="122"/>
      <c r="E266" s="122"/>
      <c r="F266" s="122"/>
      <c r="G266" s="122"/>
      <c r="H266" s="122"/>
      <c r="I266" s="122"/>
      <c r="J266" s="122"/>
      <c r="K266" s="122"/>
      <c r="L266" s="122"/>
      <c r="M266" s="122"/>
      <c r="N266" s="122"/>
    </row>
    <row r="267" spans="1:14">
      <c r="A267" s="122"/>
      <c r="B267" s="122"/>
      <c r="C267" s="122"/>
      <c r="D267" s="122"/>
      <c r="E267" s="122"/>
      <c r="F267" s="122"/>
      <c r="G267" s="122"/>
      <c r="H267" s="122"/>
      <c r="I267" s="122"/>
      <c r="J267" s="122"/>
      <c r="K267" s="122"/>
      <c r="L267" s="122"/>
      <c r="M267" s="122"/>
      <c r="N267" s="122"/>
    </row>
    <row r="268" spans="1:14">
      <c r="A268" s="122"/>
      <c r="B268" s="122"/>
      <c r="C268" s="122"/>
      <c r="D268" s="122"/>
      <c r="E268" s="122"/>
      <c r="F268" s="122"/>
      <c r="G268" s="122"/>
      <c r="H268" s="122"/>
      <c r="I268" s="122"/>
      <c r="J268" s="122"/>
      <c r="K268" s="122"/>
      <c r="L268" s="122"/>
      <c r="M268" s="122"/>
      <c r="N268" s="122"/>
    </row>
    <row r="269" spans="1:14">
      <c r="A269" s="122"/>
      <c r="B269" s="122"/>
      <c r="C269" s="122"/>
      <c r="D269" s="122"/>
      <c r="E269" s="122"/>
      <c r="F269" s="122"/>
      <c r="G269" s="122"/>
      <c r="H269" s="122"/>
      <c r="I269" s="122"/>
      <c r="J269" s="122"/>
      <c r="K269" s="122"/>
      <c r="L269" s="122"/>
      <c r="M269" s="122"/>
      <c r="N269" s="122"/>
    </row>
    <row r="270" spans="1:14">
      <c r="A270" s="122"/>
      <c r="B270" s="122"/>
      <c r="C270" s="122"/>
      <c r="D270" s="122"/>
      <c r="E270" s="122"/>
      <c r="F270" s="122"/>
      <c r="G270" s="122"/>
      <c r="H270" s="122"/>
      <c r="I270" s="122"/>
      <c r="J270" s="122"/>
      <c r="K270" s="122"/>
      <c r="L270" s="122"/>
      <c r="M270" s="122"/>
      <c r="N270" s="122"/>
    </row>
    <row r="271" spans="1:14">
      <c r="A271" s="122"/>
      <c r="B271" s="122"/>
      <c r="C271" s="122"/>
      <c r="D271" s="122"/>
      <c r="E271" s="122"/>
      <c r="F271" s="122"/>
      <c r="G271" s="122"/>
      <c r="H271" s="122"/>
      <c r="I271" s="122"/>
      <c r="J271" s="122"/>
      <c r="K271" s="122"/>
      <c r="L271" s="122"/>
      <c r="M271" s="122"/>
      <c r="N271" s="122"/>
    </row>
    <row r="272" spans="1:14" ht="39.75" customHeight="1">
      <c r="A272" s="122"/>
      <c r="B272" s="122"/>
      <c r="C272" s="122"/>
      <c r="D272" s="122"/>
      <c r="E272" s="122"/>
      <c r="F272" s="122"/>
      <c r="G272" s="122"/>
      <c r="H272" s="122"/>
      <c r="I272" s="122"/>
      <c r="J272" s="122"/>
      <c r="K272" s="122"/>
      <c r="L272" s="122"/>
      <c r="M272" s="122"/>
      <c r="N272" s="122"/>
    </row>
    <row r="273" spans="1:14">
      <c r="A273" s="122"/>
      <c r="B273" s="122"/>
      <c r="C273" s="122"/>
      <c r="D273" s="122"/>
      <c r="E273" s="122"/>
      <c r="F273" s="122"/>
      <c r="G273" s="122"/>
      <c r="H273" s="122"/>
      <c r="I273" s="122"/>
      <c r="J273" s="122"/>
      <c r="K273" s="122"/>
      <c r="L273" s="122"/>
      <c r="M273" s="122"/>
      <c r="N273" s="122"/>
    </row>
    <row r="274" spans="1:14" ht="32.1" customHeight="1">
      <c r="A274" s="122"/>
      <c r="B274" s="122"/>
      <c r="C274" s="122"/>
      <c r="D274" s="122"/>
      <c r="E274" s="122"/>
      <c r="F274" s="122"/>
      <c r="G274" s="122"/>
      <c r="H274" s="122"/>
      <c r="I274" s="122"/>
      <c r="J274" s="122"/>
      <c r="K274" s="122"/>
      <c r="L274" s="122"/>
      <c r="M274" s="105"/>
      <c r="N274" s="105"/>
    </row>
    <row r="275" spans="1:14" ht="62.25" customHeight="1">
      <c r="A275" s="122"/>
      <c r="B275" s="122"/>
      <c r="C275" s="122"/>
      <c r="D275" s="122"/>
      <c r="E275" s="122"/>
      <c r="F275" s="122"/>
      <c r="G275" s="122"/>
      <c r="H275" s="122"/>
      <c r="I275" s="122"/>
      <c r="J275" s="122"/>
      <c r="K275" s="122"/>
      <c r="L275" s="122"/>
      <c r="M275" s="105"/>
      <c r="N275" s="105"/>
    </row>
    <row r="277" spans="1:14">
      <c r="A277" s="122"/>
      <c r="B277" s="122"/>
      <c r="C277" s="122"/>
      <c r="D277" s="122"/>
      <c r="E277" s="122"/>
      <c r="F277" s="122"/>
      <c r="G277" s="122"/>
      <c r="H277" s="122"/>
      <c r="I277" s="122"/>
      <c r="J277" s="122"/>
      <c r="K277" s="122"/>
      <c r="L277" s="122"/>
      <c r="M277" s="122"/>
      <c r="N277" s="122"/>
    </row>
    <row r="278" spans="1:14">
      <c r="A278" s="122"/>
      <c r="B278" s="122"/>
      <c r="C278" s="122"/>
      <c r="D278" s="122"/>
      <c r="E278" s="122"/>
      <c r="F278" s="122"/>
      <c r="G278" s="122"/>
      <c r="H278" s="122"/>
      <c r="I278" s="122"/>
      <c r="J278" s="122"/>
      <c r="K278" s="122"/>
      <c r="L278" s="122"/>
      <c r="M278" s="122"/>
      <c r="N278" s="122"/>
    </row>
    <row r="279" spans="1:14">
      <c r="A279" s="122"/>
      <c r="B279" s="122"/>
      <c r="C279" s="122"/>
      <c r="D279" s="122"/>
      <c r="E279" s="122"/>
      <c r="F279" s="122"/>
      <c r="G279" s="122"/>
      <c r="H279" s="122"/>
      <c r="I279" s="122"/>
      <c r="J279" s="122"/>
      <c r="K279" s="122"/>
      <c r="L279" s="122"/>
      <c r="M279" s="122"/>
      <c r="N279" s="122"/>
    </row>
    <row r="280" spans="1:14">
      <c r="A280" s="122"/>
      <c r="B280" s="122"/>
      <c r="C280" s="122"/>
      <c r="D280" s="122"/>
      <c r="E280" s="122"/>
      <c r="F280" s="122"/>
      <c r="G280" s="122"/>
      <c r="H280" s="122"/>
      <c r="I280" s="122"/>
      <c r="J280" s="122"/>
      <c r="K280" s="122"/>
      <c r="L280" s="122"/>
      <c r="M280" s="122"/>
      <c r="N280" s="122"/>
    </row>
    <row r="281" spans="1:14">
      <c r="A281" s="122"/>
      <c r="B281" s="122"/>
      <c r="C281" s="122"/>
      <c r="D281" s="122"/>
      <c r="E281" s="122"/>
      <c r="F281" s="122"/>
      <c r="G281" s="122"/>
      <c r="H281" s="122"/>
      <c r="I281" s="122"/>
      <c r="J281" s="122"/>
      <c r="K281" s="122"/>
      <c r="L281" s="122"/>
      <c r="M281" s="122"/>
      <c r="N281" s="122"/>
    </row>
    <row r="282" spans="1:14">
      <c r="A282" s="122"/>
      <c r="B282" s="122"/>
      <c r="C282" s="122"/>
      <c r="D282" s="122"/>
      <c r="E282" s="122"/>
      <c r="F282" s="122"/>
      <c r="G282" s="122"/>
      <c r="H282" s="122"/>
      <c r="I282" s="122"/>
      <c r="J282" s="122"/>
      <c r="K282" s="122"/>
      <c r="L282" s="122"/>
      <c r="M282" s="122"/>
      <c r="N282" s="122"/>
    </row>
    <row r="283" spans="1:14" ht="52.5" customHeight="1">
      <c r="A283" s="122"/>
      <c r="B283" s="122"/>
      <c r="C283" s="122"/>
      <c r="D283" s="122"/>
      <c r="E283" s="122"/>
      <c r="F283" s="122"/>
      <c r="G283" s="122"/>
      <c r="H283" s="122"/>
      <c r="I283" s="122"/>
      <c r="J283" s="122"/>
      <c r="K283" s="122"/>
      <c r="L283" s="122"/>
      <c r="M283" s="122"/>
      <c r="N283" s="122"/>
    </row>
    <row r="284" spans="1:14" ht="15" customHeight="1">
      <c r="A284" s="122"/>
      <c r="B284" s="122"/>
      <c r="C284" s="122"/>
      <c r="D284" s="122"/>
      <c r="E284" s="122"/>
      <c r="F284" s="122"/>
      <c r="G284" s="122"/>
      <c r="H284" s="122"/>
      <c r="I284" s="122"/>
      <c r="J284" s="122"/>
      <c r="K284" s="122"/>
      <c r="L284" s="122"/>
      <c r="M284" s="122"/>
      <c r="N284" s="122"/>
    </row>
    <row r="285" spans="1:14" ht="32.1" customHeight="1">
      <c r="A285" s="122"/>
      <c r="B285" s="122"/>
      <c r="C285" s="122"/>
      <c r="D285" s="122"/>
      <c r="E285" s="122"/>
      <c r="F285" s="122"/>
      <c r="G285" s="122"/>
      <c r="H285" s="122"/>
      <c r="I285" s="122"/>
      <c r="J285" s="122"/>
      <c r="K285" s="122"/>
      <c r="L285" s="122"/>
      <c r="M285" s="105"/>
      <c r="N285" s="105"/>
    </row>
    <row r="286" spans="1:14" ht="75" customHeight="1">
      <c r="A286" s="122"/>
      <c r="B286" s="122"/>
      <c r="C286" s="122"/>
      <c r="D286" s="122"/>
      <c r="E286" s="122"/>
      <c r="F286" s="122"/>
      <c r="G286" s="122"/>
      <c r="H286" s="122"/>
      <c r="I286" s="122"/>
      <c r="J286" s="122"/>
      <c r="K286" s="122"/>
      <c r="L286" s="122"/>
      <c r="M286" s="105"/>
      <c r="N286" s="105"/>
    </row>
    <row r="288" spans="1:14">
      <c r="A288" s="122"/>
      <c r="B288" s="122"/>
      <c r="C288" s="122"/>
      <c r="D288" s="122"/>
      <c r="E288" s="122"/>
      <c r="F288" s="122"/>
      <c r="G288" s="122"/>
      <c r="H288" s="122"/>
      <c r="I288" s="122"/>
      <c r="J288" s="122"/>
      <c r="K288" s="122"/>
      <c r="L288" s="122"/>
      <c r="M288" s="122"/>
      <c r="N288" s="122"/>
    </row>
    <row r="289" spans="1:14">
      <c r="A289" s="122"/>
      <c r="B289" s="122"/>
      <c r="C289" s="122"/>
      <c r="D289" s="122"/>
      <c r="E289" s="122"/>
      <c r="F289" s="122"/>
      <c r="G289" s="122"/>
      <c r="H289" s="122"/>
      <c r="I289" s="122"/>
      <c r="J289" s="122"/>
      <c r="K289" s="122"/>
      <c r="L289" s="122"/>
      <c r="M289" s="122"/>
      <c r="N289" s="122"/>
    </row>
    <row r="290" spans="1:14">
      <c r="A290" s="122"/>
      <c r="B290" s="122"/>
      <c r="C290" s="122"/>
      <c r="D290" s="122"/>
      <c r="E290" s="122"/>
      <c r="F290" s="122"/>
      <c r="G290" s="122"/>
      <c r="H290" s="122"/>
      <c r="I290" s="122"/>
      <c r="J290" s="122"/>
      <c r="K290" s="122"/>
      <c r="L290" s="122"/>
      <c r="M290" s="122"/>
      <c r="N290" s="122"/>
    </row>
    <row r="291" spans="1:14">
      <c r="A291" s="122"/>
      <c r="B291" s="122"/>
      <c r="C291" s="122"/>
      <c r="D291" s="122"/>
      <c r="E291" s="122"/>
      <c r="F291" s="122"/>
      <c r="G291" s="122"/>
      <c r="H291" s="122"/>
      <c r="I291" s="122"/>
      <c r="J291" s="122"/>
      <c r="K291" s="122"/>
      <c r="L291" s="122"/>
      <c r="M291" s="122"/>
      <c r="N291" s="122"/>
    </row>
    <row r="292" spans="1:14">
      <c r="A292" s="122"/>
      <c r="B292" s="122"/>
      <c r="C292" s="122"/>
      <c r="D292" s="122"/>
      <c r="E292" s="122"/>
      <c r="F292" s="122"/>
      <c r="G292" s="122"/>
      <c r="H292" s="122"/>
      <c r="I292" s="122"/>
      <c r="J292" s="122"/>
      <c r="K292" s="122"/>
      <c r="L292" s="122"/>
      <c r="M292" s="122"/>
      <c r="N292" s="122"/>
    </row>
    <row r="293" spans="1:14">
      <c r="A293" s="122"/>
      <c r="B293" s="122"/>
      <c r="C293" s="122"/>
      <c r="D293" s="122"/>
      <c r="E293" s="122"/>
      <c r="F293" s="122"/>
      <c r="G293" s="122"/>
      <c r="H293" s="122"/>
      <c r="I293" s="122"/>
      <c r="J293" s="122"/>
      <c r="K293" s="122"/>
      <c r="L293" s="122"/>
      <c r="M293" s="122"/>
      <c r="N293" s="122"/>
    </row>
    <row r="294" spans="1:14" ht="44.25" customHeight="1">
      <c r="A294" s="122"/>
      <c r="B294" s="122"/>
      <c r="C294" s="122"/>
      <c r="D294" s="122"/>
      <c r="E294" s="122"/>
      <c r="F294" s="122"/>
      <c r="G294" s="122"/>
      <c r="H294" s="122"/>
      <c r="I294" s="122"/>
      <c r="J294" s="122"/>
      <c r="K294" s="122"/>
      <c r="L294" s="122"/>
      <c r="M294" s="122"/>
      <c r="N294" s="122"/>
    </row>
    <row r="295" spans="1:14">
      <c r="A295" s="122"/>
      <c r="B295" s="122"/>
      <c r="C295" s="122"/>
      <c r="D295" s="122"/>
      <c r="E295" s="122"/>
      <c r="F295" s="122"/>
      <c r="G295" s="122"/>
      <c r="H295" s="122"/>
      <c r="I295" s="122"/>
      <c r="J295" s="122"/>
      <c r="K295" s="122"/>
      <c r="L295" s="122"/>
      <c r="M295" s="122"/>
      <c r="N295" s="122"/>
    </row>
    <row r="296" spans="1:14" ht="32.1" customHeight="1">
      <c r="A296" s="122"/>
      <c r="B296" s="122"/>
      <c r="C296" s="122"/>
      <c r="D296" s="122"/>
      <c r="E296" s="122"/>
      <c r="F296" s="122"/>
      <c r="G296" s="122"/>
      <c r="H296" s="122"/>
      <c r="I296" s="122"/>
      <c r="J296" s="122"/>
      <c r="K296" s="122"/>
      <c r="L296" s="122"/>
      <c r="M296" s="105"/>
      <c r="N296" s="105"/>
    </row>
    <row r="297" spans="1:14" ht="84.75" customHeight="1">
      <c r="A297" s="122"/>
      <c r="B297" s="122"/>
      <c r="C297" s="122"/>
      <c r="D297" s="122"/>
      <c r="E297" s="122"/>
      <c r="F297" s="122"/>
      <c r="G297" s="122"/>
      <c r="H297" s="122"/>
      <c r="I297" s="122"/>
      <c r="J297" s="122"/>
      <c r="K297" s="122"/>
      <c r="L297" s="122"/>
      <c r="M297" s="105"/>
      <c r="N297" s="105"/>
    </row>
    <row r="299" spans="1:14">
      <c r="A299" s="122"/>
      <c r="B299" s="122"/>
      <c r="C299" s="122"/>
      <c r="D299" s="122"/>
      <c r="E299" s="122"/>
      <c r="F299" s="122"/>
      <c r="G299" s="122"/>
      <c r="H299" s="122"/>
      <c r="I299" s="122"/>
      <c r="J299" s="122"/>
      <c r="K299" s="122"/>
      <c r="L299" s="122"/>
      <c r="M299" s="122"/>
      <c r="N299" s="122"/>
    </row>
    <row r="300" spans="1:14">
      <c r="A300" s="122"/>
      <c r="B300" s="122"/>
      <c r="C300" s="122"/>
      <c r="D300" s="122"/>
      <c r="E300" s="122"/>
      <c r="F300" s="122"/>
      <c r="G300" s="122"/>
      <c r="H300" s="122"/>
      <c r="I300" s="122"/>
      <c r="J300" s="122"/>
      <c r="K300" s="122"/>
      <c r="L300" s="122"/>
      <c r="M300" s="122"/>
      <c r="N300" s="122"/>
    </row>
    <row r="301" spans="1:14">
      <c r="A301" s="122"/>
      <c r="B301" s="122"/>
      <c r="C301" s="122"/>
      <c r="D301" s="122"/>
      <c r="E301" s="122"/>
      <c r="F301" s="122"/>
      <c r="G301" s="122"/>
      <c r="H301" s="122"/>
      <c r="I301" s="122"/>
      <c r="J301" s="122"/>
      <c r="K301" s="122"/>
      <c r="L301" s="122"/>
      <c r="M301" s="122"/>
      <c r="N301" s="122"/>
    </row>
    <row r="302" spans="1:14">
      <c r="A302" s="122"/>
      <c r="B302" s="122"/>
      <c r="C302" s="122"/>
      <c r="D302" s="122"/>
      <c r="E302" s="122"/>
      <c r="F302" s="122"/>
      <c r="G302" s="122"/>
      <c r="H302" s="122"/>
      <c r="I302" s="122"/>
      <c r="J302" s="122"/>
      <c r="K302" s="122"/>
      <c r="L302" s="122"/>
      <c r="M302" s="122"/>
      <c r="N302" s="122"/>
    </row>
    <row r="303" spans="1:14">
      <c r="A303" s="122"/>
      <c r="B303" s="122"/>
      <c r="C303" s="122"/>
      <c r="D303" s="122"/>
      <c r="E303" s="122"/>
      <c r="F303" s="122"/>
      <c r="G303" s="122"/>
      <c r="H303" s="122"/>
      <c r="I303" s="122"/>
      <c r="J303" s="122"/>
      <c r="K303" s="122"/>
      <c r="L303" s="122"/>
      <c r="M303" s="122"/>
      <c r="N303" s="122"/>
    </row>
    <row r="304" spans="1:14">
      <c r="A304" s="122"/>
      <c r="B304" s="122"/>
      <c r="C304" s="122"/>
      <c r="D304" s="122"/>
      <c r="E304" s="122"/>
      <c r="F304" s="122"/>
      <c r="G304" s="122"/>
      <c r="H304" s="122"/>
      <c r="I304" s="122"/>
      <c r="J304" s="122"/>
      <c r="K304" s="122"/>
      <c r="L304" s="122"/>
      <c r="M304" s="122"/>
      <c r="N304" s="122"/>
    </row>
    <row r="305" spans="1:14" ht="37.5" customHeight="1">
      <c r="A305" s="122"/>
      <c r="B305" s="122"/>
      <c r="C305" s="122"/>
      <c r="D305" s="122"/>
      <c r="E305" s="122"/>
      <c r="F305" s="122"/>
      <c r="G305" s="122"/>
      <c r="H305" s="122"/>
      <c r="I305" s="122"/>
      <c r="J305" s="122"/>
      <c r="K305" s="122"/>
      <c r="L305" s="122"/>
      <c r="M305" s="122"/>
      <c r="N305" s="122"/>
    </row>
    <row r="306" spans="1:14">
      <c r="A306" s="122"/>
      <c r="B306" s="122"/>
      <c r="C306" s="122"/>
      <c r="D306" s="122"/>
      <c r="E306" s="122"/>
      <c r="F306" s="122"/>
      <c r="G306" s="122"/>
      <c r="H306" s="122"/>
      <c r="I306" s="122"/>
      <c r="J306" s="122"/>
      <c r="K306" s="122"/>
      <c r="L306" s="122"/>
      <c r="M306" s="122"/>
      <c r="N306" s="122"/>
    </row>
    <row r="307" spans="1:14" ht="32.1" customHeight="1">
      <c r="A307" s="122"/>
      <c r="B307" s="122"/>
      <c r="C307" s="122"/>
      <c r="D307" s="122"/>
      <c r="E307" s="122"/>
      <c r="F307" s="122"/>
      <c r="G307" s="122"/>
      <c r="H307" s="122"/>
      <c r="I307" s="122"/>
      <c r="J307" s="122"/>
      <c r="K307" s="122"/>
      <c r="L307" s="122"/>
      <c r="M307" s="105"/>
      <c r="N307" s="105"/>
    </row>
    <row r="308" spans="1:14" ht="76.5" customHeight="1">
      <c r="A308" s="122"/>
      <c r="B308" s="122"/>
      <c r="C308" s="122"/>
      <c r="D308" s="122"/>
      <c r="E308" s="122"/>
      <c r="F308" s="122"/>
      <c r="G308" s="122"/>
      <c r="H308" s="122"/>
      <c r="I308" s="122"/>
      <c r="J308" s="122"/>
      <c r="K308" s="122"/>
      <c r="L308" s="122"/>
      <c r="M308" s="105"/>
      <c r="N308" s="105"/>
    </row>
    <row r="310" spans="1:14">
      <c r="A310" s="122"/>
      <c r="B310" s="122"/>
      <c r="C310" s="122"/>
      <c r="D310" s="122"/>
      <c r="E310" s="122"/>
      <c r="F310" s="122"/>
      <c r="G310" s="122"/>
      <c r="H310" s="122"/>
      <c r="I310" s="122"/>
      <c r="J310" s="122"/>
      <c r="K310" s="122"/>
      <c r="L310" s="122"/>
      <c r="M310" s="122"/>
      <c r="N310" s="122"/>
    </row>
    <row r="311" spans="1:14">
      <c r="A311" s="122"/>
      <c r="B311" s="122"/>
      <c r="C311" s="122"/>
      <c r="D311" s="122"/>
      <c r="E311" s="122"/>
      <c r="F311" s="122"/>
      <c r="G311" s="122"/>
      <c r="H311" s="122"/>
      <c r="I311" s="122"/>
      <c r="J311" s="122"/>
      <c r="K311" s="122"/>
      <c r="L311" s="122"/>
      <c r="M311" s="122"/>
      <c r="N311" s="122"/>
    </row>
    <row r="312" spans="1:14">
      <c r="A312" s="122"/>
      <c r="B312" s="122"/>
      <c r="C312" s="122"/>
      <c r="D312" s="122"/>
      <c r="E312" s="122"/>
      <c r="F312" s="122"/>
      <c r="G312" s="122"/>
      <c r="H312" s="122"/>
      <c r="I312" s="122"/>
      <c r="J312" s="122"/>
      <c r="K312" s="122"/>
      <c r="L312" s="122"/>
      <c r="M312" s="122"/>
      <c r="N312" s="122"/>
    </row>
    <row r="313" spans="1:14">
      <c r="A313" s="122"/>
      <c r="B313" s="122"/>
      <c r="C313" s="122"/>
      <c r="D313" s="122"/>
      <c r="E313" s="122"/>
      <c r="F313" s="122"/>
      <c r="G313" s="122"/>
      <c r="H313" s="122"/>
      <c r="I313" s="122"/>
      <c r="J313" s="122"/>
      <c r="K313" s="122"/>
      <c r="L313" s="122"/>
      <c r="M313" s="122"/>
      <c r="N313" s="122"/>
    </row>
    <row r="314" spans="1:14">
      <c r="A314" s="122"/>
      <c r="B314" s="122"/>
      <c r="C314" s="122"/>
      <c r="D314" s="122"/>
      <c r="E314" s="122"/>
      <c r="F314" s="122"/>
      <c r="G314" s="122"/>
      <c r="H314" s="122"/>
      <c r="I314" s="122"/>
      <c r="J314" s="122"/>
      <c r="K314" s="122"/>
      <c r="L314" s="122"/>
      <c r="M314" s="122"/>
      <c r="N314" s="122"/>
    </row>
    <row r="315" spans="1:14">
      <c r="A315" s="122"/>
      <c r="B315" s="122"/>
      <c r="C315" s="122"/>
      <c r="D315" s="122"/>
      <c r="E315" s="122"/>
      <c r="F315" s="122"/>
      <c r="G315" s="122"/>
      <c r="H315" s="122"/>
      <c r="I315" s="122"/>
      <c r="J315" s="122"/>
      <c r="K315" s="122"/>
      <c r="L315" s="122"/>
      <c r="M315" s="122"/>
      <c r="N315" s="122"/>
    </row>
    <row r="316" spans="1:14" ht="42.75" customHeight="1">
      <c r="A316" s="122"/>
      <c r="B316" s="122"/>
      <c r="C316" s="122"/>
      <c r="D316" s="122"/>
      <c r="E316" s="122"/>
      <c r="F316" s="122"/>
      <c r="G316" s="122"/>
      <c r="H316" s="122"/>
      <c r="I316" s="122"/>
      <c r="J316" s="122"/>
      <c r="K316" s="122"/>
      <c r="L316" s="122"/>
      <c r="M316" s="122"/>
      <c r="N316" s="122"/>
    </row>
    <row r="317" spans="1:14">
      <c r="A317" s="122"/>
      <c r="B317" s="122"/>
      <c r="C317" s="122"/>
      <c r="D317" s="122"/>
      <c r="E317" s="122"/>
      <c r="F317" s="122"/>
      <c r="G317" s="122"/>
      <c r="H317" s="122"/>
      <c r="I317" s="122"/>
      <c r="J317" s="122"/>
      <c r="K317" s="122"/>
      <c r="L317" s="122"/>
      <c r="M317" s="122"/>
      <c r="N317" s="122"/>
    </row>
    <row r="318" spans="1:14" ht="32.1" customHeight="1">
      <c r="A318" s="122"/>
      <c r="B318" s="122"/>
      <c r="C318" s="122"/>
      <c r="D318" s="122"/>
      <c r="E318" s="122"/>
      <c r="F318" s="122"/>
      <c r="G318" s="122"/>
      <c r="H318" s="122"/>
      <c r="I318" s="122"/>
      <c r="J318" s="122"/>
      <c r="K318" s="122"/>
      <c r="L318" s="122"/>
      <c r="M318" s="105"/>
      <c r="N318" s="105"/>
    </row>
    <row r="319" spans="1:14" ht="63" customHeight="1">
      <c r="A319" s="122"/>
      <c r="B319" s="122"/>
      <c r="C319" s="122"/>
      <c r="D319" s="122"/>
      <c r="E319" s="122"/>
      <c r="F319" s="122"/>
      <c r="G319" s="122"/>
      <c r="H319" s="122"/>
      <c r="I319" s="122"/>
      <c r="J319" s="122"/>
      <c r="K319" s="122"/>
      <c r="L319" s="122"/>
      <c r="M319" s="105"/>
      <c r="N319" s="105"/>
    </row>
    <row r="321" spans="1:14">
      <c r="A321" s="122"/>
      <c r="B321" s="122"/>
      <c r="C321" s="122"/>
      <c r="D321" s="122"/>
      <c r="E321" s="122"/>
      <c r="F321" s="122"/>
      <c r="G321" s="122"/>
      <c r="H321" s="122"/>
      <c r="I321" s="122"/>
      <c r="J321" s="122"/>
      <c r="K321" s="122"/>
      <c r="L321" s="122"/>
      <c r="M321" s="122"/>
      <c r="N321" s="122"/>
    </row>
    <row r="322" spans="1:14">
      <c r="A322" s="122"/>
      <c r="B322" s="122"/>
      <c r="C322" s="122"/>
      <c r="D322" s="122"/>
      <c r="E322" s="122"/>
      <c r="F322" s="122"/>
      <c r="G322" s="122"/>
      <c r="H322" s="122"/>
      <c r="I322" s="122"/>
      <c r="J322" s="122"/>
      <c r="K322" s="122"/>
      <c r="L322" s="122"/>
      <c r="M322" s="122"/>
      <c r="N322" s="122"/>
    </row>
    <row r="323" spans="1:14">
      <c r="A323" s="122"/>
      <c r="B323" s="122"/>
      <c r="C323" s="122"/>
      <c r="D323" s="122"/>
      <c r="E323" s="122"/>
      <c r="F323" s="122"/>
      <c r="G323" s="122"/>
      <c r="H323" s="122"/>
      <c r="I323" s="122"/>
      <c r="J323" s="122"/>
      <c r="K323" s="122"/>
      <c r="L323" s="122"/>
      <c r="M323" s="122"/>
      <c r="N323" s="122"/>
    </row>
    <row r="324" spans="1:14">
      <c r="A324" s="122"/>
      <c r="B324" s="122"/>
      <c r="C324" s="122"/>
      <c r="D324" s="122"/>
      <c r="E324" s="122"/>
      <c r="F324" s="122"/>
      <c r="G324" s="122"/>
      <c r="H324" s="122"/>
      <c r="I324" s="122"/>
      <c r="J324" s="122"/>
      <c r="K324" s="122"/>
      <c r="L324" s="122"/>
      <c r="M324" s="122"/>
      <c r="N324" s="122"/>
    </row>
    <row r="325" spans="1:14">
      <c r="A325" s="122"/>
      <c r="B325" s="122"/>
      <c r="C325" s="122"/>
      <c r="D325" s="122"/>
      <c r="E325" s="122"/>
      <c r="F325" s="122"/>
      <c r="G325" s="122"/>
      <c r="H325" s="122"/>
      <c r="I325" s="122"/>
      <c r="J325" s="122"/>
      <c r="K325" s="122"/>
      <c r="L325" s="122"/>
      <c r="M325" s="122"/>
      <c r="N325" s="122"/>
    </row>
    <row r="326" spans="1:14">
      <c r="A326" s="122"/>
      <c r="B326" s="122"/>
      <c r="C326" s="122"/>
      <c r="D326" s="122"/>
      <c r="E326" s="122"/>
      <c r="F326" s="122"/>
      <c r="G326" s="122"/>
      <c r="H326" s="122"/>
      <c r="I326" s="122"/>
      <c r="J326" s="122"/>
      <c r="K326" s="122"/>
      <c r="L326" s="122"/>
      <c r="M326" s="122"/>
      <c r="N326" s="122"/>
    </row>
    <row r="327" spans="1:14" ht="54.75" customHeight="1">
      <c r="A327" s="122"/>
      <c r="B327" s="122"/>
      <c r="C327" s="122"/>
      <c r="D327" s="122"/>
      <c r="E327" s="122"/>
      <c r="F327" s="122"/>
      <c r="G327" s="122"/>
      <c r="H327" s="122"/>
      <c r="I327" s="122"/>
      <c r="J327" s="122"/>
      <c r="K327" s="122"/>
      <c r="L327" s="122"/>
      <c r="M327" s="122"/>
      <c r="N327" s="122"/>
    </row>
    <row r="328" spans="1:14">
      <c r="A328" s="122"/>
      <c r="B328" s="122"/>
      <c r="C328" s="122"/>
      <c r="D328" s="122"/>
      <c r="E328" s="122"/>
      <c r="F328" s="122"/>
      <c r="G328" s="122"/>
      <c r="H328" s="122"/>
      <c r="I328" s="122"/>
      <c r="J328" s="122"/>
      <c r="K328" s="122"/>
      <c r="L328" s="122"/>
      <c r="M328" s="122"/>
      <c r="N328" s="122"/>
    </row>
    <row r="329" spans="1:14" ht="32.1" customHeight="1">
      <c r="A329" s="122"/>
      <c r="B329" s="122"/>
      <c r="C329" s="122"/>
      <c r="D329" s="122"/>
      <c r="E329" s="122"/>
      <c r="F329" s="122"/>
      <c r="G329" s="122"/>
      <c r="H329" s="122"/>
      <c r="I329" s="122"/>
      <c r="J329" s="122"/>
      <c r="K329" s="122"/>
      <c r="L329" s="122"/>
      <c r="M329" s="105"/>
      <c r="N329" s="105"/>
    </row>
    <row r="330" spans="1:14" ht="96.75" customHeight="1">
      <c r="A330" s="122"/>
      <c r="B330" s="122"/>
      <c r="C330" s="122"/>
      <c r="D330" s="122"/>
      <c r="E330" s="122"/>
      <c r="F330" s="122"/>
      <c r="G330" s="122"/>
      <c r="H330" s="122"/>
      <c r="I330" s="122"/>
      <c r="J330" s="122"/>
      <c r="K330" s="122"/>
      <c r="L330" s="122"/>
      <c r="M330" s="105"/>
      <c r="N330" s="105"/>
    </row>
  </sheetData>
  <mergeCells count="840">
    <mergeCell ref="A128:C128"/>
    <mergeCell ref="A186:B186"/>
    <mergeCell ref="A255:C255"/>
    <mergeCell ref="D60:N60"/>
    <mergeCell ref="A326:C326"/>
    <mergeCell ref="I275:J275"/>
    <mergeCell ref="K33:L33"/>
    <mergeCell ref="E142:F142"/>
    <mergeCell ref="D174:N174"/>
    <mergeCell ref="A136:C136"/>
    <mergeCell ref="A192:C192"/>
    <mergeCell ref="G307:H307"/>
    <mergeCell ref="A57:C57"/>
    <mergeCell ref="A113:C113"/>
    <mergeCell ref="K241:L241"/>
    <mergeCell ref="D281:N281"/>
    <mergeCell ref="A194:C194"/>
    <mergeCell ref="C121:D121"/>
    <mergeCell ref="K252:L252"/>
    <mergeCell ref="A181:C181"/>
    <mergeCell ref="E308:F308"/>
    <mergeCell ref="K99:L99"/>
    <mergeCell ref="G66:H66"/>
    <mergeCell ref="I66:J66"/>
    <mergeCell ref="D136:N136"/>
    <mergeCell ref="D70:N70"/>
    <mergeCell ref="D312:N312"/>
    <mergeCell ref="A52:C52"/>
    <mergeCell ref="D238:N238"/>
    <mergeCell ref="D7:N7"/>
    <mergeCell ref="A33:B33"/>
    <mergeCell ref="D200:N200"/>
    <mergeCell ref="D134:N134"/>
    <mergeCell ref="D205:N205"/>
    <mergeCell ref="D292:N292"/>
    <mergeCell ref="A83:C83"/>
    <mergeCell ref="A270:C270"/>
    <mergeCell ref="D71:N71"/>
    <mergeCell ref="A231:B231"/>
    <mergeCell ref="D58:N58"/>
    <mergeCell ref="A49:C49"/>
    <mergeCell ref="G143:H143"/>
    <mergeCell ref="D294:N294"/>
    <mergeCell ref="D73:N73"/>
    <mergeCell ref="A174:C174"/>
    <mergeCell ref="A205:C205"/>
    <mergeCell ref="E55:F55"/>
    <mergeCell ref="A118:C118"/>
    <mergeCell ref="A4:C4"/>
    <mergeCell ref="A200:C200"/>
    <mergeCell ref="D126:N126"/>
    <mergeCell ref="C252:D252"/>
    <mergeCell ref="I43:J43"/>
    <mergeCell ref="I176:J176"/>
    <mergeCell ref="D53:N53"/>
    <mergeCell ref="K43:L43"/>
    <mergeCell ref="E252:F252"/>
    <mergeCell ref="D47:N47"/>
    <mergeCell ref="A24:C24"/>
    <mergeCell ref="D15:N15"/>
    <mergeCell ref="C44:D44"/>
    <mergeCell ref="A215:C215"/>
    <mergeCell ref="C142:D142"/>
    <mergeCell ref="D28:N28"/>
    <mergeCell ref="A26:C26"/>
    <mergeCell ref="D31:N31"/>
    <mergeCell ref="D6:N6"/>
    <mergeCell ref="C76:D76"/>
    <mergeCell ref="G33:H33"/>
    <mergeCell ref="A238:C238"/>
    <mergeCell ref="E219:F219"/>
    <mergeCell ref="G219:H219"/>
    <mergeCell ref="D289:N289"/>
    <mergeCell ref="A31:C31"/>
    <mergeCell ref="A202:C202"/>
    <mergeCell ref="A58:C58"/>
    <mergeCell ref="A258:C258"/>
    <mergeCell ref="K120:L120"/>
    <mergeCell ref="C110:D110"/>
    <mergeCell ref="E110:F110"/>
    <mergeCell ref="A73:C73"/>
    <mergeCell ref="A266:C266"/>
    <mergeCell ref="A131:B131"/>
    <mergeCell ref="A260:C260"/>
    <mergeCell ref="A60:C60"/>
    <mergeCell ref="E187:F187"/>
    <mergeCell ref="E76:F76"/>
    <mergeCell ref="G76:H76"/>
    <mergeCell ref="G230:H230"/>
    <mergeCell ref="A124:C124"/>
    <mergeCell ref="D129:N129"/>
    <mergeCell ref="D79:N79"/>
    <mergeCell ref="A143:B143"/>
    <mergeCell ref="A150:C150"/>
    <mergeCell ref="C242:D242"/>
    <mergeCell ref="I175:J175"/>
    <mergeCell ref="D315:N315"/>
    <mergeCell ref="A84:C84"/>
    <mergeCell ref="D302:N302"/>
    <mergeCell ref="G11:H11"/>
    <mergeCell ref="A149:C149"/>
    <mergeCell ref="I11:J11"/>
    <mergeCell ref="D81:N81"/>
    <mergeCell ref="I198:J198"/>
    <mergeCell ref="G296:H296"/>
    <mergeCell ref="A50:C50"/>
    <mergeCell ref="K198:L198"/>
    <mergeCell ref="K54:L54"/>
    <mergeCell ref="I296:J296"/>
    <mergeCell ref="A86:C86"/>
    <mergeCell ref="D300:N300"/>
    <mergeCell ref="A42:C42"/>
    <mergeCell ref="A213:C213"/>
    <mergeCell ref="A151:C151"/>
    <mergeCell ref="A65:B65"/>
    <mergeCell ref="D139:N139"/>
    <mergeCell ref="D310:N310"/>
    <mergeCell ref="C65:D65"/>
    <mergeCell ref="A126:C126"/>
    <mergeCell ref="K44:L44"/>
    <mergeCell ref="C329:D329"/>
    <mergeCell ref="A190:C190"/>
    <mergeCell ref="A55:B55"/>
    <mergeCell ref="E329:F329"/>
    <mergeCell ref="G87:H87"/>
    <mergeCell ref="G329:H329"/>
    <mergeCell ref="I87:J87"/>
    <mergeCell ref="A152:C152"/>
    <mergeCell ref="E77:F77"/>
    <mergeCell ref="D284:N284"/>
    <mergeCell ref="K176:L176"/>
    <mergeCell ref="D326:N326"/>
    <mergeCell ref="K121:L121"/>
    <mergeCell ref="D69:N69"/>
    <mergeCell ref="A268:C268"/>
    <mergeCell ref="A74:C74"/>
    <mergeCell ref="A145:C145"/>
    <mergeCell ref="A139:C139"/>
    <mergeCell ref="A197:B197"/>
    <mergeCell ref="C88:D88"/>
    <mergeCell ref="C197:D197"/>
    <mergeCell ref="E88:F88"/>
    <mergeCell ref="K110:L110"/>
    <mergeCell ref="E253:F253"/>
    <mergeCell ref="D3:N3"/>
    <mergeCell ref="D313:N313"/>
    <mergeCell ref="G153:H153"/>
    <mergeCell ref="D236:N236"/>
    <mergeCell ref="A291:C291"/>
    <mergeCell ref="D92:N92"/>
    <mergeCell ref="I153:J153"/>
    <mergeCell ref="D30:N30"/>
    <mergeCell ref="A79:C79"/>
    <mergeCell ref="D223:N223"/>
    <mergeCell ref="D279:N279"/>
    <mergeCell ref="A70:C70"/>
    <mergeCell ref="E164:F164"/>
    <mergeCell ref="D5:N5"/>
    <mergeCell ref="C131:D131"/>
    <mergeCell ref="G164:H164"/>
    <mergeCell ref="D303:N303"/>
    <mergeCell ref="D29:N29"/>
    <mergeCell ref="A220:B220"/>
    <mergeCell ref="D290:N290"/>
    <mergeCell ref="D94:N94"/>
    <mergeCell ref="K242:L242"/>
    <mergeCell ref="I65:J65"/>
    <mergeCell ref="A137:C137"/>
    <mergeCell ref="K286:L286"/>
    <mergeCell ref="A203:C203"/>
    <mergeCell ref="C55:D55"/>
    <mergeCell ref="D170:N170"/>
    <mergeCell ref="A140:C140"/>
    <mergeCell ref="A311:C311"/>
    <mergeCell ref="D145:N145"/>
    <mergeCell ref="A92:C92"/>
    <mergeCell ref="A279:C279"/>
    <mergeCell ref="A300:C300"/>
    <mergeCell ref="A94:C94"/>
    <mergeCell ref="A216:C216"/>
    <mergeCell ref="A281:C281"/>
    <mergeCell ref="A282:C282"/>
    <mergeCell ref="A105:C105"/>
    <mergeCell ref="A241:B241"/>
    <mergeCell ref="D237:N237"/>
    <mergeCell ref="D158:N158"/>
    <mergeCell ref="D229:N229"/>
    <mergeCell ref="A71:C71"/>
    <mergeCell ref="A76:B76"/>
    <mergeCell ref="D72:N72"/>
    <mergeCell ref="G285:H285"/>
    <mergeCell ref="I285:J285"/>
    <mergeCell ref="D316:N316"/>
    <mergeCell ref="D272:N272"/>
    <mergeCell ref="D234:N234"/>
    <mergeCell ref="E319:F319"/>
    <mergeCell ref="G319:H319"/>
    <mergeCell ref="D16:N16"/>
    <mergeCell ref="D147:N147"/>
    <mergeCell ref="I297:J297"/>
    <mergeCell ref="K297:L297"/>
    <mergeCell ref="D245:N245"/>
    <mergeCell ref="D301:N301"/>
    <mergeCell ref="D224:N224"/>
    <mergeCell ref="D18:N18"/>
    <mergeCell ref="D211:N211"/>
    <mergeCell ref="D82:N82"/>
    <mergeCell ref="C208:D208"/>
    <mergeCell ref="E208:F208"/>
    <mergeCell ref="D240:N240"/>
    <mergeCell ref="E109:F109"/>
    <mergeCell ref="A218:C218"/>
    <mergeCell ref="A316:C316"/>
    <mergeCell ref="A193:C193"/>
    <mergeCell ref="A46:C46"/>
    <mergeCell ref="D271:N271"/>
    <mergeCell ref="A313:C313"/>
    <mergeCell ref="D108:N108"/>
    <mergeCell ref="A234:C234"/>
    <mergeCell ref="A99:B99"/>
    <mergeCell ref="D239:N239"/>
    <mergeCell ref="D95:N95"/>
    <mergeCell ref="A286:B286"/>
    <mergeCell ref="D160:N160"/>
    <mergeCell ref="A184:C184"/>
    <mergeCell ref="C286:D286"/>
    <mergeCell ref="I131:J131"/>
    <mergeCell ref="K131:L131"/>
    <mergeCell ref="A171:C171"/>
    <mergeCell ref="D306:N306"/>
    <mergeCell ref="I307:J307"/>
    <mergeCell ref="K307:L307"/>
    <mergeCell ref="D97:N97"/>
    <mergeCell ref="G231:H231"/>
    <mergeCell ref="A173:C173"/>
    <mergeCell ref="A229:C229"/>
    <mergeCell ref="A148:C148"/>
    <mergeCell ref="D184:N184"/>
    <mergeCell ref="D255:N255"/>
    <mergeCell ref="E275:F275"/>
    <mergeCell ref="G318:H318"/>
    <mergeCell ref="I318:J318"/>
    <mergeCell ref="A6:C6"/>
    <mergeCell ref="D42:N42"/>
    <mergeCell ref="E22:F22"/>
    <mergeCell ref="D113:N113"/>
    <mergeCell ref="C264:D264"/>
    <mergeCell ref="G22:H22"/>
    <mergeCell ref="E198:F198"/>
    <mergeCell ref="E264:F264"/>
    <mergeCell ref="G198:H198"/>
    <mergeCell ref="D26:N26"/>
    <mergeCell ref="D148:N148"/>
    <mergeCell ref="D250:N250"/>
    <mergeCell ref="D50:N50"/>
    <mergeCell ref="D311:N311"/>
    <mergeCell ref="D115:N115"/>
    <mergeCell ref="D19:N19"/>
    <mergeCell ref="K142:L142"/>
    <mergeCell ref="D90:N90"/>
    <mergeCell ref="D261:N261"/>
    <mergeCell ref="A303:C303"/>
    <mergeCell ref="A288:C288"/>
    <mergeCell ref="A242:B242"/>
    <mergeCell ref="A3:C3"/>
    <mergeCell ref="A301:C301"/>
    <mergeCell ref="A239:C239"/>
    <mergeCell ref="K55:L55"/>
    <mergeCell ref="A95:C95"/>
    <mergeCell ref="A87:B87"/>
    <mergeCell ref="A160:C160"/>
    <mergeCell ref="C109:D109"/>
    <mergeCell ref="E209:F209"/>
    <mergeCell ref="I242:J242"/>
    <mergeCell ref="C274:D274"/>
    <mergeCell ref="A5:C5"/>
    <mergeCell ref="G209:H209"/>
    <mergeCell ref="E274:F274"/>
    <mergeCell ref="A159:C159"/>
    <mergeCell ref="A97:C97"/>
    <mergeCell ref="A290:C290"/>
    <mergeCell ref="A224:C224"/>
    <mergeCell ref="G175:H175"/>
    <mergeCell ref="K208:L208"/>
    <mergeCell ref="A96:C96"/>
    <mergeCell ref="D179:N179"/>
    <mergeCell ref="E186:F186"/>
    <mergeCell ref="A161:C161"/>
    <mergeCell ref="D9:N9"/>
    <mergeCell ref="D180:N180"/>
    <mergeCell ref="D118:N118"/>
    <mergeCell ref="I231:J231"/>
    <mergeCell ref="I241:J241"/>
    <mergeCell ref="D167:N167"/>
    <mergeCell ref="A165:B165"/>
    <mergeCell ref="D161:N161"/>
    <mergeCell ref="C165:D165"/>
    <mergeCell ref="I10:J10"/>
    <mergeCell ref="A123:C123"/>
    <mergeCell ref="E132:F132"/>
    <mergeCell ref="G132:H132"/>
    <mergeCell ref="C143:D143"/>
    <mergeCell ref="D13:N13"/>
    <mergeCell ref="A29:C29"/>
    <mergeCell ref="A153:B153"/>
    <mergeCell ref="I54:J54"/>
    <mergeCell ref="D124:N124"/>
    <mergeCell ref="D195:N195"/>
    <mergeCell ref="D189:N189"/>
    <mergeCell ref="D185:N185"/>
    <mergeCell ref="A61:C61"/>
    <mergeCell ref="A107:C107"/>
    <mergeCell ref="A237:C237"/>
    <mergeCell ref="D169:N169"/>
    <mergeCell ref="C308:D308"/>
    <mergeCell ref="A212:C212"/>
    <mergeCell ref="A16:C16"/>
    <mergeCell ref="A77:B77"/>
    <mergeCell ref="C77:D77"/>
    <mergeCell ref="A108:C108"/>
    <mergeCell ref="D63:N63"/>
    <mergeCell ref="A18:C18"/>
    <mergeCell ref="A189:C189"/>
    <mergeCell ref="A214:C214"/>
    <mergeCell ref="G275:H275"/>
    <mergeCell ref="I33:J33"/>
    <mergeCell ref="A307:B307"/>
    <mergeCell ref="D103:N103"/>
    <mergeCell ref="D37:N37"/>
    <mergeCell ref="K220:L220"/>
    <mergeCell ref="D168:N168"/>
    <mergeCell ref="G252:H252"/>
    <mergeCell ref="A306:C306"/>
    <mergeCell ref="A278:C278"/>
    <mergeCell ref="I286:J286"/>
    <mergeCell ref="G253:H253"/>
    <mergeCell ref="D2:N2"/>
    <mergeCell ref="G186:H186"/>
    <mergeCell ref="D325:N325"/>
    <mergeCell ref="A120:B120"/>
    <mergeCell ref="D116:N116"/>
    <mergeCell ref="I165:J165"/>
    <mergeCell ref="G263:H263"/>
    <mergeCell ref="I21:J21"/>
    <mergeCell ref="A134:C134"/>
    <mergeCell ref="I263:J263"/>
    <mergeCell ref="A21:B21"/>
    <mergeCell ref="D91:N91"/>
    <mergeCell ref="C21:D21"/>
    <mergeCell ref="A17:C17"/>
    <mergeCell ref="E230:F230"/>
    <mergeCell ref="A259:C259"/>
    <mergeCell ref="A53:C53"/>
    <mergeCell ref="A324:C324"/>
    <mergeCell ref="A180:C180"/>
    <mergeCell ref="I308:J308"/>
    <mergeCell ref="A10:B10"/>
    <mergeCell ref="K10:L10"/>
    <mergeCell ref="A308:B308"/>
    <mergeCell ref="K66:L66"/>
    <mergeCell ref="D327:N327"/>
    <mergeCell ref="A167:C167"/>
    <mergeCell ref="A32:B32"/>
    <mergeCell ref="D106:N106"/>
    <mergeCell ref="A219:B219"/>
    <mergeCell ref="D93:N93"/>
    <mergeCell ref="C219:D219"/>
    <mergeCell ref="A182:C182"/>
    <mergeCell ref="A304:C304"/>
    <mergeCell ref="K308:L308"/>
    <mergeCell ref="A169:C169"/>
    <mergeCell ref="A225:C225"/>
    <mergeCell ref="E54:F54"/>
    <mergeCell ref="C296:D296"/>
    <mergeCell ref="G54:H54"/>
    <mergeCell ref="D157:N157"/>
    <mergeCell ref="D40:N40"/>
    <mergeCell ref="A187:B187"/>
    <mergeCell ref="D183:N183"/>
    <mergeCell ref="A116:C116"/>
    <mergeCell ref="D248:N248"/>
    <mergeCell ref="D104:N104"/>
    <mergeCell ref="C230:D230"/>
    <mergeCell ref="K165:L165"/>
    <mergeCell ref="D328:N328"/>
    <mergeCell ref="K274:L274"/>
    <mergeCell ref="D251:N251"/>
    <mergeCell ref="A162:C162"/>
    <mergeCell ref="A227:C227"/>
    <mergeCell ref="C154:D154"/>
    <mergeCell ref="C285:D285"/>
    <mergeCell ref="E43:F43"/>
    <mergeCell ref="E285:F285"/>
    <mergeCell ref="G43:H43"/>
    <mergeCell ref="D182:N182"/>
    <mergeCell ref="D280:N280"/>
    <mergeCell ref="G120:H120"/>
    <mergeCell ref="I120:J120"/>
    <mergeCell ref="D119:N119"/>
    <mergeCell ref="D190:N190"/>
    <mergeCell ref="D246:N246"/>
    <mergeCell ref="D46:N46"/>
    <mergeCell ref="A110:B110"/>
    <mergeCell ref="D233:N233"/>
    <mergeCell ref="D282:N282"/>
    <mergeCell ref="A195:C195"/>
    <mergeCell ref="A251:C251"/>
    <mergeCell ref="A322:C322"/>
    <mergeCell ref="A19:C19"/>
    <mergeCell ref="A68:C68"/>
    <mergeCell ref="K77:L77"/>
    <mergeCell ref="A117:C117"/>
    <mergeCell ref="C11:D11"/>
    <mergeCell ref="E11:F11"/>
    <mergeCell ref="D214:N214"/>
    <mergeCell ref="A44:B44"/>
    <mergeCell ref="D62:N62"/>
    <mergeCell ref="G110:H110"/>
    <mergeCell ref="D193:N193"/>
    <mergeCell ref="A109:B109"/>
    <mergeCell ref="I110:J110"/>
    <mergeCell ref="I44:J44"/>
    <mergeCell ref="K21:L21"/>
    <mergeCell ref="I32:J32"/>
    <mergeCell ref="K32:L32"/>
    <mergeCell ref="A13:C13"/>
    <mergeCell ref="A47:C47"/>
    <mergeCell ref="E143:F143"/>
    <mergeCell ref="D52:N52"/>
    <mergeCell ref="D27:N27"/>
    <mergeCell ref="G99:H99"/>
    <mergeCell ref="C66:D66"/>
    <mergeCell ref="A328:C328"/>
    <mergeCell ref="A263:B263"/>
    <mergeCell ref="E296:F296"/>
    <mergeCell ref="D137:N137"/>
    <mergeCell ref="A48:C48"/>
    <mergeCell ref="D259:N259"/>
    <mergeCell ref="D74:N74"/>
    <mergeCell ref="D130:N130"/>
    <mergeCell ref="D68:N68"/>
    <mergeCell ref="D201:N201"/>
    <mergeCell ref="A121:B121"/>
    <mergeCell ref="I252:J252"/>
    <mergeCell ref="D117:N117"/>
    <mergeCell ref="E220:F220"/>
    <mergeCell ref="G220:H220"/>
    <mergeCell ref="D48:N48"/>
    <mergeCell ref="E65:F65"/>
    <mergeCell ref="G121:H121"/>
    <mergeCell ref="A63:C63"/>
    <mergeCell ref="I121:J121"/>
    <mergeCell ref="D112:N112"/>
    <mergeCell ref="D283:N283"/>
    <mergeCell ref="A130:C130"/>
    <mergeCell ref="A261:C261"/>
    <mergeCell ref="I329:J329"/>
    <mergeCell ref="K87:L87"/>
    <mergeCell ref="A329:B329"/>
    <mergeCell ref="C87:D87"/>
    <mergeCell ref="K329:L329"/>
    <mergeCell ref="D59:N59"/>
    <mergeCell ref="D295:N295"/>
    <mergeCell ref="A233:C233"/>
    <mergeCell ref="A37:C37"/>
    <mergeCell ref="A98:B98"/>
    <mergeCell ref="C98:D98"/>
    <mergeCell ref="G176:H176"/>
    <mergeCell ref="C187:D187"/>
    <mergeCell ref="I197:J197"/>
    <mergeCell ref="K88:L88"/>
    <mergeCell ref="A235:C235"/>
    <mergeCell ref="A272:C272"/>
    <mergeCell ref="K219:L219"/>
    <mergeCell ref="K153:L153"/>
    <mergeCell ref="A247:C247"/>
    <mergeCell ref="A185:C185"/>
    <mergeCell ref="E153:F153"/>
    <mergeCell ref="A164:B164"/>
    <mergeCell ref="C164:D164"/>
    <mergeCell ref="E286:F286"/>
    <mergeCell ref="D114:N114"/>
    <mergeCell ref="A138:C138"/>
    <mergeCell ref="A325:C325"/>
    <mergeCell ref="D64:N64"/>
    <mergeCell ref="A119:C119"/>
    <mergeCell ref="D51:N51"/>
    <mergeCell ref="K230:L230"/>
    <mergeCell ref="A69:C69"/>
    <mergeCell ref="A196:C196"/>
    <mergeCell ref="A256:C256"/>
    <mergeCell ref="K143:L143"/>
    <mergeCell ref="A183:C183"/>
    <mergeCell ref="A319:B319"/>
    <mergeCell ref="C319:D319"/>
    <mergeCell ref="C175:D175"/>
    <mergeCell ref="A142:B142"/>
    <mergeCell ref="E175:F175"/>
    <mergeCell ref="D138:N138"/>
    <mergeCell ref="E297:F297"/>
    <mergeCell ref="G297:H297"/>
    <mergeCell ref="D203:N203"/>
    <mergeCell ref="G241:H241"/>
    <mergeCell ref="D140:N140"/>
    <mergeCell ref="I330:J330"/>
    <mergeCell ref="A208:B208"/>
    <mergeCell ref="A330:B330"/>
    <mergeCell ref="D204:N204"/>
    <mergeCell ref="C330:D330"/>
    <mergeCell ref="K330:L330"/>
    <mergeCell ref="D269:N269"/>
    <mergeCell ref="A38:C38"/>
    <mergeCell ref="A147:C147"/>
    <mergeCell ref="A280:C280"/>
    <mergeCell ref="D141:N141"/>
    <mergeCell ref="D75:N75"/>
    <mergeCell ref="D135:N135"/>
    <mergeCell ref="D206:N206"/>
    <mergeCell ref="A249:C249"/>
    <mergeCell ref="D181:N181"/>
    <mergeCell ref="A40:C40"/>
    <mergeCell ref="I98:J98"/>
    <mergeCell ref="A211:C211"/>
    <mergeCell ref="G65:H65"/>
    <mergeCell ref="K98:L98"/>
    <mergeCell ref="C132:D132"/>
    <mergeCell ref="D322:N322"/>
    <mergeCell ref="D324:N324"/>
    <mergeCell ref="A15:C15"/>
    <mergeCell ref="E154:F154"/>
    <mergeCell ref="A257:C257"/>
    <mergeCell ref="D235:N235"/>
    <mergeCell ref="G154:H154"/>
    <mergeCell ref="A51:C51"/>
    <mergeCell ref="A82:C82"/>
    <mergeCell ref="A315:C315"/>
    <mergeCell ref="D24:N24"/>
    <mergeCell ref="A146:C146"/>
    <mergeCell ref="D260:N260"/>
    <mergeCell ref="G131:H131"/>
    <mergeCell ref="I187:J187"/>
    <mergeCell ref="K187:L187"/>
    <mergeCell ref="D128:N128"/>
    <mergeCell ref="A158:C158"/>
    <mergeCell ref="D217:N217"/>
    <mergeCell ref="A204:C204"/>
    <mergeCell ref="A59:C59"/>
    <mergeCell ref="D304:N304"/>
    <mergeCell ref="A209:B209"/>
    <mergeCell ref="D83:N83"/>
    <mergeCell ref="C209:D209"/>
    <mergeCell ref="A274:B274"/>
    <mergeCell ref="K11:L11"/>
    <mergeCell ref="C318:D318"/>
    <mergeCell ref="K253:L253"/>
    <mergeCell ref="E318:F318"/>
    <mergeCell ref="K109:L109"/>
    <mergeCell ref="A141:C141"/>
    <mergeCell ref="A135:C135"/>
    <mergeCell ref="A206:C206"/>
    <mergeCell ref="A262:C262"/>
    <mergeCell ref="A62:C62"/>
    <mergeCell ref="A264:B264"/>
    <mergeCell ref="C22:D22"/>
    <mergeCell ref="D194:N194"/>
    <mergeCell ref="C176:D176"/>
    <mergeCell ref="E176:F176"/>
    <mergeCell ref="A72:C72"/>
    <mergeCell ref="D17:N17"/>
    <mergeCell ref="A28:C28"/>
    <mergeCell ref="E241:F241"/>
    <mergeCell ref="G142:H142"/>
    <mergeCell ref="I142:J142"/>
    <mergeCell ref="A30:C30"/>
    <mergeCell ref="D212:N212"/>
    <mergeCell ref="D317:N317"/>
    <mergeCell ref="C33:D33"/>
    <mergeCell ref="K164:L164"/>
    <mergeCell ref="C275:D275"/>
    <mergeCell ref="E33:F33"/>
    <mergeCell ref="A277:C277"/>
    <mergeCell ref="G242:H242"/>
    <mergeCell ref="C263:D263"/>
    <mergeCell ref="E263:F263"/>
    <mergeCell ref="K285:L285"/>
    <mergeCell ref="A273:C273"/>
    <mergeCell ref="I253:J253"/>
    <mergeCell ref="K275:L275"/>
    <mergeCell ref="A240:C240"/>
    <mergeCell ref="D41:N41"/>
    <mergeCell ref="D277:N277"/>
    <mergeCell ref="A253:B253"/>
    <mergeCell ref="C253:D253"/>
    <mergeCell ref="D267:N267"/>
    <mergeCell ref="D258:N258"/>
    <mergeCell ref="A250:C250"/>
    <mergeCell ref="K197:L197"/>
    <mergeCell ref="I99:J99"/>
    <mergeCell ref="D38:N38"/>
    <mergeCell ref="E66:F66"/>
    <mergeCell ref="A27:C27"/>
    <mergeCell ref="D159:N159"/>
    <mergeCell ref="D80:N80"/>
    <mergeCell ref="A129:C129"/>
    <mergeCell ref="C231:D231"/>
    <mergeCell ref="E231:F231"/>
    <mergeCell ref="A252:B252"/>
    <mergeCell ref="C10:D10"/>
    <mergeCell ref="A85:C85"/>
    <mergeCell ref="D96:N96"/>
    <mergeCell ref="E10:F10"/>
    <mergeCell ref="G10:H10"/>
    <mergeCell ref="C99:D99"/>
    <mergeCell ref="A66:B66"/>
    <mergeCell ref="D225:N225"/>
    <mergeCell ref="I55:J55"/>
    <mergeCell ref="D162:N162"/>
    <mergeCell ref="D156:N156"/>
    <mergeCell ref="E242:F242"/>
    <mergeCell ref="D14:N14"/>
    <mergeCell ref="D85:N85"/>
    <mergeCell ref="D207:N207"/>
    <mergeCell ref="A90:C90"/>
    <mergeCell ref="A41:C41"/>
    <mergeCell ref="A9:C9"/>
    <mergeCell ref="D227:N227"/>
    <mergeCell ref="I132:J132"/>
    <mergeCell ref="K132:L132"/>
    <mergeCell ref="D202:N202"/>
    <mergeCell ref="I219:J219"/>
    <mergeCell ref="C153:D153"/>
    <mergeCell ref="A36:C36"/>
    <mergeCell ref="D8:N8"/>
    <mergeCell ref="A207:C207"/>
    <mergeCell ref="C186:D186"/>
    <mergeCell ref="E21:F21"/>
    <mergeCell ref="G21:H21"/>
    <mergeCell ref="D20:N20"/>
    <mergeCell ref="G208:H208"/>
    <mergeCell ref="A80:C80"/>
    <mergeCell ref="I208:J208"/>
    <mergeCell ref="A88:B88"/>
    <mergeCell ref="D84:N84"/>
    <mergeCell ref="D149:N149"/>
    <mergeCell ref="A179:C179"/>
    <mergeCell ref="E120:F120"/>
    <mergeCell ref="D152:N152"/>
    <mergeCell ref="D127:N127"/>
    <mergeCell ref="A323:C323"/>
    <mergeCell ref="D61:N61"/>
    <mergeCell ref="A170:C170"/>
    <mergeCell ref="A302:C302"/>
    <mergeCell ref="E131:F131"/>
    <mergeCell ref="A54:B54"/>
    <mergeCell ref="E87:F87"/>
    <mergeCell ref="C54:D54"/>
    <mergeCell ref="I76:J76"/>
    <mergeCell ref="I209:J209"/>
    <mergeCell ref="D86:N86"/>
    <mergeCell ref="K76:L76"/>
    <mergeCell ref="K209:L209"/>
    <mergeCell ref="D213:N213"/>
    <mergeCell ref="D257:N257"/>
    <mergeCell ref="D151:N151"/>
    <mergeCell ref="A91:C91"/>
    <mergeCell ref="A156:C156"/>
    <mergeCell ref="A154:B154"/>
    <mergeCell ref="A289:C289"/>
    <mergeCell ref="D125:N125"/>
    <mergeCell ref="E197:F197"/>
    <mergeCell ref="G88:H88"/>
    <mergeCell ref="G197:H197"/>
    <mergeCell ref="C120:D120"/>
    <mergeCell ref="K296:L296"/>
    <mergeCell ref="A317:C317"/>
    <mergeCell ref="D305:N305"/>
    <mergeCell ref="A296:B296"/>
    <mergeCell ref="A321:C321"/>
    <mergeCell ref="A312:C312"/>
    <mergeCell ref="A106:C106"/>
    <mergeCell ref="A81:C81"/>
    <mergeCell ref="I88:J88"/>
    <mergeCell ref="A201:C201"/>
    <mergeCell ref="A226:C226"/>
    <mergeCell ref="D314:N314"/>
    <mergeCell ref="D288:N288"/>
    <mergeCell ref="G308:H308"/>
    <mergeCell ref="A295:C295"/>
    <mergeCell ref="A271:C271"/>
    <mergeCell ref="D256:N256"/>
    <mergeCell ref="D299:N299"/>
    <mergeCell ref="A283:C283"/>
    <mergeCell ref="A217:C217"/>
    <mergeCell ref="D222:N222"/>
    <mergeCell ref="I164:J164"/>
    <mergeCell ref="A275:B275"/>
    <mergeCell ref="D4:N4"/>
    <mergeCell ref="A157:C157"/>
    <mergeCell ref="A22:B22"/>
    <mergeCell ref="A284:C284"/>
    <mergeCell ref="A222:C222"/>
    <mergeCell ref="G165:H165"/>
    <mergeCell ref="A230:B230"/>
    <mergeCell ref="D226:N226"/>
    <mergeCell ref="G44:H44"/>
    <mergeCell ref="D35:N35"/>
    <mergeCell ref="G77:H77"/>
    <mergeCell ref="D228:N228"/>
    <mergeCell ref="I77:J77"/>
    <mergeCell ref="A75:C75"/>
    <mergeCell ref="A246:C246"/>
    <mergeCell ref="A11:B11"/>
    <mergeCell ref="D178:N178"/>
    <mergeCell ref="D172:N172"/>
    <mergeCell ref="D270:N270"/>
    <mergeCell ref="A248:C248"/>
    <mergeCell ref="A104:C104"/>
    <mergeCell ref="D36:N36"/>
    <mergeCell ref="D101:N101"/>
    <mergeCell ref="A14:C14"/>
    <mergeCell ref="A7:C7"/>
    <mergeCell ref="A172:C172"/>
    <mergeCell ref="A305:C305"/>
    <mergeCell ref="A25:C25"/>
    <mergeCell ref="A292:C292"/>
    <mergeCell ref="E121:F121"/>
    <mergeCell ref="I319:J319"/>
    <mergeCell ref="K319:L319"/>
    <mergeCell ref="D218:N218"/>
    <mergeCell ref="A236:C236"/>
    <mergeCell ref="D247:N247"/>
    <mergeCell ref="A163:C163"/>
    <mergeCell ref="A101:C101"/>
    <mergeCell ref="A223:C223"/>
    <mergeCell ref="A294:C294"/>
    <mergeCell ref="A297:B297"/>
    <mergeCell ref="C297:D297"/>
    <mergeCell ref="A314:C314"/>
    <mergeCell ref="D25:N25"/>
    <mergeCell ref="C32:D32"/>
    <mergeCell ref="D150:N150"/>
    <mergeCell ref="A285:B285"/>
    <mergeCell ref="C43:D43"/>
    <mergeCell ref="D215:N215"/>
    <mergeCell ref="A2:C2"/>
    <mergeCell ref="E44:F44"/>
    <mergeCell ref="D249:N249"/>
    <mergeCell ref="D105:N105"/>
    <mergeCell ref="D49:N49"/>
    <mergeCell ref="I230:J230"/>
    <mergeCell ref="D107:N107"/>
    <mergeCell ref="D163:N163"/>
    <mergeCell ref="D278:N278"/>
    <mergeCell ref="A20:C20"/>
    <mergeCell ref="A125:C125"/>
    <mergeCell ref="I143:J143"/>
    <mergeCell ref="A112:C112"/>
    <mergeCell ref="D244:N244"/>
    <mergeCell ref="A175:B175"/>
    <mergeCell ref="D171:N171"/>
    <mergeCell ref="A127:C127"/>
    <mergeCell ref="A114:C114"/>
    <mergeCell ref="C241:D241"/>
    <mergeCell ref="K263:L263"/>
    <mergeCell ref="D102:N102"/>
    <mergeCell ref="D273:N273"/>
    <mergeCell ref="A64:C64"/>
    <mergeCell ref="A191:C191"/>
    <mergeCell ref="E330:F330"/>
    <mergeCell ref="G330:H330"/>
    <mergeCell ref="G286:H286"/>
    <mergeCell ref="C307:D307"/>
    <mergeCell ref="E307:F307"/>
    <mergeCell ref="D191:N191"/>
    <mergeCell ref="D262:N262"/>
    <mergeCell ref="E98:F98"/>
    <mergeCell ref="K231:L231"/>
    <mergeCell ref="G98:H98"/>
    <mergeCell ref="I154:J154"/>
    <mergeCell ref="E165:F165"/>
    <mergeCell ref="K154:L154"/>
    <mergeCell ref="A267:C267"/>
    <mergeCell ref="D291:N291"/>
    <mergeCell ref="K318:L318"/>
    <mergeCell ref="D323:N323"/>
    <mergeCell ref="A228:C228"/>
    <mergeCell ref="D216:N216"/>
    <mergeCell ref="C220:D220"/>
    <mergeCell ref="A327:C327"/>
    <mergeCell ref="D321:N321"/>
    <mergeCell ref="E99:F99"/>
    <mergeCell ref="I186:J186"/>
    <mergeCell ref="A8:C8"/>
    <mergeCell ref="D57:N57"/>
    <mergeCell ref="A244:C244"/>
    <mergeCell ref="G264:H264"/>
    <mergeCell ref="I22:J22"/>
    <mergeCell ref="D293:N293"/>
    <mergeCell ref="A35:C35"/>
    <mergeCell ref="K22:L22"/>
    <mergeCell ref="I264:J264"/>
    <mergeCell ref="I220:J220"/>
    <mergeCell ref="A198:B198"/>
    <mergeCell ref="K264:L264"/>
    <mergeCell ref="G187:H187"/>
    <mergeCell ref="C198:D198"/>
    <mergeCell ref="D268:N268"/>
    <mergeCell ref="A115:C115"/>
    <mergeCell ref="A102:C102"/>
    <mergeCell ref="A245:C245"/>
    <mergeCell ref="A39:C39"/>
    <mergeCell ref="E32:F32"/>
    <mergeCell ref="A43:B43"/>
    <mergeCell ref="A178:C178"/>
    <mergeCell ref="G32:H32"/>
    <mergeCell ref="D39:N39"/>
    <mergeCell ref="A310:C310"/>
    <mergeCell ref="D146:N146"/>
    <mergeCell ref="G55:H55"/>
    <mergeCell ref="A318:B318"/>
    <mergeCell ref="G109:H109"/>
    <mergeCell ref="D192:N192"/>
    <mergeCell ref="A103:C103"/>
    <mergeCell ref="I109:J109"/>
    <mergeCell ref="G274:H274"/>
    <mergeCell ref="I274:J274"/>
    <mergeCell ref="A168:C168"/>
    <mergeCell ref="D173:N173"/>
    <mergeCell ref="K175:L175"/>
    <mergeCell ref="D123:N123"/>
    <mergeCell ref="A176:B176"/>
    <mergeCell ref="D266:N266"/>
    <mergeCell ref="A269:C269"/>
    <mergeCell ref="K65:L65"/>
    <mergeCell ref="D196:N196"/>
    <mergeCell ref="A132:B132"/>
    <mergeCell ref="A299:C299"/>
    <mergeCell ref="K186:L186"/>
    <mergeCell ref="A93:C93"/>
    <mergeCell ref="A293:C293"/>
  </mergeCells>
  <hyperlinks>
    <hyperlink ref="A1" location="'Rendimiento'!A1" display="Rendimiento"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2">
    <pageSetUpPr fitToPage="1"/>
  </sheetPr>
  <dimension ref="A1:N441"/>
  <sheetViews>
    <sheetView topLeftCell="N34" zoomScale="87" zoomScaleNormal="87" workbookViewId="0">
      <selection activeCell="P45" sqref="P45"/>
    </sheetView>
  </sheetViews>
  <sheetFormatPr defaultColWidth="11.42578125" defaultRowHeight="15"/>
  <cols>
    <col min="1" max="3" width="11.42578125" style="43" customWidth="1"/>
    <col min="4" max="4" width="19" style="43" bestFit="1" customWidth="1"/>
    <col min="5" max="7" width="11.42578125" style="43" customWidth="1"/>
    <col min="8" max="8" width="14.42578125" style="43" customWidth="1"/>
    <col min="9" max="9" width="11.42578125" style="43" customWidth="1"/>
    <col min="10" max="10" width="52.28515625" style="43" customWidth="1"/>
    <col min="11" max="11" width="22.28515625" style="43" customWidth="1"/>
    <col min="12" max="12" width="22.42578125" style="43" customWidth="1"/>
    <col min="13" max="13" width="11.42578125" style="43" customWidth="1"/>
    <col min="14" max="14" width="201" style="43" bestFit="1" customWidth="1"/>
    <col min="15" max="15" width="11.42578125" style="43" customWidth="1"/>
    <col min="16" max="16384" width="11.42578125" style="43"/>
  </cols>
  <sheetData>
    <row r="1" spans="1:14">
      <c r="A1" s="42" t="s">
        <v>13</v>
      </c>
      <c r="B1" s="105"/>
      <c r="C1" s="105"/>
      <c r="D1" s="105"/>
      <c r="E1" s="105"/>
      <c r="F1" s="105"/>
      <c r="G1" s="105"/>
      <c r="H1" s="105"/>
      <c r="I1" s="105"/>
      <c r="J1" s="105"/>
      <c r="K1" s="105"/>
      <c r="L1" s="105"/>
      <c r="M1" s="105"/>
      <c r="N1" s="105"/>
    </row>
    <row r="2" spans="1:14">
      <c r="A2" s="42"/>
      <c r="B2" s="105"/>
      <c r="C2" s="105"/>
      <c r="D2" s="105"/>
      <c r="E2" s="105"/>
      <c r="F2" s="105"/>
      <c r="G2" s="105"/>
      <c r="H2" s="105"/>
      <c r="I2" s="105"/>
      <c r="J2" s="105"/>
      <c r="K2" s="105"/>
      <c r="L2" s="105"/>
      <c r="M2" s="105"/>
      <c r="N2" s="105"/>
    </row>
    <row r="3" spans="1:14">
      <c r="A3" s="85" t="s">
        <v>72</v>
      </c>
      <c r="B3" s="106"/>
      <c r="C3" s="106"/>
      <c r="D3" s="107" t="s">
        <v>13</v>
      </c>
      <c r="E3" s="108"/>
      <c r="F3" s="108"/>
      <c r="G3" s="108"/>
      <c r="H3" s="108"/>
      <c r="I3" s="108"/>
      <c r="J3" s="108"/>
      <c r="K3" s="108"/>
      <c r="L3" s="108"/>
      <c r="M3" s="108"/>
      <c r="N3" s="109"/>
    </row>
    <row r="4" spans="1:14">
      <c r="A4" s="85" t="s">
        <v>73</v>
      </c>
      <c r="B4" s="106"/>
      <c r="C4" s="106"/>
      <c r="D4" s="107" t="s">
        <v>66</v>
      </c>
      <c r="E4" s="108"/>
      <c r="F4" s="108"/>
      <c r="G4" s="108"/>
      <c r="H4" s="108"/>
      <c r="I4" s="108"/>
      <c r="J4" s="108"/>
      <c r="K4" s="108"/>
      <c r="L4" s="108"/>
      <c r="M4" s="108"/>
      <c r="N4" s="109"/>
    </row>
    <row r="5" spans="1:14">
      <c r="A5" s="87" t="s">
        <v>74</v>
      </c>
      <c r="B5" s="110"/>
      <c r="C5" s="111"/>
      <c r="D5" s="107" t="s">
        <v>614</v>
      </c>
      <c r="E5" s="108"/>
      <c r="F5" s="108"/>
      <c r="G5" s="108"/>
      <c r="H5" s="108"/>
      <c r="I5" s="108"/>
      <c r="J5" s="108"/>
      <c r="K5" s="108"/>
      <c r="L5" s="108"/>
      <c r="M5" s="108"/>
      <c r="N5" s="109"/>
    </row>
    <row r="6" spans="1:14">
      <c r="A6" s="87" t="s">
        <v>76</v>
      </c>
      <c r="B6" s="110"/>
      <c r="C6" s="111"/>
      <c r="D6" s="107" t="s">
        <v>615</v>
      </c>
      <c r="E6" s="108"/>
      <c r="F6" s="108"/>
      <c r="G6" s="108"/>
      <c r="H6" s="108"/>
      <c r="I6" s="108"/>
      <c r="J6" s="108"/>
      <c r="K6" s="108"/>
      <c r="L6" s="108"/>
      <c r="M6" s="108"/>
      <c r="N6" s="109"/>
    </row>
    <row r="7" spans="1:14" ht="15" customHeight="1">
      <c r="A7" s="87" t="s">
        <v>78</v>
      </c>
      <c r="B7" s="110"/>
      <c r="C7" s="111"/>
      <c r="D7" s="107" t="s">
        <v>79</v>
      </c>
      <c r="E7" s="108"/>
      <c r="F7" s="108"/>
      <c r="G7" s="108"/>
      <c r="H7" s="108"/>
      <c r="I7" s="108"/>
      <c r="J7" s="108"/>
      <c r="K7" s="108"/>
      <c r="L7" s="108"/>
      <c r="M7" s="108"/>
      <c r="N7" s="109"/>
    </row>
    <row r="8" spans="1:14" ht="15" customHeight="1">
      <c r="A8" s="87" t="s">
        <v>151</v>
      </c>
      <c r="B8" s="110"/>
      <c r="C8" s="111"/>
      <c r="D8" s="107" t="s">
        <v>616</v>
      </c>
      <c r="E8" s="108"/>
      <c r="F8" s="108"/>
      <c r="G8" s="108"/>
      <c r="H8" s="108"/>
      <c r="I8" s="108"/>
      <c r="J8" s="108"/>
      <c r="K8" s="108"/>
      <c r="L8" s="108"/>
      <c r="M8" s="108"/>
      <c r="N8" s="109"/>
    </row>
    <row r="9" spans="1:14" ht="15" customHeight="1">
      <c r="A9" s="87" t="s">
        <v>82</v>
      </c>
      <c r="B9" s="110"/>
      <c r="C9" s="111"/>
      <c r="D9" s="107" t="s">
        <v>617</v>
      </c>
      <c r="E9" s="108"/>
      <c r="F9" s="108"/>
      <c r="G9" s="108"/>
      <c r="H9" s="108"/>
      <c r="I9" s="108"/>
      <c r="J9" s="108"/>
      <c r="K9" s="108"/>
      <c r="L9" s="108"/>
      <c r="M9" s="108"/>
      <c r="N9" s="109"/>
    </row>
    <row r="10" spans="1:14" ht="15" customHeight="1">
      <c r="A10" s="87" t="s">
        <v>84</v>
      </c>
      <c r="B10" s="110"/>
      <c r="C10" s="111"/>
      <c r="D10" s="112" t="s">
        <v>618</v>
      </c>
      <c r="E10" s="108"/>
      <c r="F10" s="108"/>
      <c r="G10" s="108"/>
      <c r="H10" s="108"/>
      <c r="I10" s="108"/>
      <c r="J10" s="108"/>
      <c r="K10" s="108"/>
      <c r="L10" s="108"/>
      <c r="M10" s="108"/>
      <c r="N10" s="109"/>
    </row>
    <row r="11" spans="1:14" ht="15" customHeight="1">
      <c r="A11" s="86" t="s">
        <v>86</v>
      </c>
      <c r="B11" s="111"/>
      <c r="C11" s="88" t="s">
        <v>87</v>
      </c>
      <c r="D11" s="111"/>
      <c r="E11" s="89" t="s">
        <v>88</v>
      </c>
      <c r="F11" s="113"/>
      <c r="G11" s="89" t="s">
        <v>89</v>
      </c>
      <c r="H11" s="113"/>
      <c r="I11" s="89" t="s">
        <v>90</v>
      </c>
      <c r="J11" s="113"/>
      <c r="K11" s="89" t="s">
        <v>91</v>
      </c>
      <c r="L11" s="113"/>
      <c r="M11" s="47" t="s">
        <v>92</v>
      </c>
      <c r="N11" s="47" t="s">
        <v>93</v>
      </c>
    </row>
    <row r="12" spans="1:14" ht="87" customHeight="1">
      <c r="A12" s="114" t="s">
        <v>453</v>
      </c>
      <c r="B12" s="111"/>
      <c r="C12" s="115" t="s">
        <v>619</v>
      </c>
      <c r="D12" s="111"/>
      <c r="E12" s="116" t="s">
        <v>129</v>
      </c>
      <c r="F12" s="111"/>
      <c r="G12" s="116" t="s">
        <v>97</v>
      </c>
      <c r="H12" s="111"/>
      <c r="I12" s="115" t="s">
        <v>620</v>
      </c>
      <c r="J12" s="111"/>
      <c r="K12" s="115" t="s">
        <v>621</v>
      </c>
      <c r="L12" s="111"/>
      <c r="M12" s="117"/>
      <c r="N12" s="117" t="s">
        <v>622</v>
      </c>
    </row>
    <row r="13" spans="1:14">
      <c r="A13" s="105"/>
      <c r="B13" s="105"/>
      <c r="C13" s="105"/>
      <c r="D13" s="105"/>
      <c r="E13" s="105"/>
      <c r="F13" s="105"/>
      <c r="G13" s="105"/>
      <c r="H13" s="105"/>
      <c r="I13" s="105"/>
      <c r="J13" s="105"/>
      <c r="K13" s="105"/>
      <c r="L13" s="105"/>
      <c r="M13" s="105"/>
      <c r="N13" s="105"/>
    </row>
    <row r="14" spans="1:14">
      <c r="A14" s="85" t="s">
        <v>72</v>
      </c>
      <c r="B14" s="106"/>
      <c r="C14" s="106"/>
      <c r="D14" s="107" t="s">
        <v>13</v>
      </c>
      <c r="E14" s="108"/>
      <c r="F14" s="108"/>
      <c r="G14" s="108"/>
      <c r="H14" s="108"/>
      <c r="I14" s="108"/>
      <c r="J14" s="108"/>
      <c r="K14" s="108"/>
      <c r="L14" s="108"/>
      <c r="M14" s="108"/>
      <c r="N14" s="109"/>
    </row>
    <row r="15" spans="1:14">
      <c r="A15" s="85" t="s">
        <v>73</v>
      </c>
      <c r="B15" s="106"/>
      <c r="C15" s="106"/>
      <c r="D15" s="107" t="s">
        <v>66</v>
      </c>
      <c r="E15" s="108"/>
      <c r="F15" s="108"/>
      <c r="G15" s="108"/>
      <c r="H15" s="108"/>
      <c r="I15" s="108"/>
      <c r="J15" s="108"/>
      <c r="K15" s="108"/>
      <c r="L15" s="108"/>
      <c r="M15" s="108"/>
      <c r="N15" s="109"/>
    </row>
    <row r="16" spans="1:14">
      <c r="A16" s="87" t="s">
        <v>74</v>
      </c>
      <c r="B16" s="110"/>
      <c r="C16" s="111"/>
      <c r="D16" s="107" t="s">
        <v>623</v>
      </c>
      <c r="E16" s="108"/>
      <c r="F16" s="108"/>
      <c r="G16" s="108"/>
      <c r="H16" s="108"/>
      <c r="I16" s="108"/>
      <c r="J16" s="108"/>
      <c r="K16" s="108"/>
      <c r="L16" s="108"/>
      <c r="M16" s="108"/>
      <c r="N16" s="109"/>
    </row>
    <row r="17" spans="1:14">
      <c r="A17" s="87" t="s">
        <v>76</v>
      </c>
      <c r="B17" s="110"/>
      <c r="C17" s="111"/>
      <c r="D17" s="107" t="s">
        <v>624</v>
      </c>
      <c r="E17" s="108"/>
      <c r="F17" s="108"/>
      <c r="G17" s="108"/>
      <c r="H17" s="108"/>
      <c r="I17" s="108"/>
      <c r="J17" s="108"/>
      <c r="K17" s="108"/>
      <c r="L17" s="108"/>
      <c r="M17" s="108"/>
      <c r="N17" s="109"/>
    </row>
    <row r="18" spans="1:14">
      <c r="A18" s="87" t="s">
        <v>78</v>
      </c>
      <c r="B18" s="110"/>
      <c r="C18" s="111"/>
      <c r="D18" s="107" t="s">
        <v>103</v>
      </c>
      <c r="E18" s="108"/>
      <c r="F18" s="108"/>
      <c r="G18" s="108"/>
      <c r="H18" s="108"/>
      <c r="I18" s="108"/>
      <c r="J18" s="108"/>
      <c r="K18" s="108"/>
      <c r="L18" s="108"/>
      <c r="M18" s="108"/>
      <c r="N18" s="109"/>
    </row>
    <row r="19" spans="1:14">
      <c r="A19" s="87" t="s">
        <v>80</v>
      </c>
      <c r="B19" s="110"/>
      <c r="C19" s="111"/>
      <c r="D19" s="107" t="s">
        <v>625</v>
      </c>
      <c r="E19" s="108"/>
      <c r="F19" s="108"/>
      <c r="G19" s="108"/>
      <c r="H19" s="108"/>
      <c r="I19" s="108"/>
      <c r="J19" s="108"/>
      <c r="K19" s="108"/>
      <c r="L19" s="108"/>
      <c r="M19" s="108"/>
      <c r="N19" s="109"/>
    </row>
    <row r="20" spans="1:14">
      <c r="A20" s="87" t="s">
        <v>82</v>
      </c>
      <c r="B20" s="110"/>
      <c r="C20" s="111"/>
      <c r="D20" s="107" t="s">
        <v>626</v>
      </c>
      <c r="E20" s="108"/>
      <c r="F20" s="108"/>
      <c r="G20" s="108"/>
      <c r="H20" s="108"/>
      <c r="I20" s="108"/>
      <c r="J20" s="108"/>
      <c r="K20" s="108"/>
      <c r="L20" s="108"/>
      <c r="M20" s="108"/>
      <c r="N20" s="109"/>
    </row>
    <row r="21" spans="1:14" ht="15" customHeight="1">
      <c r="A21" s="87" t="s">
        <v>84</v>
      </c>
      <c r="B21" s="110"/>
      <c r="C21" s="111"/>
      <c r="D21" s="112" t="s">
        <v>627</v>
      </c>
      <c r="E21" s="108"/>
      <c r="F21" s="108"/>
      <c r="G21" s="108"/>
      <c r="H21" s="108"/>
      <c r="I21" s="108"/>
      <c r="J21" s="108"/>
      <c r="K21" s="108"/>
      <c r="L21" s="108"/>
      <c r="M21" s="108"/>
      <c r="N21" s="109"/>
    </row>
    <row r="22" spans="1:14">
      <c r="A22" s="86" t="s">
        <v>86</v>
      </c>
      <c r="B22" s="111"/>
      <c r="C22" s="88" t="s">
        <v>87</v>
      </c>
      <c r="D22" s="111"/>
      <c r="E22" s="88" t="s">
        <v>88</v>
      </c>
      <c r="F22" s="111"/>
      <c r="G22" s="88" t="s">
        <v>89</v>
      </c>
      <c r="H22" s="111"/>
      <c r="I22" s="88" t="s">
        <v>90</v>
      </c>
      <c r="J22" s="111"/>
      <c r="K22" s="88" t="s">
        <v>91</v>
      </c>
      <c r="L22" s="111"/>
      <c r="M22" s="49" t="s">
        <v>92</v>
      </c>
      <c r="N22" s="47" t="s">
        <v>93</v>
      </c>
    </row>
    <row r="23" spans="1:14" ht="60" customHeight="1">
      <c r="A23" s="114" t="s">
        <v>628</v>
      </c>
      <c r="B23" s="111"/>
      <c r="C23" s="115" t="s">
        <v>629</v>
      </c>
      <c r="D23" s="111"/>
      <c r="E23" s="116" t="s">
        <v>129</v>
      </c>
      <c r="F23" s="111"/>
      <c r="G23" s="116" t="s">
        <v>97</v>
      </c>
      <c r="H23" s="111"/>
      <c r="I23" s="115" t="s">
        <v>630</v>
      </c>
      <c r="J23" s="111"/>
      <c r="K23" s="133" t="s">
        <v>631</v>
      </c>
      <c r="L23" s="111"/>
      <c r="M23" s="117"/>
      <c r="N23" s="117" t="s">
        <v>632</v>
      </c>
    </row>
    <row r="24" spans="1:14">
      <c r="A24" s="105"/>
      <c r="B24" s="105"/>
      <c r="C24" s="105"/>
      <c r="D24" s="105"/>
      <c r="E24" s="105"/>
      <c r="F24" s="105"/>
      <c r="G24" s="105"/>
      <c r="H24" s="105"/>
      <c r="I24" s="105"/>
      <c r="J24" s="105"/>
      <c r="K24" s="105"/>
      <c r="L24" s="105"/>
      <c r="M24" s="105"/>
      <c r="N24" s="105"/>
    </row>
    <row r="25" spans="1:14" ht="18" customHeight="1">
      <c r="A25" s="85" t="s">
        <v>72</v>
      </c>
      <c r="B25" s="106"/>
      <c r="C25" s="106"/>
      <c r="D25" s="107" t="s">
        <v>13</v>
      </c>
      <c r="E25" s="108"/>
      <c r="F25" s="108"/>
      <c r="G25" s="108"/>
      <c r="H25" s="108"/>
      <c r="I25" s="108"/>
      <c r="J25" s="108"/>
      <c r="K25" s="108"/>
      <c r="L25" s="108"/>
      <c r="M25" s="108"/>
      <c r="N25" s="109"/>
    </row>
    <row r="26" spans="1:14">
      <c r="A26" s="85" t="s">
        <v>73</v>
      </c>
      <c r="B26" s="106"/>
      <c r="C26" s="106"/>
      <c r="D26" s="107" t="s">
        <v>67</v>
      </c>
      <c r="E26" s="108"/>
      <c r="F26" s="108"/>
      <c r="G26" s="108"/>
      <c r="H26" s="108"/>
      <c r="I26" s="108"/>
      <c r="J26" s="108"/>
      <c r="K26" s="108"/>
      <c r="L26" s="108"/>
      <c r="M26" s="108"/>
      <c r="N26" s="109"/>
    </row>
    <row r="27" spans="1:14">
      <c r="A27" s="87" t="s">
        <v>74</v>
      </c>
      <c r="B27" s="110"/>
      <c r="C27" s="111"/>
      <c r="D27" s="107" t="s">
        <v>633</v>
      </c>
      <c r="E27" s="108"/>
      <c r="F27" s="108"/>
      <c r="G27" s="108"/>
      <c r="H27" s="108"/>
      <c r="I27" s="108"/>
      <c r="J27" s="108"/>
      <c r="K27" s="108"/>
      <c r="L27" s="108"/>
      <c r="M27" s="108"/>
      <c r="N27" s="109"/>
    </row>
    <row r="28" spans="1:14">
      <c r="A28" s="87" t="s">
        <v>76</v>
      </c>
      <c r="B28" s="110"/>
      <c r="C28" s="111"/>
      <c r="D28" s="107" t="s">
        <v>634</v>
      </c>
      <c r="E28" s="108"/>
      <c r="F28" s="108"/>
      <c r="G28" s="108"/>
      <c r="H28" s="108"/>
      <c r="I28" s="108"/>
      <c r="J28" s="108"/>
      <c r="K28" s="108"/>
      <c r="L28" s="108"/>
      <c r="M28" s="108"/>
      <c r="N28" s="109"/>
    </row>
    <row r="29" spans="1:14">
      <c r="A29" s="87" t="s">
        <v>78</v>
      </c>
      <c r="B29" s="110"/>
      <c r="C29" s="111"/>
      <c r="D29" s="107" t="s">
        <v>79</v>
      </c>
      <c r="E29" s="108"/>
      <c r="F29" s="108"/>
      <c r="G29" s="108"/>
      <c r="H29" s="108"/>
      <c r="I29" s="108"/>
      <c r="J29" s="108"/>
      <c r="K29" s="108"/>
      <c r="L29" s="108"/>
      <c r="M29" s="108"/>
      <c r="N29" s="109"/>
    </row>
    <row r="30" spans="1:14">
      <c r="A30" s="87" t="s">
        <v>151</v>
      </c>
      <c r="B30" s="110"/>
      <c r="C30" s="111"/>
      <c r="D30" s="107" t="s">
        <v>635</v>
      </c>
      <c r="E30" s="108"/>
      <c r="F30" s="108"/>
      <c r="G30" s="108"/>
      <c r="H30" s="108"/>
      <c r="I30" s="108"/>
      <c r="J30" s="108"/>
      <c r="K30" s="108"/>
      <c r="L30" s="108"/>
      <c r="M30" s="108"/>
      <c r="N30" s="109"/>
    </row>
    <row r="31" spans="1:14" ht="41.25" customHeight="1">
      <c r="A31" s="87" t="s">
        <v>82</v>
      </c>
      <c r="B31" s="110"/>
      <c r="C31" s="111"/>
      <c r="D31" s="112" t="s">
        <v>636</v>
      </c>
      <c r="E31" s="108"/>
      <c r="F31" s="108"/>
      <c r="G31" s="108"/>
      <c r="H31" s="108"/>
      <c r="I31" s="108"/>
      <c r="J31" s="108"/>
      <c r="K31" s="108"/>
      <c r="L31" s="108"/>
      <c r="M31" s="108"/>
      <c r="N31" s="109"/>
    </row>
    <row r="32" spans="1:14">
      <c r="A32" s="87" t="s">
        <v>84</v>
      </c>
      <c r="B32" s="110"/>
      <c r="C32" s="111"/>
      <c r="D32" s="112" t="s">
        <v>637</v>
      </c>
      <c r="E32" s="108"/>
      <c r="F32" s="108"/>
      <c r="G32" s="108"/>
      <c r="H32" s="108"/>
      <c r="I32" s="108"/>
      <c r="J32" s="108"/>
      <c r="K32" s="108"/>
      <c r="L32" s="108"/>
      <c r="M32" s="108"/>
      <c r="N32" s="109"/>
    </row>
    <row r="33" spans="1:14" ht="20.25" customHeight="1">
      <c r="A33" s="86" t="s">
        <v>86</v>
      </c>
      <c r="B33" s="111"/>
      <c r="C33" s="88" t="s">
        <v>87</v>
      </c>
      <c r="D33" s="111"/>
      <c r="E33" s="89" t="s">
        <v>88</v>
      </c>
      <c r="F33" s="113"/>
      <c r="G33" s="89" t="s">
        <v>89</v>
      </c>
      <c r="H33" s="113"/>
      <c r="I33" s="89" t="s">
        <v>90</v>
      </c>
      <c r="J33" s="113"/>
      <c r="K33" s="89" t="s">
        <v>91</v>
      </c>
      <c r="L33" s="113"/>
      <c r="M33" s="47" t="s">
        <v>92</v>
      </c>
      <c r="N33" s="47" t="s">
        <v>93</v>
      </c>
    </row>
    <row r="34" spans="1:14" ht="90" customHeight="1">
      <c r="A34" s="114" t="s">
        <v>453</v>
      </c>
      <c r="B34" s="111"/>
      <c r="C34" s="115" t="s">
        <v>638</v>
      </c>
      <c r="D34" s="111"/>
      <c r="E34" s="116" t="s">
        <v>129</v>
      </c>
      <c r="F34" s="111"/>
      <c r="G34" s="116" t="s">
        <v>97</v>
      </c>
      <c r="H34" s="111"/>
      <c r="I34" s="115" t="s">
        <v>639</v>
      </c>
      <c r="J34" s="111"/>
      <c r="K34" s="115" t="s">
        <v>640</v>
      </c>
      <c r="L34" s="111"/>
      <c r="M34" s="117"/>
      <c r="N34" s="117" t="s">
        <v>622</v>
      </c>
    </row>
    <row r="35" spans="1:14">
      <c r="A35" s="105"/>
      <c r="B35" s="105"/>
      <c r="C35" s="105"/>
      <c r="D35" s="105"/>
      <c r="E35" s="105"/>
      <c r="F35" s="105"/>
      <c r="G35" s="105"/>
      <c r="H35" s="105"/>
      <c r="I35" s="105"/>
      <c r="J35" s="105"/>
      <c r="K35" s="105"/>
      <c r="L35" s="105"/>
      <c r="M35" s="105"/>
      <c r="N35" s="105"/>
    </row>
    <row r="36" spans="1:14">
      <c r="A36" s="85" t="s">
        <v>72</v>
      </c>
      <c r="B36" s="106"/>
      <c r="C36" s="106"/>
      <c r="D36" s="107" t="s">
        <v>13</v>
      </c>
      <c r="E36" s="108"/>
      <c r="F36" s="108"/>
      <c r="G36" s="108"/>
      <c r="H36" s="108"/>
      <c r="I36" s="108"/>
      <c r="J36" s="108"/>
      <c r="K36" s="108"/>
      <c r="L36" s="108"/>
      <c r="M36" s="108"/>
      <c r="N36" s="109"/>
    </row>
    <row r="37" spans="1:14">
      <c r="A37" s="85" t="s">
        <v>73</v>
      </c>
      <c r="B37" s="106"/>
      <c r="C37" s="106"/>
      <c r="D37" s="107" t="s">
        <v>67</v>
      </c>
      <c r="E37" s="108"/>
      <c r="F37" s="108"/>
      <c r="G37" s="108"/>
      <c r="H37" s="108"/>
      <c r="I37" s="108"/>
      <c r="J37" s="108"/>
      <c r="K37" s="108"/>
      <c r="L37" s="108"/>
      <c r="M37" s="108"/>
      <c r="N37" s="109"/>
    </row>
    <row r="38" spans="1:14">
      <c r="A38" s="87" t="s">
        <v>74</v>
      </c>
      <c r="B38" s="110"/>
      <c r="C38" s="111"/>
      <c r="D38" s="107" t="s">
        <v>641</v>
      </c>
      <c r="E38" s="108"/>
      <c r="F38" s="108"/>
      <c r="G38" s="108"/>
      <c r="H38" s="108"/>
      <c r="I38" s="108"/>
      <c r="J38" s="108"/>
      <c r="K38" s="108"/>
      <c r="L38" s="108"/>
      <c r="M38" s="108"/>
      <c r="N38" s="109"/>
    </row>
    <row r="39" spans="1:14">
      <c r="A39" s="87" t="s">
        <v>76</v>
      </c>
      <c r="B39" s="110"/>
      <c r="C39" s="111"/>
      <c r="D39" s="107" t="s">
        <v>642</v>
      </c>
      <c r="E39" s="108"/>
      <c r="F39" s="108"/>
      <c r="G39" s="108"/>
      <c r="H39" s="108"/>
      <c r="I39" s="108"/>
      <c r="J39" s="108"/>
      <c r="K39" s="108"/>
      <c r="L39" s="108"/>
      <c r="M39" s="108"/>
      <c r="N39" s="109"/>
    </row>
    <row r="40" spans="1:14">
      <c r="A40" s="87" t="s">
        <v>78</v>
      </c>
      <c r="B40" s="110"/>
      <c r="C40" s="111"/>
      <c r="D40" s="107" t="s">
        <v>103</v>
      </c>
      <c r="E40" s="108"/>
      <c r="F40" s="108"/>
      <c r="G40" s="108"/>
      <c r="H40" s="108"/>
      <c r="I40" s="108"/>
      <c r="J40" s="108"/>
      <c r="K40" s="108"/>
      <c r="L40" s="108"/>
      <c r="M40" s="108"/>
      <c r="N40" s="109"/>
    </row>
    <row r="41" spans="1:14" ht="18" customHeight="1">
      <c r="A41" s="87" t="s">
        <v>80</v>
      </c>
      <c r="B41" s="110"/>
      <c r="C41" s="111"/>
      <c r="D41" s="107" t="s">
        <v>643</v>
      </c>
      <c r="E41" s="108"/>
      <c r="F41" s="108"/>
      <c r="G41" s="108"/>
      <c r="H41" s="108"/>
      <c r="I41" s="108"/>
      <c r="J41" s="108"/>
      <c r="K41" s="108"/>
      <c r="L41" s="108"/>
      <c r="M41" s="108"/>
      <c r="N41" s="109"/>
    </row>
    <row r="42" spans="1:14" ht="51" customHeight="1">
      <c r="A42" s="87" t="s">
        <v>82</v>
      </c>
      <c r="B42" s="110"/>
      <c r="C42" s="111"/>
      <c r="D42" s="112" t="s">
        <v>644</v>
      </c>
      <c r="E42" s="108"/>
      <c r="F42" s="108"/>
      <c r="G42" s="108"/>
      <c r="H42" s="108"/>
      <c r="I42" s="108"/>
      <c r="J42" s="108"/>
      <c r="K42" s="108"/>
      <c r="L42" s="108"/>
      <c r="M42" s="108"/>
      <c r="N42" s="109"/>
    </row>
    <row r="43" spans="1:14" ht="31.5" customHeight="1">
      <c r="A43" s="87" t="s">
        <v>84</v>
      </c>
      <c r="B43" s="110"/>
      <c r="C43" s="111"/>
      <c r="D43" s="107" t="s">
        <v>645</v>
      </c>
      <c r="E43" s="108"/>
      <c r="F43" s="108"/>
      <c r="G43" s="108"/>
      <c r="H43" s="108"/>
      <c r="I43" s="108"/>
      <c r="J43" s="108"/>
      <c r="K43" s="108"/>
      <c r="L43" s="108"/>
      <c r="M43" s="108"/>
      <c r="N43" s="109"/>
    </row>
    <row r="44" spans="1:14">
      <c r="A44" s="86" t="s">
        <v>86</v>
      </c>
      <c r="B44" s="111"/>
      <c r="C44" s="88" t="s">
        <v>87</v>
      </c>
      <c r="D44" s="111"/>
      <c r="E44" s="88" t="s">
        <v>88</v>
      </c>
      <c r="F44" s="111"/>
      <c r="G44" s="88" t="s">
        <v>89</v>
      </c>
      <c r="H44" s="111"/>
      <c r="I44" s="88" t="s">
        <v>90</v>
      </c>
      <c r="J44" s="111"/>
      <c r="K44" s="88" t="s">
        <v>91</v>
      </c>
      <c r="L44" s="111"/>
      <c r="M44" s="49" t="s">
        <v>92</v>
      </c>
      <c r="N44" s="47" t="s">
        <v>93</v>
      </c>
    </row>
    <row r="45" spans="1:14" ht="84" customHeight="1">
      <c r="A45" s="114" t="s">
        <v>646</v>
      </c>
      <c r="B45" s="111"/>
      <c r="C45" s="115" t="s">
        <v>647</v>
      </c>
      <c r="D45" s="111"/>
      <c r="E45" s="116" t="s">
        <v>129</v>
      </c>
      <c r="F45" s="111"/>
      <c r="G45" s="116" t="s">
        <v>97</v>
      </c>
      <c r="H45" s="111"/>
      <c r="I45" s="115" t="s">
        <v>648</v>
      </c>
      <c r="J45" s="111"/>
      <c r="K45" s="133" t="s">
        <v>649</v>
      </c>
      <c r="L45" s="111"/>
      <c r="M45" s="117"/>
      <c r="N45" s="117" t="s">
        <v>632</v>
      </c>
    </row>
    <row r="46" spans="1:14">
      <c r="A46" s="105"/>
      <c r="B46" s="105"/>
      <c r="C46" s="105"/>
      <c r="D46" s="105"/>
      <c r="E46" s="105"/>
      <c r="F46" s="105"/>
      <c r="G46" s="105"/>
      <c r="H46" s="105"/>
      <c r="I46" s="105"/>
      <c r="J46" s="105"/>
      <c r="K46" s="105"/>
      <c r="L46" s="105"/>
      <c r="M46" s="105"/>
      <c r="N46" s="105"/>
    </row>
    <row r="47" spans="1:14">
      <c r="A47" s="85" t="s">
        <v>72</v>
      </c>
      <c r="B47" s="106"/>
      <c r="C47" s="106"/>
      <c r="D47" s="107" t="s">
        <v>13</v>
      </c>
      <c r="E47" s="108"/>
      <c r="F47" s="108"/>
      <c r="G47" s="108"/>
      <c r="H47" s="108"/>
      <c r="I47" s="108"/>
      <c r="J47" s="108"/>
      <c r="K47" s="108"/>
      <c r="L47" s="108"/>
      <c r="M47" s="108"/>
      <c r="N47" s="109"/>
    </row>
    <row r="48" spans="1:14">
      <c r="A48" s="85" t="s">
        <v>73</v>
      </c>
      <c r="B48" s="106"/>
      <c r="C48" s="106"/>
      <c r="D48" s="107" t="s">
        <v>68</v>
      </c>
      <c r="E48" s="108"/>
      <c r="F48" s="108"/>
      <c r="G48" s="108"/>
      <c r="H48" s="108"/>
      <c r="I48" s="108"/>
      <c r="J48" s="108"/>
      <c r="K48" s="108"/>
      <c r="L48" s="108"/>
      <c r="M48" s="108"/>
      <c r="N48" s="109"/>
    </row>
    <row r="49" spans="1:14" ht="27.75" customHeight="1">
      <c r="A49" s="87" t="s">
        <v>74</v>
      </c>
      <c r="B49" s="110"/>
      <c r="C49" s="111"/>
      <c r="D49" s="107" t="s">
        <v>650</v>
      </c>
      <c r="E49" s="108"/>
      <c r="F49" s="108"/>
      <c r="G49" s="108"/>
      <c r="H49" s="108"/>
      <c r="I49" s="108"/>
      <c r="J49" s="108"/>
      <c r="K49" s="108"/>
      <c r="L49" s="108"/>
      <c r="M49" s="108"/>
      <c r="N49" s="109"/>
    </row>
    <row r="50" spans="1:14">
      <c r="A50" s="87" t="s">
        <v>76</v>
      </c>
      <c r="B50" s="110"/>
      <c r="C50" s="111"/>
      <c r="D50" s="107" t="s">
        <v>651</v>
      </c>
      <c r="E50" s="108"/>
      <c r="F50" s="108"/>
      <c r="G50" s="108"/>
      <c r="H50" s="108"/>
      <c r="I50" s="108"/>
      <c r="J50" s="108"/>
      <c r="K50" s="108"/>
      <c r="L50" s="108"/>
      <c r="M50" s="108"/>
      <c r="N50" s="109"/>
    </row>
    <row r="51" spans="1:14">
      <c r="A51" s="87" t="s">
        <v>78</v>
      </c>
      <c r="B51" s="110"/>
      <c r="C51" s="111"/>
      <c r="D51" s="107" t="s">
        <v>79</v>
      </c>
      <c r="E51" s="108"/>
      <c r="F51" s="108"/>
      <c r="G51" s="108"/>
      <c r="H51" s="108"/>
      <c r="I51" s="108"/>
      <c r="J51" s="108"/>
      <c r="K51" s="108"/>
      <c r="L51" s="108"/>
      <c r="M51" s="108"/>
      <c r="N51" s="109"/>
    </row>
    <row r="52" spans="1:14">
      <c r="A52" s="87" t="s">
        <v>151</v>
      </c>
      <c r="B52" s="110"/>
      <c r="C52" s="111"/>
      <c r="D52" s="107" t="s">
        <v>652</v>
      </c>
      <c r="E52" s="108"/>
      <c r="F52" s="108"/>
      <c r="G52" s="108"/>
      <c r="H52" s="108"/>
      <c r="I52" s="108"/>
      <c r="J52" s="108"/>
      <c r="K52" s="108"/>
      <c r="L52" s="108"/>
      <c r="M52" s="108"/>
      <c r="N52" s="109"/>
    </row>
    <row r="53" spans="1:14" ht="33" customHeight="1">
      <c r="A53" s="87" t="s">
        <v>82</v>
      </c>
      <c r="B53" s="110"/>
      <c r="C53" s="111"/>
      <c r="D53" s="112" t="s">
        <v>653</v>
      </c>
      <c r="E53" s="108"/>
      <c r="F53" s="108"/>
      <c r="G53" s="108"/>
      <c r="H53" s="108"/>
      <c r="I53" s="108"/>
      <c r="J53" s="108"/>
      <c r="K53" s="108"/>
      <c r="L53" s="108"/>
      <c r="M53" s="108"/>
      <c r="N53" s="109"/>
    </row>
    <row r="54" spans="1:14" ht="15" customHeight="1">
      <c r="A54" s="87" t="s">
        <v>84</v>
      </c>
      <c r="B54" s="110"/>
      <c r="C54" s="111"/>
      <c r="D54" s="112" t="s">
        <v>654</v>
      </c>
      <c r="E54" s="108"/>
      <c r="F54" s="108"/>
      <c r="G54" s="108"/>
      <c r="H54" s="108"/>
      <c r="I54" s="108"/>
      <c r="J54" s="108"/>
      <c r="K54" s="108"/>
      <c r="L54" s="108"/>
      <c r="M54" s="108"/>
      <c r="N54" s="109"/>
    </row>
    <row r="55" spans="1:14" ht="15" customHeight="1">
      <c r="A55" s="86" t="s">
        <v>86</v>
      </c>
      <c r="B55" s="111"/>
      <c r="C55" s="88" t="s">
        <v>87</v>
      </c>
      <c r="D55" s="111"/>
      <c r="E55" s="89" t="s">
        <v>88</v>
      </c>
      <c r="F55" s="113"/>
      <c r="G55" s="89" t="s">
        <v>89</v>
      </c>
      <c r="H55" s="113"/>
      <c r="I55" s="89" t="s">
        <v>90</v>
      </c>
      <c r="J55" s="113"/>
      <c r="K55" s="89" t="s">
        <v>91</v>
      </c>
      <c r="L55" s="113"/>
      <c r="M55" s="47" t="s">
        <v>92</v>
      </c>
      <c r="N55" s="47" t="s">
        <v>93</v>
      </c>
    </row>
    <row r="56" spans="1:14" ht="69" customHeight="1">
      <c r="A56" s="114" t="s">
        <v>453</v>
      </c>
      <c r="B56" s="111"/>
      <c r="C56" s="115" t="s">
        <v>655</v>
      </c>
      <c r="D56" s="111"/>
      <c r="E56" s="116" t="s">
        <v>129</v>
      </c>
      <c r="F56" s="111"/>
      <c r="G56" s="116" t="s">
        <v>97</v>
      </c>
      <c r="H56" s="111"/>
      <c r="I56" s="115" t="s">
        <v>656</v>
      </c>
      <c r="J56" s="111"/>
      <c r="K56" s="115" t="s">
        <v>657</v>
      </c>
      <c r="L56" s="111"/>
      <c r="M56" s="117"/>
      <c r="N56" s="117" t="s">
        <v>622</v>
      </c>
    </row>
    <row r="57" spans="1:14" ht="15" customHeight="1">
      <c r="A57" s="105"/>
      <c r="B57" s="105"/>
      <c r="C57" s="105"/>
      <c r="D57" s="105"/>
      <c r="E57" s="105"/>
      <c r="F57" s="105"/>
      <c r="G57" s="105"/>
      <c r="H57" s="105"/>
      <c r="I57" s="105"/>
      <c r="J57" s="105"/>
      <c r="K57" s="105"/>
      <c r="L57" s="105"/>
      <c r="M57" s="105"/>
      <c r="N57" s="105"/>
    </row>
    <row r="58" spans="1:14">
      <c r="A58" s="85" t="s">
        <v>72</v>
      </c>
      <c r="B58" s="106"/>
      <c r="C58" s="106"/>
      <c r="D58" s="107" t="s">
        <v>13</v>
      </c>
      <c r="E58" s="108"/>
      <c r="F58" s="108"/>
      <c r="G58" s="108"/>
      <c r="H58" s="108"/>
      <c r="I58" s="108"/>
      <c r="J58" s="108"/>
      <c r="K58" s="108"/>
      <c r="L58" s="108"/>
      <c r="M58" s="108"/>
      <c r="N58" s="109"/>
    </row>
    <row r="59" spans="1:14">
      <c r="A59" s="85" t="s">
        <v>73</v>
      </c>
      <c r="B59" s="106"/>
      <c r="C59" s="106"/>
      <c r="D59" s="107" t="s">
        <v>68</v>
      </c>
      <c r="E59" s="108"/>
      <c r="F59" s="108"/>
      <c r="G59" s="108"/>
      <c r="H59" s="108"/>
      <c r="I59" s="108"/>
      <c r="J59" s="108"/>
      <c r="K59" s="108"/>
      <c r="L59" s="108"/>
      <c r="M59" s="108"/>
      <c r="N59" s="109"/>
    </row>
    <row r="60" spans="1:14">
      <c r="A60" s="87" t="s">
        <v>74</v>
      </c>
      <c r="B60" s="110"/>
      <c r="C60" s="111"/>
      <c r="D60" s="107" t="s">
        <v>658</v>
      </c>
      <c r="E60" s="108"/>
      <c r="F60" s="108"/>
      <c r="G60" s="108"/>
      <c r="H60" s="108"/>
      <c r="I60" s="108"/>
      <c r="J60" s="108"/>
      <c r="K60" s="108"/>
      <c r="L60" s="108"/>
      <c r="M60" s="108"/>
      <c r="N60" s="109"/>
    </row>
    <row r="61" spans="1:14">
      <c r="A61" s="87" t="s">
        <v>76</v>
      </c>
      <c r="B61" s="110"/>
      <c r="C61" s="111"/>
      <c r="D61" s="107" t="s">
        <v>659</v>
      </c>
      <c r="E61" s="108"/>
      <c r="F61" s="108"/>
      <c r="G61" s="108"/>
      <c r="H61" s="108"/>
      <c r="I61" s="108"/>
      <c r="J61" s="108"/>
      <c r="K61" s="108"/>
      <c r="L61" s="108"/>
      <c r="M61" s="108"/>
      <c r="N61" s="109"/>
    </row>
    <row r="62" spans="1:14">
      <c r="A62" s="87" t="s">
        <v>78</v>
      </c>
      <c r="B62" s="110"/>
      <c r="C62" s="111"/>
      <c r="D62" s="107" t="s">
        <v>103</v>
      </c>
      <c r="E62" s="108"/>
      <c r="F62" s="108"/>
      <c r="G62" s="108"/>
      <c r="H62" s="108"/>
      <c r="I62" s="108"/>
      <c r="J62" s="108"/>
      <c r="K62" s="108"/>
      <c r="L62" s="108"/>
      <c r="M62" s="108"/>
      <c r="N62" s="109"/>
    </row>
    <row r="63" spans="1:14">
      <c r="A63" s="87" t="s">
        <v>80</v>
      </c>
      <c r="B63" s="110"/>
      <c r="C63" s="111"/>
      <c r="D63" s="107" t="s">
        <v>660</v>
      </c>
      <c r="E63" s="108"/>
      <c r="F63" s="108"/>
      <c r="G63" s="108"/>
      <c r="H63" s="108"/>
      <c r="I63" s="108"/>
      <c r="J63" s="108"/>
      <c r="K63" s="108"/>
      <c r="L63" s="108"/>
      <c r="M63" s="108"/>
      <c r="N63" s="109"/>
    </row>
    <row r="64" spans="1:14" ht="36" customHeight="1">
      <c r="A64" s="87" t="s">
        <v>82</v>
      </c>
      <c r="B64" s="110"/>
      <c r="C64" s="111"/>
      <c r="D64" s="112" t="s">
        <v>661</v>
      </c>
      <c r="E64" s="108"/>
      <c r="F64" s="108"/>
      <c r="G64" s="108"/>
      <c r="H64" s="108"/>
      <c r="I64" s="108"/>
      <c r="J64" s="108"/>
      <c r="K64" s="108"/>
      <c r="L64" s="108"/>
      <c r="M64" s="108"/>
      <c r="N64" s="109"/>
    </row>
    <row r="65" spans="1:14">
      <c r="A65" s="87" t="s">
        <v>84</v>
      </c>
      <c r="B65" s="110"/>
      <c r="C65" s="111"/>
      <c r="D65" s="107" t="s">
        <v>662</v>
      </c>
      <c r="E65" s="108"/>
      <c r="F65" s="108"/>
      <c r="G65" s="108"/>
      <c r="H65" s="108"/>
      <c r="I65" s="108"/>
      <c r="J65" s="108"/>
      <c r="K65" s="108"/>
      <c r="L65" s="108"/>
      <c r="M65" s="108"/>
      <c r="N65" s="109"/>
    </row>
    <row r="66" spans="1:14" ht="18.75" customHeight="1">
      <c r="A66" s="86" t="s">
        <v>86</v>
      </c>
      <c r="B66" s="111"/>
      <c r="C66" s="88" t="s">
        <v>87</v>
      </c>
      <c r="D66" s="111"/>
      <c r="E66" s="88" t="s">
        <v>88</v>
      </c>
      <c r="F66" s="111"/>
      <c r="G66" s="88" t="s">
        <v>89</v>
      </c>
      <c r="H66" s="111"/>
      <c r="I66" s="88" t="s">
        <v>90</v>
      </c>
      <c r="J66" s="111"/>
      <c r="K66" s="88" t="s">
        <v>91</v>
      </c>
      <c r="L66" s="111"/>
      <c r="M66" s="49" t="s">
        <v>92</v>
      </c>
      <c r="N66" s="47" t="s">
        <v>93</v>
      </c>
    </row>
    <row r="67" spans="1:14" ht="80.25" customHeight="1">
      <c r="A67" s="114" t="s">
        <v>453</v>
      </c>
      <c r="B67" s="111"/>
      <c r="C67" s="115" t="s">
        <v>663</v>
      </c>
      <c r="D67" s="111"/>
      <c r="E67" s="116" t="s">
        <v>129</v>
      </c>
      <c r="F67" s="111"/>
      <c r="G67" s="116" t="s">
        <v>97</v>
      </c>
      <c r="H67" s="111"/>
      <c r="I67" s="115" t="s">
        <v>664</v>
      </c>
      <c r="J67" s="111"/>
      <c r="K67" s="133" t="s">
        <v>665</v>
      </c>
      <c r="L67" s="111"/>
      <c r="M67" s="117"/>
      <c r="N67" s="117" t="s">
        <v>632</v>
      </c>
    </row>
    <row r="68" spans="1:14">
      <c r="A68" s="105"/>
      <c r="B68" s="105"/>
      <c r="C68" s="105"/>
      <c r="D68" s="105"/>
      <c r="E68" s="105"/>
      <c r="F68" s="105"/>
      <c r="G68" s="105"/>
      <c r="H68" s="105"/>
      <c r="I68" s="105"/>
      <c r="J68" s="105"/>
      <c r="K68" s="105"/>
      <c r="L68" s="105"/>
      <c r="M68" s="105"/>
      <c r="N68" s="105"/>
    </row>
    <row r="69" spans="1:14">
      <c r="A69" s="85" t="s">
        <v>72</v>
      </c>
      <c r="B69" s="106"/>
      <c r="C69" s="106"/>
      <c r="D69" s="107" t="s">
        <v>13</v>
      </c>
      <c r="E69" s="108"/>
      <c r="F69" s="108"/>
      <c r="G69" s="108"/>
      <c r="H69" s="108"/>
      <c r="I69" s="108"/>
      <c r="J69" s="108"/>
      <c r="K69" s="108"/>
      <c r="L69" s="108"/>
      <c r="M69" s="108"/>
      <c r="N69" s="109"/>
    </row>
    <row r="70" spans="1:14">
      <c r="A70" s="85" t="s">
        <v>73</v>
      </c>
      <c r="B70" s="106"/>
      <c r="C70" s="106"/>
      <c r="D70" s="107" t="s">
        <v>69</v>
      </c>
      <c r="E70" s="108"/>
      <c r="F70" s="108"/>
      <c r="G70" s="108"/>
      <c r="H70" s="108"/>
      <c r="I70" s="108"/>
      <c r="J70" s="108"/>
      <c r="K70" s="108"/>
      <c r="L70" s="108"/>
      <c r="M70" s="108"/>
      <c r="N70" s="109"/>
    </row>
    <row r="71" spans="1:14">
      <c r="A71" s="87" t="s">
        <v>74</v>
      </c>
      <c r="B71" s="110"/>
      <c r="C71" s="111"/>
      <c r="D71" s="107" t="s">
        <v>666</v>
      </c>
      <c r="E71" s="108"/>
      <c r="F71" s="108"/>
      <c r="G71" s="108"/>
      <c r="H71" s="108"/>
      <c r="I71" s="108"/>
      <c r="J71" s="108"/>
      <c r="K71" s="108"/>
      <c r="L71" s="108"/>
      <c r="M71" s="108"/>
      <c r="N71" s="109"/>
    </row>
    <row r="72" spans="1:14">
      <c r="A72" s="87" t="s">
        <v>76</v>
      </c>
      <c r="B72" s="110"/>
      <c r="C72" s="111"/>
      <c r="D72" s="107" t="s">
        <v>667</v>
      </c>
      <c r="E72" s="108"/>
      <c r="F72" s="108"/>
      <c r="G72" s="108"/>
      <c r="H72" s="108"/>
      <c r="I72" s="108"/>
      <c r="J72" s="108"/>
      <c r="K72" s="108"/>
      <c r="L72" s="108"/>
      <c r="M72" s="108"/>
      <c r="N72" s="109"/>
    </row>
    <row r="73" spans="1:14">
      <c r="A73" s="87" t="s">
        <v>78</v>
      </c>
      <c r="B73" s="110"/>
      <c r="C73" s="111"/>
      <c r="D73" s="107" t="s">
        <v>79</v>
      </c>
      <c r="E73" s="108"/>
      <c r="F73" s="108"/>
      <c r="G73" s="108"/>
      <c r="H73" s="108"/>
      <c r="I73" s="108"/>
      <c r="J73" s="108"/>
      <c r="K73" s="108"/>
      <c r="L73" s="108"/>
      <c r="M73" s="108"/>
      <c r="N73" s="109"/>
    </row>
    <row r="74" spans="1:14">
      <c r="A74" s="87" t="s">
        <v>151</v>
      </c>
      <c r="B74" s="110"/>
      <c r="C74" s="111"/>
      <c r="D74" s="107" t="s">
        <v>668</v>
      </c>
      <c r="E74" s="108"/>
      <c r="F74" s="108"/>
      <c r="G74" s="108"/>
      <c r="H74" s="108"/>
      <c r="I74" s="108"/>
      <c r="J74" s="108"/>
      <c r="K74" s="108"/>
      <c r="L74" s="108"/>
      <c r="M74" s="108"/>
      <c r="N74" s="109"/>
    </row>
    <row r="75" spans="1:14" ht="34.5" customHeight="1">
      <c r="A75" s="87" t="s">
        <v>82</v>
      </c>
      <c r="B75" s="110"/>
      <c r="C75" s="111"/>
      <c r="D75" s="112" t="s">
        <v>669</v>
      </c>
      <c r="E75" s="108"/>
      <c r="F75" s="108"/>
      <c r="G75" s="108"/>
      <c r="H75" s="108"/>
      <c r="I75" s="108"/>
      <c r="J75" s="108"/>
      <c r="K75" s="108"/>
      <c r="L75" s="108"/>
      <c r="M75" s="108"/>
      <c r="N75" s="109"/>
    </row>
    <row r="76" spans="1:14">
      <c r="A76" s="87" t="s">
        <v>84</v>
      </c>
      <c r="B76" s="110"/>
      <c r="C76" s="111"/>
      <c r="D76" s="112" t="s">
        <v>670</v>
      </c>
      <c r="E76" s="108"/>
      <c r="F76" s="108"/>
      <c r="G76" s="108"/>
      <c r="H76" s="108"/>
      <c r="I76" s="108"/>
      <c r="J76" s="108"/>
      <c r="K76" s="108"/>
      <c r="L76" s="108"/>
      <c r="M76" s="108"/>
      <c r="N76" s="109"/>
    </row>
    <row r="77" spans="1:14">
      <c r="A77" s="86" t="s">
        <v>86</v>
      </c>
      <c r="B77" s="111"/>
      <c r="C77" s="88" t="s">
        <v>87</v>
      </c>
      <c r="D77" s="111"/>
      <c r="E77" s="89" t="s">
        <v>88</v>
      </c>
      <c r="F77" s="113"/>
      <c r="G77" s="89" t="s">
        <v>89</v>
      </c>
      <c r="H77" s="113"/>
      <c r="I77" s="89" t="s">
        <v>90</v>
      </c>
      <c r="J77" s="113"/>
      <c r="K77" s="89" t="s">
        <v>91</v>
      </c>
      <c r="L77" s="113"/>
      <c r="M77" s="47" t="s">
        <v>92</v>
      </c>
      <c r="N77" s="47" t="s">
        <v>93</v>
      </c>
    </row>
    <row r="78" spans="1:14" ht="63" customHeight="1">
      <c r="A78" s="114" t="s">
        <v>453</v>
      </c>
      <c r="B78" s="111"/>
      <c r="C78" s="115" t="s">
        <v>671</v>
      </c>
      <c r="D78" s="111"/>
      <c r="E78" s="116" t="s">
        <v>129</v>
      </c>
      <c r="F78" s="111"/>
      <c r="G78" s="116" t="s">
        <v>97</v>
      </c>
      <c r="H78" s="111"/>
      <c r="I78" s="115" t="s">
        <v>672</v>
      </c>
      <c r="J78" s="111"/>
      <c r="K78" s="115" t="s">
        <v>673</v>
      </c>
      <c r="L78" s="111"/>
      <c r="M78" s="117"/>
      <c r="N78" s="117" t="s">
        <v>622</v>
      </c>
    </row>
    <row r="79" spans="1:14">
      <c r="A79" s="105"/>
      <c r="B79" s="105"/>
      <c r="C79" s="105"/>
      <c r="D79" s="105"/>
      <c r="E79" s="105"/>
      <c r="F79" s="105"/>
      <c r="G79" s="105"/>
      <c r="H79" s="105"/>
      <c r="I79" s="105"/>
      <c r="J79" s="105"/>
      <c r="K79" s="105"/>
      <c r="L79" s="105"/>
      <c r="M79" s="105"/>
      <c r="N79" s="105"/>
    </row>
    <row r="80" spans="1:14">
      <c r="A80" s="85" t="s">
        <v>72</v>
      </c>
      <c r="B80" s="106"/>
      <c r="C80" s="106"/>
      <c r="D80" s="107" t="s">
        <v>13</v>
      </c>
      <c r="E80" s="108"/>
      <c r="F80" s="108"/>
      <c r="G80" s="108"/>
      <c r="H80" s="108"/>
      <c r="I80" s="108"/>
      <c r="J80" s="108"/>
      <c r="K80" s="108"/>
      <c r="L80" s="108"/>
      <c r="M80" s="108"/>
      <c r="N80" s="109"/>
    </row>
    <row r="81" spans="1:14">
      <c r="A81" s="85" t="s">
        <v>73</v>
      </c>
      <c r="B81" s="106"/>
      <c r="C81" s="106"/>
      <c r="D81" s="107" t="s">
        <v>69</v>
      </c>
      <c r="E81" s="108"/>
      <c r="F81" s="108"/>
      <c r="G81" s="108"/>
      <c r="H81" s="108"/>
      <c r="I81" s="108"/>
      <c r="J81" s="108"/>
      <c r="K81" s="108"/>
      <c r="L81" s="108"/>
      <c r="M81" s="108"/>
      <c r="N81" s="109"/>
    </row>
    <row r="82" spans="1:14">
      <c r="A82" s="87" t="s">
        <v>74</v>
      </c>
      <c r="B82" s="110"/>
      <c r="C82" s="111"/>
      <c r="D82" s="107" t="s">
        <v>674</v>
      </c>
      <c r="E82" s="108"/>
      <c r="F82" s="108"/>
      <c r="G82" s="108"/>
      <c r="H82" s="108"/>
      <c r="I82" s="108"/>
      <c r="J82" s="108"/>
      <c r="K82" s="108"/>
      <c r="L82" s="108"/>
      <c r="M82" s="108"/>
      <c r="N82" s="109"/>
    </row>
    <row r="83" spans="1:14">
      <c r="A83" s="87" t="s">
        <v>76</v>
      </c>
      <c r="B83" s="110"/>
      <c r="C83" s="111"/>
      <c r="D83" s="107" t="s">
        <v>675</v>
      </c>
      <c r="E83" s="108"/>
      <c r="F83" s="108"/>
      <c r="G83" s="108"/>
      <c r="H83" s="108"/>
      <c r="I83" s="108"/>
      <c r="J83" s="108"/>
      <c r="K83" s="108"/>
      <c r="L83" s="108"/>
      <c r="M83" s="108"/>
      <c r="N83" s="109"/>
    </row>
    <row r="84" spans="1:14">
      <c r="A84" s="87" t="s">
        <v>78</v>
      </c>
      <c r="B84" s="110"/>
      <c r="C84" s="111"/>
      <c r="D84" s="107" t="s">
        <v>103</v>
      </c>
      <c r="E84" s="108"/>
      <c r="F84" s="108"/>
      <c r="G84" s="108"/>
      <c r="H84" s="108"/>
      <c r="I84" s="108"/>
      <c r="J84" s="108"/>
      <c r="K84" s="108"/>
      <c r="L84" s="108"/>
      <c r="M84" s="108"/>
      <c r="N84" s="109"/>
    </row>
    <row r="85" spans="1:14">
      <c r="A85" s="87" t="s">
        <v>80</v>
      </c>
      <c r="B85" s="110"/>
      <c r="C85" s="111"/>
      <c r="D85" s="107" t="s">
        <v>676</v>
      </c>
      <c r="E85" s="108"/>
      <c r="F85" s="108"/>
      <c r="G85" s="108"/>
      <c r="H85" s="108"/>
      <c r="I85" s="108"/>
      <c r="J85" s="108"/>
      <c r="K85" s="108"/>
      <c r="L85" s="108"/>
      <c r="M85" s="108"/>
      <c r="N85" s="109"/>
    </row>
    <row r="86" spans="1:14" ht="31.5" customHeight="1">
      <c r="A86" s="87" t="s">
        <v>82</v>
      </c>
      <c r="B86" s="110"/>
      <c r="C86" s="111"/>
      <c r="D86" s="112" t="s">
        <v>677</v>
      </c>
      <c r="E86" s="108"/>
      <c r="F86" s="108"/>
      <c r="G86" s="108"/>
      <c r="H86" s="108"/>
      <c r="I86" s="108"/>
      <c r="J86" s="108"/>
      <c r="K86" s="108"/>
      <c r="L86" s="108"/>
      <c r="M86" s="108"/>
      <c r="N86" s="109"/>
    </row>
    <row r="87" spans="1:14">
      <c r="A87" s="87" t="s">
        <v>84</v>
      </c>
      <c r="B87" s="110"/>
      <c r="C87" s="111"/>
      <c r="D87" s="107" t="s">
        <v>678</v>
      </c>
      <c r="E87" s="108"/>
      <c r="F87" s="108"/>
      <c r="G87" s="108"/>
      <c r="H87" s="108"/>
      <c r="I87" s="108"/>
      <c r="J87" s="108"/>
      <c r="K87" s="108"/>
      <c r="L87" s="108"/>
      <c r="M87" s="108"/>
      <c r="N87" s="109"/>
    </row>
    <row r="88" spans="1:14">
      <c r="A88" s="86" t="s">
        <v>86</v>
      </c>
      <c r="B88" s="111"/>
      <c r="C88" s="88" t="s">
        <v>87</v>
      </c>
      <c r="D88" s="111"/>
      <c r="E88" s="88" t="s">
        <v>88</v>
      </c>
      <c r="F88" s="111"/>
      <c r="G88" s="88" t="s">
        <v>89</v>
      </c>
      <c r="H88" s="111"/>
      <c r="I88" s="88" t="s">
        <v>90</v>
      </c>
      <c r="J88" s="111"/>
      <c r="K88" s="88" t="s">
        <v>91</v>
      </c>
      <c r="L88" s="111"/>
      <c r="M88" s="49" t="s">
        <v>92</v>
      </c>
      <c r="N88" s="47" t="s">
        <v>93</v>
      </c>
    </row>
    <row r="89" spans="1:14" ht="90" customHeight="1">
      <c r="A89" s="114" t="s">
        <v>453</v>
      </c>
      <c r="B89" s="111"/>
      <c r="C89" s="115" t="s">
        <v>679</v>
      </c>
      <c r="D89" s="111"/>
      <c r="E89" s="116" t="s">
        <v>129</v>
      </c>
      <c r="F89" s="111"/>
      <c r="G89" s="116" t="s">
        <v>97</v>
      </c>
      <c r="H89" s="111"/>
      <c r="I89" s="115" t="s">
        <v>680</v>
      </c>
      <c r="J89" s="111"/>
      <c r="K89" s="133" t="s">
        <v>681</v>
      </c>
      <c r="L89" s="111"/>
      <c r="M89" s="117"/>
      <c r="N89" s="117" t="s">
        <v>632</v>
      </c>
    </row>
    <row r="90" spans="1:14">
      <c r="A90" s="105"/>
      <c r="B90" s="105"/>
      <c r="C90" s="105"/>
      <c r="D90" s="105"/>
      <c r="E90" s="105"/>
      <c r="F90" s="105"/>
      <c r="G90" s="105"/>
      <c r="H90" s="105"/>
      <c r="I90" s="105"/>
      <c r="J90" s="105"/>
      <c r="K90" s="105"/>
      <c r="L90" s="105"/>
      <c r="M90" s="105"/>
      <c r="N90" s="105"/>
    </row>
    <row r="91" spans="1:14">
      <c r="A91" s="85" t="s">
        <v>72</v>
      </c>
      <c r="B91" s="106"/>
      <c r="C91" s="106"/>
      <c r="D91" s="107" t="s">
        <v>13</v>
      </c>
      <c r="E91" s="108"/>
      <c r="F91" s="108"/>
      <c r="G91" s="108"/>
      <c r="H91" s="108"/>
      <c r="I91" s="108"/>
      <c r="J91" s="108"/>
      <c r="K91" s="108"/>
      <c r="L91" s="108"/>
      <c r="M91" s="108"/>
      <c r="N91" s="109"/>
    </row>
    <row r="92" spans="1:14">
      <c r="A92" s="85" t="s">
        <v>73</v>
      </c>
      <c r="B92" s="106"/>
      <c r="C92" s="106"/>
      <c r="D92" s="107" t="s">
        <v>70</v>
      </c>
      <c r="E92" s="108"/>
      <c r="F92" s="108"/>
      <c r="G92" s="108"/>
      <c r="H92" s="108"/>
      <c r="I92" s="108"/>
      <c r="J92" s="108"/>
      <c r="K92" s="108"/>
      <c r="L92" s="108"/>
      <c r="M92" s="108"/>
      <c r="N92" s="109"/>
    </row>
    <row r="93" spans="1:14">
      <c r="A93" s="87" t="s">
        <v>74</v>
      </c>
      <c r="B93" s="110"/>
      <c r="C93" s="111"/>
      <c r="D93" s="107" t="s">
        <v>682</v>
      </c>
      <c r="E93" s="108"/>
      <c r="F93" s="108"/>
      <c r="G93" s="108"/>
      <c r="H93" s="108"/>
      <c r="I93" s="108"/>
      <c r="J93" s="108"/>
      <c r="K93" s="108"/>
      <c r="L93" s="108"/>
      <c r="M93" s="108"/>
      <c r="N93" s="109"/>
    </row>
    <row r="94" spans="1:14">
      <c r="A94" s="87" t="s">
        <v>76</v>
      </c>
      <c r="B94" s="110"/>
      <c r="C94" s="111"/>
      <c r="D94" s="107" t="s">
        <v>683</v>
      </c>
      <c r="E94" s="108"/>
      <c r="F94" s="108"/>
      <c r="G94" s="108"/>
      <c r="H94" s="108"/>
      <c r="I94" s="108"/>
      <c r="J94" s="108"/>
      <c r="K94" s="108"/>
      <c r="L94" s="108"/>
      <c r="M94" s="108"/>
      <c r="N94" s="109"/>
    </row>
    <row r="95" spans="1:14">
      <c r="A95" s="87" t="s">
        <v>78</v>
      </c>
      <c r="B95" s="110"/>
      <c r="C95" s="111"/>
      <c r="D95" s="107" t="s">
        <v>79</v>
      </c>
      <c r="E95" s="108"/>
      <c r="F95" s="108"/>
      <c r="G95" s="108"/>
      <c r="H95" s="108"/>
      <c r="I95" s="108"/>
      <c r="J95" s="108"/>
      <c r="K95" s="108"/>
      <c r="L95" s="108"/>
      <c r="M95" s="108"/>
      <c r="N95" s="109"/>
    </row>
    <row r="96" spans="1:14">
      <c r="A96" s="87" t="s">
        <v>151</v>
      </c>
      <c r="B96" s="110"/>
      <c r="C96" s="111"/>
      <c r="D96" s="107" t="s">
        <v>684</v>
      </c>
      <c r="E96" s="108"/>
      <c r="F96" s="108"/>
      <c r="G96" s="108"/>
      <c r="H96" s="108"/>
      <c r="I96" s="108"/>
      <c r="J96" s="108"/>
      <c r="K96" s="108"/>
      <c r="L96" s="108"/>
      <c r="M96" s="108"/>
      <c r="N96" s="109"/>
    </row>
    <row r="97" spans="1:14" ht="29.25" customHeight="1">
      <c r="A97" s="87" t="s">
        <v>82</v>
      </c>
      <c r="B97" s="110"/>
      <c r="C97" s="111"/>
      <c r="D97" s="112" t="s">
        <v>685</v>
      </c>
      <c r="E97" s="108"/>
      <c r="F97" s="108"/>
      <c r="G97" s="108"/>
      <c r="H97" s="108"/>
      <c r="I97" s="108"/>
      <c r="J97" s="108"/>
      <c r="K97" s="108"/>
      <c r="L97" s="108"/>
      <c r="M97" s="108"/>
      <c r="N97" s="109"/>
    </row>
    <row r="98" spans="1:14">
      <c r="A98" s="87" t="s">
        <v>84</v>
      </c>
      <c r="B98" s="110"/>
      <c r="C98" s="111"/>
      <c r="D98" s="112" t="s">
        <v>686</v>
      </c>
      <c r="E98" s="108"/>
      <c r="F98" s="108"/>
      <c r="G98" s="108"/>
      <c r="H98" s="108"/>
      <c r="I98" s="108"/>
      <c r="J98" s="108"/>
      <c r="K98" s="108"/>
      <c r="L98" s="108"/>
      <c r="M98" s="108"/>
      <c r="N98" s="109"/>
    </row>
    <row r="99" spans="1:14">
      <c r="A99" s="86" t="s">
        <v>86</v>
      </c>
      <c r="B99" s="111"/>
      <c r="C99" s="88" t="s">
        <v>87</v>
      </c>
      <c r="D99" s="111"/>
      <c r="E99" s="89" t="s">
        <v>88</v>
      </c>
      <c r="F99" s="113"/>
      <c r="G99" s="89" t="s">
        <v>89</v>
      </c>
      <c r="H99" s="113"/>
      <c r="I99" s="89" t="s">
        <v>90</v>
      </c>
      <c r="J99" s="113"/>
      <c r="K99" s="89" t="s">
        <v>91</v>
      </c>
      <c r="L99" s="113"/>
      <c r="M99" s="47" t="s">
        <v>92</v>
      </c>
      <c r="N99" s="47" t="s">
        <v>93</v>
      </c>
    </row>
    <row r="100" spans="1:14" ht="59.25" customHeight="1">
      <c r="A100" s="114" t="s">
        <v>687</v>
      </c>
      <c r="B100" s="111"/>
      <c r="C100" s="115" t="s">
        <v>688</v>
      </c>
      <c r="D100" s="111"/>
      <c r="E100" s="116" t="s">
        <v>129</v>
      </c>
      <c r="F100" s="111"/>
      <c r="G100" s="116" t="s">
        <v>97</v>
      </c>
      <c r="H100" s="111"/>
      <c r="I100" s="115" t="s">
        <v>689</v>
      </c>
      <c r="J100" s="111"/>
      <c r="K100" s="115" t="s">
        <v>690</v>
      </c>
      <c r="L100" s="111"/>
      <c r="M100" s="117"/>
      <c r="N100" s="117" t="s">
        <v>622</v>
      </c>
    </row>
    <row r="101" spans="1:14">
      <c r="A101" s="105"/>
      <c r="B101" s="105"/>
      <c r="C101" s="105"/>
      <c r="D101" s="105"/>
      <c r="E101" s="105"/>
      <c r="F101" s="105"/>
      <c r="G101" s="105"/>
      <c r="H101" s="105"/>
      <c r="I101" s="105"/>
      <c r="J101" s="105"/>
      <c r="K101" s="105"/>
      <c r="L101" s="105"/>
      <c r="M101" s="105"/>
      <c r="N101" s="105"/>
    </row>
    <row r="102" spans="1:14">
      <c r="A102" s="85" t="s">
        <v>72</v>
      </c>
      <c r="B102" s="106"/>
      <c r="C102" s="106"/>
      <c r="D102" s="107" t="s">
        <v>13</v>
      </c>
      <c r="E102" s="108"/>
      <c r="F102" s="108"/>
      <c r="G102" s="108"/>
      <c r="H102" s="108"/>
      <c r="I102" s="108"/>
      <c r="J102" s="108"/>
      <c r="K102" s="108"/>
      <c r="L102" s="108"/>
      <c r="M102" s="108"/>
      <c r="N102" s="109"/>
    </row>
    <row r="103" spans="1:14">
      <c r="A103" s="85" t="s">
        <v>73</v>
      </c>
      <c r="B103" s="106"/>
      <c r="C103" s="106"/>
      <c r="D103" s="107" t="s">
        <v>70</v>
      </c>
      <c r="E103" s="108"/>
      <c r="F103" s="108"/>
      <c r="G103" s="108"/>
      <c r="H103" s="108"/>
      <c r="I103" s="108"/>
      <c r="J103" s="108"/>
      <c r="K103" s="108"/>
      <c r="L103" s="108"/>
      <c r="M103" s="108"/>
      <c r="N103" s="109"/>
    </row>
    <row r="104" spans="1:14">
      <c r="A104" s="87" t="s">
        <v>74</v>
      </c>
      <c r="B104" s="110"/>
      <c r="C104" s="111"/>
      <c r="D104" s="107" t="s">
        <v>691</v>
      </c>
      <c r="E104" s="108"/>
      <c r="F104" s="108"/>
      <c r="G104" s="108"/>
      <c r="H104" s="108"/>
      <c r="I104" s="108"/>
      <c r="J104" s="108"/>
      <c r="K104" s="108"/>
      <c r="L104" s="108"/>
      <c r="M104" s="108"/>
      <c r="N104" s="109"/>
    </row>
    <row r="105" spans="1:14">
      <c r="A105" s="87" t="s">
        <v>76</v>
      </c>
      <c r="B105" s="110"/>
      <c r="C105" s="111"/>
      <c r="D105" s="107" t="s">
        <v>692</v>
      </c>
      <c r="E105" s="108"/>
      <c r="F105" s="108"/>
      <c r="G105" s="108"/>
      <c r="H105" s="108"/>
      <c r="I105" s="108"/>
      <c r="J105" s="108"/>
      <c r="K105" s="108"/>
      <c r="L105" s="108"/>
      <c r="M105" s="108"/>
      <c r="N105" s="109"/>
    </row>
    <row r="106" spans="1:14">
      <c r="A106" s="87" t="s">
        <v>78</v>
      </c>
      <c r="B106" s="110"/>
      <c r="C106" s="111"/>
      <c r="D106" s="107" t="s">
        <v>103</v>
      </c>
      <c r="E106" s="108"/>
      <c r="F106" s="108"/>
      <c r="G106" s="108"/>
      <c r="H106" s="108"/>
      <c r="I106" s="108"/>
      <c r="J106" s="108"/>
      <c r="K106" s="108"/>
      <c r="L106" s="108"/>
      <c r="M106" s="108"/>
      <c r="N106" s="109"/>
    </row>
    <row r="107" spans="1:14">
      <c r="A107" s="87" t="s">
        <v>80</v>
      </c>
      <c r="B107" s="110"/>
      <c r="C107" s="111"/>
      <c r="D107" s="107" t="s">
        <v>693</v>
      </c>
      <c r="E107" s="108"/>
      <c r="F107" s="108"/>
      <c r="G107" s="108"/>
      <c r="H107" s="108"/>
      <c r="I107" s="108"/>
      <c r="J107" s="108"/>
      <c r="K107" s="108"/>
      <c r="L107" s="108"/>
      <c r="M107" s="108"/>
      <c r="N107" s="109"/>
    </row>
    <row r="108" spans="1:14" ht="43.5" customHeight="1">
      <c r="A108" s="87" t="s">
        <v>82</v>
      </c>
      <c r="B108" s="110"/>
      <c r="C108" s="111"/>
      <c r="D108" s="112" t="s">
        <v>694</v>
      </c>
      <c r="E108" s="108"/>
      <c r="F108" s="108"/>
      <c r="G108" s="108"/>
      <c r="H108" s="108"/>
      <c r="I108" s="108"/>
      <c r="J108" s="108"/>
      <c r="K108" s="108"/>
      <c r="L108" s="108"/>
      <c r="M108" s="108"/>
      <c r="N108" s="109"/>
    </row>
    <row r="109" spans="1:14">
      <c r="A109" s="87" t="s">
        <v>84</v>
      </c>
      <c r="B109" s="110"/>
      <c r="C109" s="111"/>
      <c r="D109" s="107" t="s">
        <v>695</v>
      </c>
      <c r="E109" s="108"/>
      <c r="F109" s="108"/>
      <c r="G109" s="108"/>
      <c r="H109" s="108"/>
      <c r="I109" s="108"/>
      <c r="J109" s="108"/>
      <c r="K109" s="108"/>
      <c r="L109" s="108"/>
      <c r="M109" s="108"/>
      <c r="N109" s="109"/>
    </row>
    <row r="110" spans="1:14">
      <c r="A110" s="86" t="s">
        <v>86</v>
      </c>
      <c r="B110" s="111"/>
      <c r="C110" s="88" t="s">
        <v>87</v>
      </c>
      <c r="D110" s="111"/>
      <c r="E110" s="88" t="s">
        <v>88</v>
      </c>
      <c r="F110" s="111"/>
      <c r="G110" s="88" t="s">
        <v>89</v>
      </c>
      <c r="H110" s="111"/>
      <c r="I110" s="88" t="s">
        <v>90</v>
      </c>
      <c r="J110" s="111"/>
      <c r="K110" s="88" t="s">
        <v>91</v>
      </c>
      <c r="L110" s="111"/>
      <c r="M110" s="49" t="s">
        <v>92</v>
      </c>
      <c r="N110" s="47" t="s">
        <v>93</v>
      </c>
    </row>
    <row r="111" spans="1:14" ht="57" customHeight="1">
      <c r="A111" s="114" t="s">
        <v>453</v>
      </c>
      <c r="B111" s="111"/>
      <c r="C111" s="115" t="s">
        <v>696</v>
      </c>
      <c r="D111" s="111"/>
      <c r="E111" s="116" t="s">
        <v>129</v>
      </c>
      <c r="F111" s="111"/>
      <c r="G111" s="116" t="s">
        <v>97</v>
      </c>
      <c r="H111" s="111"/>
      <c r="I111" s="115" t="s">
        <v>697</v>
      </c>
      <c r="J111" s="111"/>
      <c r="K111" s="133" t="s">
        <v>698</v>
      </c>
      <c r="L111" s="111"/>
      <c r="M111" s="117"/>
      <c r="N111" s="117" t="s">
        <v>632</v>
      </c>
    </row>
    <row r="112" spans="1:14">
      <c r="A112" s="105"/>
      <c r="B112" s="105"/>
      <c r="C112" s="105"/>
      <c r="D112" s="105"/>
      <c r="E112" s="105"/>
      <c r="F112" s="105"/>
      <c r="G112" s="105"/>
      <c r="H112" s="105"/>
      <c r="I112" s="105"/>
      <c r="J112" s="105"/>
      <c r="K112" s="105"/>
      <c r="L112" s="105"/>
      <c r="M112" s="105"/>
      <c r="N112" s="105"/>
    </row>
    <row r="113" spans="1:14">
      <c r="A113" s="85" t="s">
        <v>72</v>
      </c>
      <c r="B113" s="106"/>
      <c r="C113" s="106"/>
      <c r="D113" s="107" t="s">
        <v>13</v>
      </c>
      <c r="E113" s="108"/>
      <c r="F113" s="108"/>
      <c r="G113" s="108"/>
      <c r="H113" s="108"/>
      <c r="I113" s="108"/>
      <c r="J113" s="108"/>
      <c r="K113" s="108"/>
      <c r="L113" s="108"/>
      <c r="M113" s="108"/>
      <c r="N113" s="109"/>
    </row>
    <row r="114" spans="1:14">
      <c r="A114" s="85" t="s">
        <v>73</v>
      </c>
      <c r="B114" s="106"/>
      <c r="C114" s="106"/>
      <c r="D114" s="107" t="s">
        <v>71</v>
      </c>
      <c r="E114" s="108"/>
      <c r="F114" s="108"/>
      <c r="G114" s="108"/>
      <c r="H114" s="108"/>
      <c r="I114" s="108"/>
      <c r="J114" s="108"/>
      <c r="K114" s="108"/>
      <c r="L114" s="108"/>
      <c r="M114" s="108"/>
      <c r="N114" s="109"/>
    </row>
    <row r="115" spans="1:14">
      <c r="A115" s="87" t="s">
        <v>74</v>
      </c>
      <c r="B115" s="110"/>
      <c r="C115" s="111"/>
      <c r="D115" s="107" t="s">
        <v>699</v>
      </c>
      <c r="E115" s="108"/>
      <c r="F115" s="108"/>
      <c r="G115" s="108"/>
      <c r="H115" s="108"/>
      <c r="I115" s="108"/>
      <c r="J115" s="108"/>
      <c r="K115" s="108"/>
      <c r="L115" s="108"/>
      <c r="M115" s="108"/>
      <c r="N115" s="109"/>
    </row>
    <row r="116" spans="1:14">
      <c r="A116" s="87" t="s">
        <v>76</v>
      </c>
      <c r="B116" s="110"/>
      <c r="C116" s="111"/>
      <c r="D116" s="107" t="s">
        <v>700</v>
      </c>
      <c r="E116" s="108"/>
      <c r="F116" s="108"/>
      <c r="G116" s="108"/>
      <c r="H116" s="108"/>
      <c r="I116" s="108"/>
      <c r="J116" s="108"/>
      <c r="K116" s="108"/>
      <c r="L116" s="108"/>
      <c r="M116" s="108"/>
      <c r="N116" s="109"/>
    </row>
    <row r="117" spans="1:14">
      <c r="A117" s="87" t="s">
        <v>78</v>
      </c>
      <c r="B117" s="110"/>
      <c r="C117" s="111"/>
      <c r="D117" s="107" t="s">
        <v>79</v>
      </c>
      <c r="E117" s="108"/>
      <c r="F117" s="108"/>
      <c r="G117" s="108"/>
      <c r="H117" s="108"/>
      <c r="I117" s="108"/>
      <c r="J117" s="108"/>
      <c r="K117" s="108"/>
      <c r="L117" s="108"/>
      <c r="M117" s="108"/>
      <c r="N117" s="109"/>
    </row>
    <row r="118" spans="1:14">
      <c r="A118" s="87" t="s">
        <v>151</v>
      </c>
      <c r="B118" s="110"/>
      <c r="C118" s="111"/>
      <c r="D118" s="107" t="s">
        <v>701</v>
      </c>
      <c r="E118" s="108"/>
      <c r="F118" s="108"/>
      <c r="G118" s="108"/>
      <c r="H118" s="108"/>
      <c r="I118" s="108"/>
      <c r="J118" s="108"/>
      <c r="K118" s="108"/>
      <c r="L118" s="108"/>
      <c r="M118" s="108"/>
      <c r="N118" s="109"/>
    </row>
    <row r="119" spans="1:14" ht="39.75" customHeight="1">
      <c r="A119" s="87" t="s">
        <v>82</v>
      </c>
      <c r="B119" s="110"/>
      <c r="C119" s="111"/>
      <c r="D119" s="112" t="s">
        <v>702</v>
      </c>
      <c r="E119" s="108"/>
      <c r="F119" s="108"/>
      <c r="G119" s="108"/>
      <c r="H119" s="108"/>
      <c r="I119" s="108"/>
      <c r="J119" s="108"/>
      <c r="K119" s="108"/>
      <c r="L119" s="108"/>
      <c r="M119" s="108"/>
      <c r="N119" s="109"/>
    </row>
    <row r="120" spans="1:14">
      <c r="A120" s="87" t="s">
        <v>84</v>
      </c>
      <c r="B120" s="110"/>
      <c r="C120" s="111"/>
      <c r="D120" s="112" t="s">
        <v>703</v>
      </c>
      <c r="E120" s="108"/>
      <c r="F120" s="108"/>
      <c r="G120" s="108"/>
      <c r="H120" s="108"/>
      <c r="I120" s="108"/>
      <c r="J120" s="108"/>
      <c r="K120" s="108"/>
      <c r="L120" s="108"/>
      <c r="M120" s="108"/>
      <c r="N120" s="109"/>
    </row>
    <row r="121" spans="1:14">
      <c r="A121" s="86" t="s">
        <v>86</v>
      </c>
      <c r="B121" s="111"/>
      <c r="C121" s="88" t="s">
        <v>87</v>
      </c>
      <c r="D121" s="111"/>
      <c r="E121" s="89" t="s">
        <v>88</v>
      </c>
      <c r="F121" s="113"/>
      <c r="G121" s="89" t="s">
        <v>89</v>
      </c>
      <c r="H121" s="113"/>
      <c r="I121" s="89" t="s">
        <v>90</v>
      </c>
      <c r="J121" s="113"/>
      <c r="K121" s="89" t="s">
        <v>91</v>
      </c>
      <c r="L121" s="113"/>
      <c r="M121" s="47" t="s">
        <v>92</v>
      </c>
      <c r="N121" s="47" t="s">
        <v>93</v>
      </c>
    </row>
    <row r="122" spans="1:14" ht="84.75" customHeight="1">
      <c r="A122" s="114" t="s">
        <v>453</v>
      </c>
      <c r="B122" s="111"/>
      <c r="C122" s="115" t="s">
        <v>704</v>
      </c>
      <c r="D122" s="111"/>
      <c r="E122" s="116" t="s">
        <v>129</v>
      </c>
      <c r="F122" s="111"/>
      <c r="G122" s="116" t="s">
        <v>97</v>
      </c>
      <c r="H122" s="111"/>
      <c r="I122" s="115" t="s">
        <v>705</v>
      </c>
      <c r="J122" s="111"/>
      <c r="K122" s="115" t="s">
        <v>706</v>
      </c>
      <c r="L122" s="111"/>
      <c r="M122" s="117"/>
      <c r="N122" s="117" t="s">
        <v>622</v>
      </c>
    </row>
    <row r="123" spans="1:14">
      <c r="A123" s="105"/>
      <c r="B123" s="105"/>
      <c r="C123" s="105"/>
      <c r="D123" s="105"/>
      <c r="E123" s="105"/>
      <c r="F123" s="105"/>
      <c r="G123" s="105"/>
      <c r="H123" s="105"/>
      <c r="I123" s="105"/>
      <c r="J123" s="105"/>
      <c r="K123" s="105"/>
      <c r="L123" s="105"/>
      <c r="M123" s="105"/>
      <c r="N123" s="105"/>
    </row>
    <row r="124" spans="1:14">
      <c r="A124" s="85" t="s">
        <v>72</v>
      </c>
      <c r="B124" s="106"/>
      <c r="C124" s="106"/>
      <c r="D124" s="107" t="s">
        <v>13</v>
      </c>
      <c r="E124" s="108"/>
      <c r="F124" s="108"/>
      <c r="G124" s="108"/>
      <c r="H124" s="108"/>
      <c r="I124" s="108"/>
      <c r="J124" s="108"/>
      <c r="K124" s="108"/>
      <c r="L124" s="108"/>
      <c r="M124" s="108"/>
      <c r="N124" s="109"/>
    </row>
    <row r="125" spans="1:14">
      <c r="A125" s="85" t="s">
        <v>73</v>
      </c>
      <c r="B125" s="106"/>
      <c r="C125" s="106"/>
      <c r="D125" s="107" t="s">
        <v>71</v>
      </c>
      <c r="E125" s="108"/>
      <c r="F125" s="108"/>
      <c r="G125" s="108"/>
      <c r="H125" s="108"/>
      <c r="I125" s="108"/>
      <c r="J125" s="108"/>
      <c r="K125" s="108"/>
      <c r="L125" s="108"/>
      <c r="M125" s="108"/>
      <c r="N125" s="109"/>
    </row>
    <row r="126" spans="1:14">
      <c r="A126" s="87" t="s">
        <v>74</v>
      </c>
      <c r="B126" s="110"/>
      <c r="C126" s="111"/>
      <c r="D126" s="107" t="s">
        <v>707</v>
      </c>
      <c r="E126" s="108"/>
      <c r="F126" s="108"/>
      <c r="G126" s="108"/>
      <c r="H126" s="108"/>
      <c r="I126" s="108"/>
      <c r="J126" s="108"/>
      <c r="K126" s="108"/>
      <c r="L126" s="108"/>
      <c r="M126" s="108"/>
      <c r="N126" s="109"/>
    </row>
    <row r="127" spans="1:14">
      <c r="A127" s="87" t="s">
        <v>76</v>
      </c>
      <c r="B127" s="110"/>
      <c r="C127" s="111"/>
      <c r="D127" s="107" t="s">
        <v>708</v>
      </c>
      <c r="E127" s="108"/>
      <c r="F127" s="108"/>
      <c r="G127" s="108"/>
      <c r="H127" s="108"/>
      <c r="I127" s="108"/>
      <c r="J127" s="108"/>
      <c r="K127" s="108"/>
      <c r="L127" s="108"/>
      <c r="M127" s="108"/>
      <c r="N127" s="109"/>
    </row>
    <row r="128" spans="1:14">
      <c r="A128" s="87" t="s">
        <v>78</v>
      </c>
      <c r="B128" s="110"/>
      <c r="C128" s="111"/>
      <c r="D128" s="107" t="s">
        <v>103</v>
      </c>
      <c r="E128" s="108"/>
      <c r="F128" s="108"/>
      <c r="G128" s="108"/>
      <c r="H128" s="108"/>
      <c r="I128" s="108"/>
      <c r="J128" s="108"/>
      <c r="K128" s="108"/>
      <c r="L128" s="108"/>
      <c r="M128" s="108"/>
      <c r="N128" s="109"/>
    </row>
    <row r="129" spans="1:14">
      <c r="A129" s="87" t="s">
        <v>80</v>
      </c>
      <c r="B129" s="110"/>
      <c r="C129" s="111"/>
      <c r="D129" s="107" t="s">
        <v>709</v>
      </c>
      <c r="E129" s="108"/>
      <c r="F129" s="108"/>
      <c r="G129" s="108"/>
      <c r="H129" s="108"/>
      <c r="I129" s="108"/>
      <c r="J129" s="108"/>
      <c r="K129" s="108"/>
      <c r="L129" s="108"/>
      <c r="M129" s="108"/>
      <c r="N129" s="109"/>
    </row>
    <row r="130" spans="1:14" ht="28.5" customHeight="1">
      <c r="A130" s="87" t="s">
        <v>82</v>
      </c>
      <c r="B130" s="110"/>
      <c r="C130" s="111"/>
      <c r="D130" s="112" t="s">
        <v>710</v>
      </c>
      <c r="E130" s="108"/>
      <c r="F130" s="108"/>
      <c r="G130" s="108"/>
      <c r="H130" s="108"/>
      <c r="I130" s="108"/>
      <c r="J130" s="108"/>
      <c r="K130" s="108"/>
      <c r="L130" s="108"/>
      <c r="M130" s="108"/>
      <c r="N130" s="109"/>
    </row>
    <row r="131" spans="1:14">
      <c r="A131" s="87" t="s">
        <v>84</v>
      </c>
      <c r="B131" s="110"/>
      <c r="C131" s="111"/>
      <c r="D131" s="107" t="s">
        <v>711</v>
      </c>
      <c r="E131" s="108"/>
      <c r="F131" s="108"/>
      <c r="G131" s="108"/>
      <c r="H131" s="108"/>
      <c r="I131" s="108"/>
      <c r="J131" s="108"/>
      <c r="K131" s="108"/>
      <c r="L131" s="108"/>
      <c r="M131" s="108"/>
      <c r="N131" s="109"/>
    </row>
    <row r="132" spans="1:14">
      <c r="A132" s="86" t="s">
        <v>86</v>
      </c>
      <c r="B132" s="111"/>
      <c r="C132" s="88" t="s">
        <v>87</v>
      </c>
      <c r="D132" s="111"/>
      <c r="E132" s="88" t="s">
        <v>88</v>
      </c>
      <c r="F132" s="111"/>
      <c r="G132" s="88" t="s">
        <v>89</v>
      </c>
      <c r="H132" s="111"/>
      <c r="I132" s="88" t="s">
        <v>90</v>
      </c>
      <c r="J132" s="111"/>
      <c r="K132" s="88" t="s">
        <v>91</v>
      </c>
      <c r="L132" s="111"/>
      <c r="M132" s="49" t="s">
        <v>92</v>
      </c>
      <c r="N132" s="47" t="s">
        <v>93</v>
      </c>
    </row>
    <row r="133" spans="1:14" ht="64.5" customHeight="1">
      <c r="A133" s="114" t="s">
        <v>453</v>
      </c>
      <c r="B133" s="111"/>
      <c r="C133" s="115" t="s">
        <v>712</v>
      </c>
      <c r="D133" s="111"/>
      <c r="E133" s="116" t="s">
        <v>129</v>
      </c>
      <c r="F133" s="111"/>
      <c r="G133" s="116" t="s">
        <v>97</v>
      </c>
      <c r="H133" s="111"/>
      <c r="I133" s="115" t="s">
        <v>713</v>
      </c>
      <c r="J133" s="111"/>
      <c r="K133" s="133" t="s">
        <v>714</v>
      </c>
      <c r="L133" s="111"/>
      <c r="M133" s="117"/>
      <c r="N133" s="117" t="s">
        <v>632</v>
      </c>
    </row>
    <row r="135" spans="1:14">
      <c r="A135" s="122"/>
      <c r="B135" s="122"/>
      <c r="C135" s="122"/>
      <c r="D135" s="122"/>
      <c r="E135" s="122"/>
      <c r="F135" s="122"/>
      <c r="G135" s="122"/>
      <c r="H135" s="122"/>
      <c r="I135" s="122"/>
      <c r="J135" s="122"/>
      <c r="K135" s="122"/>
      <c r="L135" s="122"/>
      <c r="M135" s="122"/>
      <c r="N135" s="122"/>
    </row>
    <row r="136" spans="1:14">
      <c r="A136" s="122"/>
      <c r="B136" s="122"/>
      <c r="C136" s="122"/>
      <c r="D136" s="122"/>
      <c r="E136" s="122"/>
      <c r="F136" s="122"/>
      <c r="G136" s="122"/>
      <c r="H136" s="122"/>
      <c r="I136" s="122"/>
      <c r="J136" s="122"/>
      <c r="K136" s="122"/>
      <c r="L136" s="122"/>
      <c r="M136" s="122"/>
      <c r="N136" s="122"/>
    </row>
    <row r="137" spans="1:14">
      <c r="A137" s="122"/>
      <c r="B137" s="122"/>
      <c r="C137" s="122"/>
      <c r="D137" s="122"/>
      <c r="E137" s="122"/>
      <c r="F137" s="122"/>
      <c r="G137" s="122"/>
      <c r="H137" s="122"/>
      <c r="I137" s="122"/>
      <c r="J137" s="122"/>
      <c r="K137" s="122"/>
      <c r="L137" s="122"/>
      <c r="M137" s="122"/>
      <c r="N137" s="122"/>
    </row>
    <row r="138" spans="1:14">
      <c r="A138" s="122"/>
      <c r="B138" s="122"/>
      <c r="C138" s="122"/>
      <c r="D138" s="122"/>
      <c r="E138" s="122"/>
      <c r="F138" s="122"/>
      <c r="G138" s="122"/>
      <c r="H138" s="122"/>
      <c r="I138" s="122"/>
      <c r="J138" s="122"/>
      <c r="K138" s="122"/>
      <c r="L138" s="122"/>
      <c r="M138" s="122"/>
      <c r="N138" s="122"/>
    </row>
    <row r="139" spans="1:14">
      <c r="A139" s="122"/>
      <c r="B139" s="122"/>
      <c r="C139" s="122"/>
      <c r="D139" s="122"/>
      <c r="E139" s="122"/>
      <c r="F139" s="122"/>
      <c r="G139" s="122"/>
      <c r="H139" s="122"/>
      <c r="I139" s="122"/>
      <c r="J139" s="122"/>
      <c r="K139" s="122"/>
      <c r="L139" s="122"/>
      <c r="M139" s="122"/>
      <c r="N139" s="122"/>
    </row>
    <row r="140" spans="1:14">
      <c r="A140" s="122"/>
      <c r="B140" s="122"/>
      <c r="C140" s="122"/>
      <c r="D140" s="122"/>
      <c r="E140" s="122"/>
      <c r="F140" s="122"/>
      <c r="G140" s="122"/>
      <c r="H140" s="122"/>
      <c r="I140" s="122"/>
      <c r="J140" s="122"/>
      <c r="K140" s="122"/>
      <c r="L140" s="122"/>
      <c r="M140" s="122"/>
      <c r="N140" s="122"/>
    </row>
    <row r="141" spans="1:14" ht="27.75" customHeight="1">
      <c r="A141" s="122"/>
      <c r="B141" s="122"/>
      <c r="C141" s="122"/>
      <c r="D141" s="122"/>
      <c r="E141" s="122"/>
      <c r="F141" s="122"/>
      <c r="G141" s="122"/>
      <c r="H141" s="122"/>
      <c r="I141" s="122"/>
      <c r="J141" s="122"/>
      <c r="K141" s="122"/>
      <c r="L141" s="122"/>
      <c r="M141" s="122"/>
      <c r="N141" s="122"/>
    </row>
    <row r="142" spans="1:14">
      <c r="A142" s="122"/>
      <c r="B142" s="122"/>
      <c r="C142" s="122"/>
      <c r="D142" s="122"/>
      <c r="E142" s="122"/>
      <c r="F142" s="122"/>
      <c r="G142" s="122"/>
      <c r="H142" s="122"/>
      <c r="I142" s="122"/>
      <c r="J142" s="122"/>
      <c r="K142" s="122"/>
      <c r="L142" s="122"/>
      <c r="M142" s="122"/>
      <c r="N142" s="122"/>
    </row>
    <row r="143" spans="1:14">
      <c r="A143" s="122"/>
      <c r="B143" s="122"/>
      <c r="C143" s="122"/>
      <c r="D143" s="122"/>
      <c r="E143" s="122"/>
      <c r="F143" s="122"/>
      <c r="G143" s="122"/>
      <c r="H143" s="122"/>
      <c r="I143" s="122"/>
      <c r="J143" s="122"/>
      <c r="K143" s="122"/>
      <c r="L143" s="122"/>
      <c r="M143" s="105"/>
      <c r="N143" s="105"/>
    </row>
    <row r="144" spans="1:14" ht="75" customHeight="1">
      <c r="A144" s="122"/>
      <c r="B144" s="122"/>
      <c r="C144" s="122"/>
      <c r="D144" s="122"/>
      <c r="E144" s="122"/>
      <c r="F144" s="122"/>
      <c r="G144" s="122"/>
      <c r="H144" s="122"/>
      <c r="I144" s="122"/>
      <c r="J144" s="122"/>
      <c r="K144" s="122"/>
      <c r="L144" s="122"/>
      <c r="M144" s="105"/>
      <c r="N144" s="105"/>
    </row>
    <row r="146" spans="1:14">
      <c r="A146" s="122"/>
      <c r="B146" s="122"/>
      <c r="C146" s="122"/>
      <c r="D146" s="122"/>
      <c r="E146" s="122"/>
      <c r="F146" s="122"/>
      <c r="G146" s="122"/>
      <c r="H146" s="122"/>
      <c r="I146" s="122"/>
      <c r="J146" s="122"/>
      <c r="K146" s="122"/>
      <c r="L146" s="122"/>
      <c r="M146" s="122"/>
      <c r="N146" s="122"/>
    </row>
    <row r="147" spans="1:14">
      <c r="A147" s="122"/>
      <c r="B147" s="122"/>
      <c r="C147" s="122"/>
      <c r="D147" s="122"/>
      <c r="E147" s="122"/>
      <c r="F147" s="122"/>
      <c r="G147" s="122"/>
      <c r="H147" s="122"/>
      <c r="I147" s="122"/>
      <c r="J147" s="122"/>
      <c r="K147" s="122"/>
      <c r="L147" s="122"/>
      <c r="M147" s="122"/>
      <c r="N147" s="122"/>
    </row>
    <row r="148" spans="1:14">
      <c r="A148" s="122"/>
      <c r="B148" s="122"/>
      <c r="C148" s="122"/>
      <c r="D148" s="122"/>
      <c r="E148" s="122"/>
      <c r="F148" s="122"/>
      <c r="G148" s="122"/>
      <c r="H148" s="122"/>
      <c r="I148" s="122"/>
      <c r="J148" s="122"/>
      <c r="K148" s="122"/>
      <c r="L148" s="122"/>
      <c r="M148" s="122"/>
      <c r="N148" s="122"/>
    </row>
    <row r="149" spans="1:14">
      <c r="A149" s="122"/>
      <c r="B149" s="122"/>
      <c r="C149" s="122"/>
      <c r="D149" s="122"/>
      <c r="E149" s="122"/>
      <c r="F149" s="122"/>
      <c r="G149" s="122"/>
      <c r="H149" s="122"/>
      <c r="I149" s="122"/>
      <c r="J149" s="122"/>
      <c r="K149" s="122"/>
      <c r="L149" s="122"/>
      <c r="M149" s="122"/>
      <c r="N149" s="122"/>
    </row>
    <row r="150" spans="1:14">
      <c r="A150" s="122"/>
      <c r="B150" s="122"/>
      <c r="C150" s="122"/>
      <c r="D150" s="122"/>
      <c r="E150" s="122"/>
      <c r="F150" s="122"/>
      <c r="G150" s="122"/>
      <c r="H150" s="122"/>
      <c r="I150" s="122"/>
      <c r="J150" s="122"/>
      <c r="K150" s="122"/>
      <c r="L150" s="122"/>
      <c r="M150" s="122"/>
      <c r="N150" s="122"/>
    </row>
    <row r="151" spans="1:14">
      <c r="A151" s="122"/>
      <c r="B151" s="122"/>
      <c r="C151" s="122"/>
      <c r="D151" s="122"/>
      <c r="E151" s="122"/>
      <c r="F151" s="122"/>
      <c r="G151" s="122"/>
      <c r="H151" s="122"/>
      <c r="I151" s="122"/>
      <c r="J151" s="122"/>
      <c r="K151" s="122"/>
      <c r="L151" s="122"/>
      <c r="M151" s="122"/>
      <c r="N151" s="122"/>
    </row>
    <row r="152" spans="1:14" ht="30" customHeight="1">
      <c r="A152" s="122"/>
      <c r="B152" s="122"/>
      <c r="C152" s="122"/>
      <c r="D152" s="122"/>
      <c r="E152" s="122"/>
      <c r="F152" s="122"/>
      <c r="G152" s="122"/>
      <c r="H152" s="122"/>
      <c r="I152" s="122"/>
      <c r="J152" s="122"/>
      <c r="K152" s="122"/>
      <c r="L152" s="122"/>
      <c r="M152" s="122"/>
      <c r="N152" s="122"/>
    </row>
    <row r="153" spans="1:14">
      <c r="A153" s="122"/>
      <c r="B153" s="122"/>
      <c r="C153" s="122"/>
      <c r="D153" s="122"/>
      <c r="E153" s="122"/>
      <c r="F153" s="122"/>
      <c r="G153" s="122"/>
      <c r="H153" s="122"/>
      <c r="I153" s="122"/>
      <c r="J153" s="122"/>
      <c r="K153" s="122"/>
      <c r="L153" s="122"/>
      <c r="M153" s="122"/>
      <c r="N153" s="122"/>
    </row>
    <row r="154" spans="1:14">
      <c r="A154" s="122"/>
      <c r="B154" s="122"/>
      <c r="C154" s="122"/>
      <c r="D154" s="122"/>
      <c r="E154" s="122"/>
      <c r="F154" s="122"/>
      <c r="G154" s="122"/>
      <c r="H154" s="122"/>
      <c r="I154" s="122"/>
      <c r="J154" s="122"/>
      <c r="K154" s="122"/>
      <c r="L154" s="122"/>
      <c r="M154" s="105"/>
      <c r="N154" s="105"/>
    </row>
    <row r="155" spans="1:14" ht="76.5" customHeight="1">
      <c r="A155" s="122"/>
      <c r="B155" s="122"/>
      <c r="C155" s="122"/>
      <c r="D155" s="122"/>
      <c r="E155" s="122"/>
      <c r="F155" s="122"/>
      <c r="G155" s="122"/>
      <c r="H155" s="122"/>
      <c r="I155" s="122"/>
      <c r="J155" s="122"/>
      <c r="K155" s="122"/>
      <c r="L155" s="122"/>
      <c r="M155" s="105"/>
      <c r="N155" s="105"/>
    </row>
    <row r="157" spans="1:14">
      <c r="A157" s="122"/>
      <c r="B157" s="122"/>
      <c r="C157" s="122"/>
      <c r="D157" s="122"/>
      <c r="E157" s="122"/>
      <c r="F157" s="122"/>
      <c r="G157" s="122"/>
      <c r="H157" s="122"/>
      <c r="I157" s="122"/>
      <c r="J157" s="122"/>
      <c r="K157" s="122"/>
      <c r="L157" s="122"/>
      <c r="M157" s="122"/>
      <c r="N157" s="122"/>
    </row>
    <row r="158" spans="1:14">
      <c r="A158" s="122"/>
      <c r="B158" s="122"/>
      <c r="C158" s="122"/>
      <c r="D158" s="122"/>
      <c r="E158" s="122"/>
      <c r="F158" s="122"/>
      <c r="G158" s="122"/>
      <c r="H158" s="122"/>
      <c r="I158" s="122"/>
      <c r="J158" s="122"/>
      <c r="K158" s="122"/>
      <c r="L158" s="122"/>
      <c r="M158" s="122"/>
      <c r="N158" s="122"/>
    </row>
    <row r="159" spans="1:14">
      <c r="A159" s="122"/>
      <c r="B159" s="122"/>
      <c r="C159" s="122"/>
      <c r="D159" s="122"/>
      <c r="E159" s="122"/>
      <c r="F159" s="122"/>
      <c r="G159" s="122"/>
      <c r="H159" s="122"/>
      <c r="I159" s="122"/>
      <c r="J159" s="122"/>
      <c r="K159" s="122"/>
      <c r="L159" s="122"/>
      <c r="M159" s="122"/>
      <c r="N159" s="122"/>
    </row>
    <row r="160" spans="1:14">
      <c r="A160" s="122"/>
      <c r="B160" s="122"/>
      <c r="C160" s="122"/>
      <c r="D160" s="122"/>
      <c r="E160" s="122"/>
      <c r="F160" s="122"/>
      <c r="G160" s="122"/>
      <c r="H160" s="122"/>
      <c r="I160" s="122"/>
      <c r="J160" s="122"/>
      <c r="K160" s="122"/>
      <c r="L160" s="122"/>
      <c r="M160" s="122"/>
      <c r="N160" s="122"/>
    </row>
    <row r="161" spans="1:14">
      <c r="A161" s="122"/>
      <c r="B161" s="122"/>
      <c r="C161" s="122"/>
      <c r="D161" s="122"/>
      <c r="E161" s="122"/>
      <c r="F161" s="122"/>
      <c r="G161" s="122"/>
      <c r="H161" s="122"/>
      <c r="I161" s="122"/>
      <c r="J161" s="122"/>
      <c r="K161" s="122"/>
      <c r="L161" s="122"/>
      <c r="M161" s="122"/>
      <c r="N161" s="122"/>
    </row>
    <row r="162" spans="1:14">
      <c r="A162" s="122"/>
      <c r="B162" s="122"/>
      <c r="C162" s="122"/>
      <c r="D162" s="122"/>
      <c r="E162" s="122"/>
      <c r="F162" s="122"/>
      <c r="G162" s="122"/>
      <c r="H162" s="122"/>
      <c r="I162" s="122"/>
      <c r="J162" s="122"/>
      <c r="K162" s="122"/>
      <c r="L162" s="122"/>
      <c r="M162" s="122"/>
      <c r="N162" s="122"/>
    </row>
    <row r="163" spans="1:14" ht="24.75" customHeight="1">
      <c r="A163" s="122"/>
      <c r="B163" s="122"/>
      <c r="C163" s="122"/>
      <c r="D163" s="122"/>
      <c r="E163" s="122"/>
      <c r="F163" s="122"/>
      <c r="G163" s="122"/>
      <c r="H163" s="122"/>
      <c r="I163" s="122"/>
      <c r="J163" s="122"/>
      <c r="K163" s="122"/>
      <c r="L163" s="122"/>
      <c r="M163" s="122"/>
      <c r="N163" s="122"/>
    </row>
    <row r="164" spans="1:14">
      <c r="A164" s="122"/>
      <c r="B164" s="122"/>
      <c r="C164" s="122"/>
      <c r="D164" s="122"/>
      <c r="E164" s="122"/>
      <c r="F164" s="122"/>
      <c r="G164" s="122"/>
      <c r="H164" s="122"/>
      <c r="I164" s="122"/>
      <c r="J164" s="122"/>
      <c r="K164" s="122"/>
      <c r="L164" s="122"/>
      <c r="M164" s="122"/>
      <c r="N164" s="122"/>
    </row>
    <row r="165" spans="1:14">
      <c r="A165" s="122"/>
      <c r="B165" s="122"/>
      <c r="C165" s="122"/>
      <c r="D165" s="122"/>
      <c r="E165" s="122"/>
      <c r="F165" s="122"/>
      <c r="G165" s="122"/>
      <c r="H165" s="122"/>
      <c r="I165" s="122"/>
      <c r="J165" s="122"/>
      <c r="K165" s="122"/>
      <c r="L165" s="122"/>
      <c r="M165" s="105"/>
      <c r="N165" s="105"/>
    </row>
    <row r="166" spans="1:14" ht="66.75" customHeight="1">
      <c r="A166" s="122"/>
      <c r="B166" s="122"/>
      <c r="C166" s="122"/>
      <c r="D166" s="122"/>
      <c r="E166" s="122"/>
      <c r="F166" s="122"/>
      <c r="G166" s="122"/>
      <c r="H166" s="122"/>
      <c r="I166" s="122"/>
      <c r="J166" s="122"/>
      <c r="K166" s="122"/>
      <c r="L166" s="122"/>
      <c r="M166" s="105"/>
      <c r="N166" s="105"/>
    </row>
    <row r="168" spans="1:14">
      <c r="A168" s="122"/>
      <c r="B168" s="122"/>
      <c r="C168" s="122"/>
      <c r="D168" s="122"/>
      <c r="E168" s="122"/>
      <c r="F168" s="122"/>
      <c r="G168" s="122"/>
      <c r="H168" s="122"/>
      <c r="I168" s="122"/>
      <c r="J168" s="122"/>
      <c r="K168" s="122"/>
      <c r="L168" s="122"/>
      <c r="M168" s="122"/>
      <c r="N168" s="122"/>
    </row>
    <row r="169" spans="1:14">
      <c r="A169" s="122"/>
      <c r="B169" s="122"/>
      <c r="C169" s="122"/>
      <c r="D169" s="122"/>
      <c r="E169" s="122"/>
      <c r="F169" s="122"/>
      <c r="G169" s="122"/>
      <c r="H169" s="122"/>
      <c r="I169" s="122"/>
      <c r="J169" s="122"/>
      <c r="K169" s="122"/>
      <c r="L169" s="122"/>
      <c r="M169" s="122"/>
      <c r="N169" s="122"/>
    </row>
    <row r="170" spans="1:14">
      <c r="A170" s="122"/>
      <c r="B170" s="122"/>
      <c r="C170" s="122"/>
      <c r="D170" s="122"/>
      <c r="E170" s="122"/>
      <c r="F170" s="122"/>
      <c r="G170" s="122"/>
      <c r="H170" s="122"/>
      <c r="I170" s="122"/>
      <c r="J170" s="122"/>
      <c r="K170" s="122"/>
      <c r="L170" s="122"/>
      <c r="M170" s="122"/>
      <c r="N170" s="122"/>
    </row>
    <row r="171" spans="1:14">
      <c r="A171" s="122"/>
      <c r="B171" s="122"/>
      <c r="C171" s="122"/>
      <c r="D171" s="122"/>
      <c r="E171" s="122"/>
      <c r="F171" s="122"/>
      <c r="G171" s="122"/>
      <c r="H171" s="122"/>
      <c r="I171" s="122"/>
      <c r="J171" s="122"/>
      <c r="K171" s="122"/>
      <c r="L171" s="122"/>
      <c r="M171" s="122"/>
      <c r="N171" s="122"/>
    </row>
    <row r="172" spans="1:14">
      <c r="A172" s="122"/>
      <c r="B172" s="122"/>
      <c r="C172" s="122"/>
      <c r="D172" s="122"/>
      <c r="E172" s="122"/>
      <c r="F172" s="122"/>
      <c r="G172" s="122"/>
      <c r="H172" s="122"/>
      <c r="I172" s="122"/>
      <c r="J172" s="122"/>
      <c r="K172" s="122"/>
      <c r="L172" s="122"/>
      <c r="M172" s="122"/>
      <c r="N172" s="122"/>
    </row>
    <row r="173" spans="1:14">
      <c r="A173" s="122"/>
      <c r="B173" s="122"/>
      <c r="C173" s="122"/>
      <c r="D173" s="122"/>
      <c r="E173" s="122"/>
      <c r="F173" s="122"/>
      <c r="G173" s="122"/>
      <c r="H173" s="122"/>
      <c r="I173" s="122"/>
      <c r="J173" s="122"/>
      <c r="K173" s="122"/>
      <c r="L173" s="122"/>
      <c r="M173" s="122"/>
      <c r="N173" s="122"/>
    </row>
    <row r="174" spans="1:14" ht="39.75" customHeight="1">
      <c r="A174" s="122"/>
      <c r="B174" s="122"/>
      <c r="C174" s="122"/>
      <c r="D174" s="122"/>
      <c r="E174" s="122"/>
      <c r="F174" s="122"/>
      <c r="G174" s="122"/>
      <c r="H174" s="122"/>
      <c r="I174" s="122"/>
      <c r="J174" s="122"/>
      <c r="K174" s="122"/>
      <c r="L174" s="122"/>
      <c r="M174" s="122"/>
      <c r="N174" s="122"/>
    </row>
    <row r="175" spans="1:14">
      <c r="A175" s="122"/>
      <c r="B175" s="122"/>
      <c r="C175" s="122"/>
      <c r="D175" s="122"/>
      <c r="E175" s="122"/>
      <c r="F175" s="122"/>
      <c r="G175" s="122"/>
      <c r="H175" s="122"/>
      <c r="I175" s="122"/>
      <c r="J175" s="122"/>
      <c r="K175" s="122"/>
      <c r="L175" s="122"/>
      <c r="M175" s="122"/>
      <c r="N175" s="122"/>
    </row>
    <row r="176" spans="1:14">
      <c r="A176" s="122"/>
      <c r="B176" s="122"/>
      <c r="C176" s="122"/>
      <c r="D176" s="122"/>
      <c r="E176" s="122"/>
      <c r="F176" s="122"/>
      <c r="G176" s="122"/>
      <c r="H176" s="122"/>
      <c r="I176" s="122"/>
      <c r="J176" s="122"/>
      <c r="K176" s="122"/>
      <c r="L176" s="122"/>
      <c r="M176" s="105"/>
      <c r="N176" s="105"/>
    </row>
    <row r="177" spans="1:14" ht="61.5" customHeight="1">
      <c r="A177" s="122"/>
      <c r="B177" s="122"/>
      <c r="C177" s="122"/>
      <c r="D177" s="122"/>
      <c r="E177" s="122"/>
      <c r="F177" s="122"/>
      <c r="G177" s="122"/>
      <c r="H177" s="122"/>
      <c r="I177" s="122"/>
      <c r="J177" s="122"/>
      <c r="K177" s="122"/>
      <c r="L177" s="122"/>
      <c r="M177" s="105"/>
      <c r="N177" s="105"/>
    </row>
    <row r="179" spans="1:14">
      <c r="A179" s="122"/>
      <c r="B179" s="122"/>
      <c r="C179" s="122"/>
      <c r="D179" s="122"/>
      <c r="E179" s="122"/>
      <c r="F179" s="122"/>
      <c r="G179" s="122"/>
      <c r="H179" s="122"/>
      <c r="I179" s="122"/>
      <c r="J179" s="122"/>
      <c r="K179" s="122"/>
      <c r="L179" s="122"/>
      <c r="M179" s="122"/>
      <c r="N179" s="122"/>
    </row>
    <row r="180" spans="1:14">
      <c r="A180" s="122"/>
      <c r="B180" s="122"/>
      <c r="C180" s="122"/>
      <c r="D180" s="122"/>
      <c r="E180" s="122"/>
      <c r="F180" s="122"/>
      <c r="G180" s="122"/>
      <c r="H180" s="122"/>
      <c r="I180" s="122"/>
      <c r="J180" s="122"/>
      <c r="K180" s="122"/>
      <c r="L180" s="122"/>
      <c r="M180" s="122"/>
      <c r="N180" s="122"/>
    </row>
    <row r="181" spans="1:14">
      <c r="A181" s="122"/>
      <c r="B181" s="122"/>
      <c r="C181" s="122"/>
      <c r="D181" s="122"/>
      <c r="E181" s="122"/>
      <c r="F181" s="122"/>
      <c r="G181" s="122"/>
      <c r="H181" s="122"/>
      <c r="I181" s="122"/>
      <c r="J181" s="122"/>
      <c r="K181" s="122"/>
      <c r="L181" s="122"/>
      <c r="M181" s="122"/>
      <c r="N181" s="122"/>
    </row>
    <row r="182" spans="1:14">
      <c r="A182" s="122"/>
      <c r="B182" s="122"/>
      <c r="C182" s="122"/>
      <c r="D182" s="122"/>
      <c r="E182" s="122"/>
      <c r="F182" s="122"/>
      <c r="G182" s="122"/>
      <c r="H182" s="122"/>
      <c r="I182" s="122"/>
      <c r="J182" s="122"/>
      <c r="K182" s="122"/>
      <c r="L182" s="122"/>
      <c r="M182" s="122"/>
      <c r="N182" s="122"/>
    </row>
    <row r="183" spans="1:14">
      <c r="A183" s="122"/>
      <c r="B183" s="122"/>
      <c r="C183" s="122"/>
      <c r="D183" s="122"/>
      <c r="E183" s="122"/>
      <c r="F183" s="122"/>
      <c r="G183" s="122"/>
      <c r="H183" s="122"/>
      <c r="I183" s="122"/>
      <c r="J183" s="122"/>
      <c r="K183" s="122"/>
      <c r="L183" s="122"/>
      <c r="M183" s="122"/>
      <c r="N183" s="122"/>
    </row>
    <row r="184" spans="1:14" ht="24.75" customHeight="1">
      <c r="A184" s="122"/>
      <c r="B184" s="122"/>
      <c r="C184" s="122"/>
      <c r="D184" s="122"/>
      <c r="E184" s="122"/>
      <c r="F184" s="122"/>
      <c r="G184" s="122"/>
      <c r="H184" s="122"/>
      <c r="I184" s="122"/>
      <c r="J184" s="122"/>
      <c r="K184" s="122"/>
      <c r="L184" s="122"/>
      <c r="M184" s="122"/>
      <c r="N184" s="122"/>
    </row>
    <row r="185" spans="1:14" ht="27" customHeight="1">
      <c r="A185" s="122"/>
      <c r="B185" s="122"/>
      <c r="C185" s="122"/>
      <c r="D185" s="122"/>
      <c r="E185" s="122"/>
      <c r="F185" s="122"/>
      <c r="G185" s="122"/>
      <c r="H185" s="122"/>
      <c r="I185" s="122"/>
      <c r="J185" s="122"/>
      <c r="K185" s="122"/>
      <c r="L185" s="122"/>
      <c r="M185" s="122"/>
      <c r="N185" s="122"/>
    </row>
    <row r="186" spans="1:14">
      <c r="A186" s="122"/>
      <c r="B186" s="122"/>
      <c r="C186" s="122"/>
      <c r="D186" s="122"/>
      <c r="E186" s="122"/>
      <c r="F186" s="122"/>
      <c r="G186" s="122"/>
      <c r="H186" s="122"/>
      <c r="I186" s="122"/>
      <c r="J186" s="122"/>
      <c r="K186" s="122"/>
      <c r="L186" s="122"/>
      <c r="M186" s="122"/>
      <c r="N186" s="122"/>
    </row>
    <row r="187" spans="1:14">
      <c r="A187" s="122"/>
      <c r="B187" s="122"/>
      <c r="C187" s="122"/>
      <c r="D187" s="122"/>
      <c r="E187" s="122"/>
      <c r="F187" s="122"/>
      <c r="G187" s="122"/>
      <c r="H187" s="122"/>
      <c r="I187" s="122"/>
      <c r="J187" s="122"/>
      <c r="K187" s="122"/>
      <c r="L187" s="122"/>
      <c r="M187" s="105"/>
      <c r="N187" s="105"/>
    </row>
    <row r="188" spans="1:14" ht="73.5" customHeight="1">
      <c r="A188" s="122"/>
      <c r="B188" s="122"/>
      <c r="C188" s="122"/>
      <c r="D188" s="122"/>
      <c r="E188" s="122"/>
      <c r="F188" s="122"/>
      <c r="G188" s="122"/>
      <c r="H188" s="122"/>
      <c r="I188" s="122"/>
      <c r="J188" s="122"/>
      <c r="K188" s="122"/>
      <c r="L188" s="122"/>
      <c r="M188" s="105"/>
      <c r="N188" s="105"/>
    </row>
    <row r="190" spans="1:14">
      <c r="A190" s="122"/>
      <c r="B190" s="122"/>
      <c r="C190" s="122"/>
      <c r="D190" s="122"/>
      <c r="E190" s="122"/>
      <c r="F190" s="122"/>
      <c r="G190" s="122"/>
      <c r="H190" s="122"/>
      <c r="I190" s="122"/>
      <c r="J190" s="122"/>
      <c r="K190" s="122"/>
      <c r="L190" s="122"/>
      <c r="M190" s="122"/>
      <c r="N190" s="122"/>
    </row>
    <row r="191" spans="1:14">
      <c r="A191" s="122"/>
      <c r="B191" s="122"/>
      <c r="C191" s="122"/>
      <c r="D191" s="122"/>
      <c r="E191" s="122"/>
      <c r="F191" s="122"/>
      <c r="G191" s="122"/>
      <c r="H191" s="122"/>
      <c r="I191" s="122"/>
      <c r="J191" s="122"/>
      <c r="K191" s="122"/>
      <c r="L191" s="122"/>
      <c r="M191" s="122"/>
      <c r="N191" s="122"/>
    </row>
    <row r="192" spans="1:14">
      <c r="A192" s="122"/>
      <c r="B192" s="122"/>
      <c r="C192" s="122"/>
      <c r="D192" s="122"/>
      <c r="E192" s="122"/>
      <c r="F192" s="122"/>
      <c r="G192" s="122"/>
      <c r="H192" s="122"/>
      <c r="I192" s="122"/>
      <c r="J192" s="122"/>
      <c r="K192" s="122"/>
      <c r="L192" s="122"/>
      <c r="M192" s="122"/>
      <c r="N192" s="122"/>
    </row>
    <row r="193" spans="1:14">
      <c r="A193" s="122"/>
      <c r="B193" s="122"/>
      <c r="C193" s="122"/>
      <c r="D193" s="122"/>
      <c r="E193" s="122"/>
      <c r="F193" s="122"/>
      <c r="G193" s="122"/>
      <c r="H193" s="122"/>
      <c r="I193" s="122"/>
      <c r="J193" s="122"/>
      <c r="K193" s="122"/>
      <c r="L193" s="122"/>
      <c r="M193" s="122"/>
      <c r="N193" s="122"/>
    </row>
    <row r="194" spans="1:14">
      <c r="A194" s="122"/>
      <c r="B194" s="122"/>
      <c r="C194" s="122"/>
      <c r="D194" s="122"/>
      <c r="E194" s="122"/>
      <c r="F194" s="122"/>
      <c r="G194" s="122"/>
      <c r="H194" s="122"/>
      <c r="I194" s="122"/>
      <c r="J194" s="122"/>
      <c r="K194" s="122"/>
      <c r="L194" s="122"/>
      <c r="M194" s="122"/>
      <c r="N194" s="122"/>
    </row>
    <row r="195" spans="1:14">
      <c r="A195" s="122"/>
      <c r="B195" s="122"/>
      <c r="C195" s="122"/>
      <c r="D195" s="122"/>
      <c r="E195" s="122"/>
      <c r="F195" s="122"/>
      <c r="G195" s="122"/>
      <c r="H195" s="122"/>
      <c r="I195" s="122"/>
      <c r="J195" s="122"/>
      <c r="K195" s="122"/>
      <c r="L195" s="122"/>
      <c r="M195" s="122"/>
      <c r="N195" s="122"/>
    </row>
    <row r="196" spans="1:14" ht="37.5" customHeight="1">
      <c r="A196" s="122"/>
      <c r="B196" s="122"/>
      <c r="C196" s="122"/>
      <c r="D196" s="122"/>
      <c r="E196" s="122"/>
      <c r="F196" s="122"/>
      <c r="G196" s="122"/>
      <c r="H196" s="122"/>
      <c r="I196" s="122"/>
      <c r="J196" s="122"/>
      <c r="K196" s="122"/>
      <c r="L196" s="122"/>
      <c r="M196" s="122"/>
      <c r="N196" s="122"/>
    </row>
    <row r="197" spans="1:14">
      <c r="A197" s="122"/>
      <c r="B197" s="122"/>
      <c r="C197" s="122"/>
      <c r="D197" s="122"/>
      <c r="E197" s="122"/>
      <c r="F197" s="122"/>
      <c r="G197" s="122"/>
      <c r="H197" s="122"/>
      <c r="I197" s="122"/>
      <c r="J197" s="122"/>
      <c r="K197" s="122"/>
      <c r="L197" s="122"/>
      <c r="M197" s="122"/>
      <c r="N197" s="122"/>
    </row>
    <row r="198" spans="1:14">
      <c r="A198" s="122"/>
      <c r="B198" s="122"/>
      <c r="C198" s="122"/>
      <c r="D198" s="122"/>
      <c r="E198" s="122"/>
      <c r="F198" s="122"/>
      <c r="G198" s="122"/>
      <c r="H198" s="122"/>
      <c r="I198" s="122"/>
      <c r="J198" s="122"/>
      <c r="K198" s="122"/>
      <c r="L198" s="122"/>
      <c r="M198" s="105"/>
      <c r="N198" s="105"/>
    </row>
    <row r="199" spans="1:14" ht="79.5" customHeight="1">
      <c r="A199" s="122"/>
      <c r="B199" s="122"/>
      <c r="C199" s="122"/>
      <c r="D199" s="122"/>
      <c r="E199" s="122"/>
      <c r="F199" s="122"/>
      <c r="G199" s="122"/>
      <c r="H199" s="122"/>
      <c r="I199" s="122"/>
      <c r="J199" s="122"/>
      <c r="K199" s="122"/>
      <c r="L199" s="122"/>
      <c r="M199" s="105"/>
      <c r="N199" s="105"/>
    </row>
    <row r="201" spans="1:14">
      <c r="A201" s="122"/>
      <c r="B201" s="122"/>
      <c r="C201" s="122"/>
      <c r="D201" s="122"/>
      <c r="E201" s="122"/>
      <c r="F201" s="122"/>
      <c r="G201" s="122"/>
      <c r="H201" s="122"/>
      <c r="I201" s="122"/>
      <c r="J201" s="122"/>
      <c r="K201" s="122"/>
      <c r="L201" s="122"/>
      <c r="M201" s="122"/>
      <c r="N201" s="122"/>
    </row>
    <row r="202" spans="1:14">
      <c r="A202" s="122"/>
      <c r="B202" s="122"/>
      <c r="C202" s="122"/>
      <c r="D202" s="122"/>
      <c r="E202" s="122"/>
      <c r="F202" s="122"/>
      <c r="G202" s="122"/>
      <c r="H202" s="122"/>
      <c r="I202" s="122"/>
      <c r="J202" s="122"/>
      <c r="K202" s="122"/>
      <c r="L202" s="122"/>
      <c r="M202" s="122"/>
      <c r="N202" s="122"/>
    </row>
    <row r="203" spans="1:14">
      <c r="A203" s="122"/>
      <c r="B203" s="122"/>
      <c r="C203" s="122"/>
      <c r="D203" s="122"/>
      <c r="E203" s="122"/>
      <c r="F203" s="122"/>
      <c r="G203" s="122"/>
      <c r="H203" s="122"/>
      <c r="I203" s="122"/>
      <c r="J203" s="122"/>
      <c r="K203" s="122"/>
      <c r="L203" s="122"/>
      <c r="M203" s="122"/>
      <c r="N203" s="122"/>
    </row>
    <row r="204" spans="1:14">
      <c r="A204" s="122"/>
      <c r="B204" s="122"/>
      <c r="C204" s="122"/>
      <c r="D204" s="122"/>
      <c r="E204" s="122"/>
      <c r="F204" s="122"/>
      <c r="G204" s="122"/>
      <c r="H204" s="122"/>
      <c r="I204" s="122"/>
      <c r="J204" s="122"/>
      <c r="K204" s="122"/>
      <c r="L204" s="122"/>
      <c r="M204" s="122"/>
      <c r="N204" s="122"/>
    </row>
    <row r="205" spans="1:14">
      <c r="A205" s="122"/>
      <c r="B205" s="122"/>
      <c r="C205" s="122"/>
      <c r="D205" s="122"/>
      <c r="E205" s="122"/>
      <c r="F205" s="122"/>
      <c r="G205" s="122"/>
      <c r="H205" s="122"/>
      <c r="I205" s="122"/>
      <c r="J205" s="122"/>
      <c r="K205" s="122"/>
      <c r="L205" s="122"/>
      <c r="M205" s="122"/>
      <c r="N205" s="122"/>
    </row>
    <row r="206" spans="1:14">
      <c r="A206" s="122"/>
      <c r="B206" s="122"/>
      <c r="C206" s="122"/>
      <c r="D206" s="122"/>
      <c r="E206" s="122"/>
      <c r="F206" s="122"/>
      <c r="G206" s="122"/>
      <c r="H206" s="122"/>
      <c r="I206" s="122"/>
      <c r="J206" s="122"/>
      <c r="K206" s="122"/>
      <c r="L206" s="122"/>
      <c r="M206" s="122"/>
      <c r="N206" s="122"/>
    </row>
    <row r="207" spans="1:14" ht="32.25" customHeight="1">
      <c r="A207" s="122"/>
      <c r="B207" s="122"/>
      <c r="C207" s="122"/>
      <c r="D207" s="122"/>
      <c r="E207" s="122"/>
      <c r="F207" s="122"/>
      <c r="G207" s="122"/>
      <c r="H207" s="122"/>
      <c r="I207" s="122"/>
      <c r="J207" s="122"/>
      <c r="K207" s="122"/>
      <c r="L207" s="122"/>
      <c r="M207" s="122"/>
      <c r="N207" s="122"/>
    </row>
    <row r="208" spans="1:14">
      <c r="A208" s="122"/>
      <c r="B208" s="122"/>
      <c r="C208" s="122"/>
      <c r="D208" s="122"/>
      <c r="E208" s="122"/>
      <c r="F208" s="122"/>
      <c r="G208" s="122"/>
      <c r="H208" s="122"/>
      <c r="I208" s="122"/>
      <c r="J208" s="122"/>
      <c r="K208" s="122"/>
      <c r="L208" s="122"/>
      <c r="M208" s="122"/>
      <c r="N208" s="122"/>
    </row>
    <row r="209" spans="1:14">
      <c r="A209" s="122"/>
      <c r="B209" s="122"/>
      <c r="C209" s="122"/>
      <c r="D209" s="122"/>
      <c r="E209" s="122"/>
      <c r="F209" s="122"/>
      <c r="G209" s="122"/>
      <c r="H209" s="122"/>
      <c r="I209" s="122"/>
      <c r="J209" s="122"/>
      <c r="K209" s="122"/>
      <c r="L209" s="122"/>
      <c r="M209" s="105"/>
      <c r="N209" s="105"/>
    </row>
    <row r="210" spans="1:14" ht="67.5" customHeight="1">
      <c r="A210" s="122"/>
      <c r="B210" s="122"/>
      <c r="C210" s="122"/>
      <c r="D210" s="122"/>
      <c r="E210" s="122"/>
      <c r="F210" s="122"/>
      <c r="G210" s="122"/>
      <c r="H210" s="122"/>
      <c r="I210" s="122"/>
      <c r="J210" s="122"/>
      <c r="K210" s="122"/>
      <c r="L210" s="122"/>
      <c r="M210" s="105"/>
      <c r="N210" s="105"/>
    </row>
    <row r="212" spans="1:14">
      <c r="A212" s="122"/>
      <c r="B212" s="122"/>
      <c r="C212" s="122"/>
      <c r="D212" s="122"/>
      <c r="E212" s="122"/>
      <c r="F212" s="122"/>
      <c r="G212" s="122"/>
      <c r="H212" s="122"/>
      <c r="I212" s="122"/>
      <c r="J212" s="122"/>
      <c r="K212" s="122"/>
      <c r="L212" s="122"/>
      <c r="M212" s="122"/>
      <c r="N212" s="122"/>
    </row>
    <row r="213" spans="1:14">
      <c r="A213" s="122"/>
      <c r="B213" s="122"/>
      <c r="C213" s="122"/>
      <c r="D213" s="122"/>
      <c r="E213" s="122"/>
      <c r="F213" s="122"/>
      <c r="G213" s="122"/>
      <c r="H213" s="122"/>
      <c r="I213" s="122"/>
      <c r="J213" s="122"/>
      <c r="K213" s="122"/>
      <c r="L213" s="122"/>
      <c r="M213" s="122"/>
      <c r="N213" s="122"/>
    </row>
    <row r="214" spans="1:14">
      <c r="A214" s="122"/>
      <c r="B214" s="122"/>
      <c r="C214" s="122"/>
      <c r="D214" s="122"/>
      <c r="E214" s="122"/>
      <c r="F214" s="122"/>
      <c r="G214" s="122"/>
      <c r="H214" s="122"/>
      <c r="I214" s="122"/>
      <c r="J214" s="122"/>
      <c r="K214" s="122"/>
      <c r="L214" s="122"/>
      <c r="M214" s="122"/>
      <c r="N214" s="122"/>
    </row>
    <row r="215" spans="1:14">
      <c r="A215" s="122"/>
      <c r="B215" s="122"/>
      <c r="C215" s="122"/>
      <c r="D215" s="122"/>
      <c r="E215" s="122"/>
      <c r="F215" s="122"/>
      <c r="G215" s="122"/>
      <c r="H215" s="122"/>
      <c r="I215" s="122"/>
      <c r="J215" s="122"/>
      <c r="K215" s="122"/>
      <c r="L215" s="122"/>
      <c r="M215" s="122"/>
      <c r="N215" s="122"/>
    </row>
    <row r="216" spans="1:14">
      <c r="A216" s="122"/>
      <c r="B216" s="122"/>
      <c r="C216" s="122"/>
      <c r="D216" s="122"/>
      <c r="E216" s="122"/>
      <c r="F216" s="122"/>
      <c r="G216" s="122"/>
      <c r="H216" s="122"/>
      <c r="I216" s="122"/>
      <c r="J216" s="122"/>
      <c r="K216" s="122"/>
      <c r="L216" s="122"/>
      <c r="M216" s="122"/>
      <c r="N216" s="122"/>
    </row>
    <row r="217" spans="1:14">
      <c r="A217" s="122"/>
      <c r="B217" s="122"/>
      <c r="C217" s="122"/>
      <c r="D217" s="122"/>
      <c r="E217" s="122"/>
      <c r="F217" s="122"/>
      <c r="G217" s="122"/>
      <c r="H217" s="122"/>
      <c r="I217" s="122"/>
      <c r="J217" s="122"/>
      <c r="K217" s="122"/>
      <c r="L217" s="122"/>
      <c r="M217" s="122"/>
      <c r="N217" s="122"/>
    </row>
    <row r="218" spans="1:14" ht="42.75" customHeight="1">
      <c r="A218" s="122"/>
      <c r="B218" s="122"/>
      <c r="C218" s="122"/>
      <c r="D218" s="122"/>
      <c r="E218" s="122"/>
      <c r="F218" s="122"/>
      <c r="G218" s="122"/>
      <c r="H218" s="122"/>
      <c r="I218" s="122"/>
      <c r="J218" s="122"/>
      <c r="K218" s="122"/>
      <c r="L218" s="122"/>
      <c r="M218" s="122"/>
      <c r="N218" s="122"/>
    </row>
    <row r="219" spans="1:14">
      <c r="A219" s="122"/>
      <c r="B219" s="122"/>
      <c r="C219" s="122"/>
      <c r="D219" s="122"/>
      <c r="E219" s="122"/>
      <c r="F219" s="122"/>
      <c r="G219" s="122"/>
      <c r="H219" s="122"/>
      <c r="I219" s="122"/>
      <c r="J219" s="122"/>
      <c r="K219" s="122"/>
      <c r="L219" s="122"/>
      <c r="M219" s="122"/>
      <c r="N219" s="122"/>
    </row>
    <row r="220" spans="1:14">
      <c r="A220" s="122"/>
      <c r="B220" s="122"/>
      <c r="C220" s="122"/>
      <c r="D220" s="122"/>
      <c r="E220" s="122"/>
      <c r="F220" s="122"/>
      <c r="G220" s="122"/>
      <c r="H220" s="122"/>
      <c r="I220" s="122"/>
      <c r="J220" s="122"/>
      <c r="K220" s="122"/>
      <c r="L220" s="122"/>
      <c r="M220" s="105"/>
      <c r="N220" s="105"/>
    </row>
    <row r="221" spans="1:14" ht="75.75" customHeight="1">
      <c r="A221" s="122"/>
      <c r="B221" s="122"/>
      <c r="C221" s="122"/>
      <c r="D221" s="122"/>
      <c r="E221" s="122"/>
      <c r="F221" s="122"/>
      <c r="G221" s="122"/>
      <c r="H221" s="122"/>
      <c r="I221" s="122"/>
      <c r="J221" s="122"/>
      <c r="K221" s="122"/>
      <c r="L221" s="122"/>
      <c r="M221" s="105"/>
      <c r="N221" s="105"/>
    </row>
    <row r="223" spans="1:14">
      <c r="A223" s="122"/>
      <c r="B223" s="122"/>
      <c r="C223" s="122"/>
      <c r="D223" s="122"/>
      <c r="E223" s="122"/>
      <c r="F223" s="122"/>
      <c r="G223" s="122"/>
      <c r="H223" s="122"/>
      <c r="I223" s="122"/>
      <c r="J223" s="122"/>
      <c r="K223" s="122"/>
      <c r="L223" s="122"/>
      <c r="M223" s="122"/>
      <c r="N223" s="122"/>
    </row>
    <row r="224" spans="1:14">
      <c r="A224" s="122"/>
      <c r="B224" s="122"/>
      <c r="C224" s="122"/>
      <c r="D224" s="122"/>
      <c r="E224" s="122"/>
      <c r="F224" s="122"/>
      <c r="G224" s="122"/>
      <c r="H224" s="122"/>
      <c r="I224" s="122"/>
      <c r="J224" s="122"/>
      <c r="K224" s="122"/>
      <c r="L224" s="122"/>
      <c r="M224" s="122"/>
      <c r="N224" s="122"/>
    </row>
    <row r="225" spans="1:14">
      <c r="A225" s="122"/>
      <c r="B225" s="122"/>
      <c r="C225" s="122"/>
      <c r="D225" s="122"/>
      <c r="E225" s="122"/>
      <c r="F225" s="122"/>
      <c r="G225" s="122"/>
      <c r="H225" s="122"/>
      <c r="I225" s="122"/>
      <c r="J225" s="122"/>
      <c r="K225" s="122"/>
      <c r="L225" s="122"/>
      <c r="M225" s="122"/>
      <c r="N225" s="122"/>
    </row>
    <row r="226" spans="1:14">
      <c r="A226" s="122"/>
      <c r="B226" s="122"/>
      <c r="C226" s="122"/>
      <c r="D226" s="122"/>
      <c r="E226" s="122"/>
      <c r="F226" s="122"/>
      <c r="G226" s="122"/>
      <c r="H226" s="122"/>
      <c r="I226" s="122"/>
      <c r="J226" s="122"/>
      <c r="K226" s="122"/>
      <c r="L226" s="122"/>
      <c r="M226" s="122"/>
      <c r="N226" s="122"/>
    </row>
    <row r="227" spans="1:14">
      <c r="A227" s="122"/>
      <c r="B227" s="122"/>
      <c r="C227" s="122"/>
      <c r="D227" s="122"/>
      <c r="E227" s="122"/>
      <c r="F227" s="122"/>
      <c r="G227" s="122"/>
      <c r="H227" s="122"/>
      <c r="I227" s="122"/>
      <c r="J227" s="122"/>
      <c r="K227" s="122"/>
      <c r="L227" s="122"/>
      <c r="M227" s="122"/>
      <c r="N227" s="122"/>
    </row>
    <row r="228" spans="1:14">
      <c r="A228" s="122"/>
      <c r="B228" s="122"/>
      <c r="C228" s="122"/>
      <c r="D228" s="122"/>
      <c r="E228" s="122"/>
      <c r="F228" s="122"/>
      <c r="G228" s="122"/>
      <c r="H228" s="122"/>
      <c r="I228" s="122"/>
      <c r="J228" s="122"/>
      <c r="K228" s="122"/>
      <c r="L228" s="122"/>
      <c r="M228" s="122"/>
      <c r="N228" s="122"/>
    </row>
    <row r="229" spans="1:14" ht="37.5" customHeight="1">
      <c r="A229" s="122"/>
      <c r="B229" s="122"/>
      <c r="C229" s="122"/>
      <c r="D229" s="122"/>
      <c r="E229" s="122"/>
      <c r="F229" s="122"/>
      <c r="G229" s="122"/>
      <c r="H229" s="122"/>
      <c r="I229" s="122"/>
      <c r="J229" s="122"/>
      <c r="K229" s="122"/>
      <c r="L229" s="122"/>
      <c r="M229" s="122"/>
      <c r="N229" s="122"/>
    </row>
    <row r="230" spans="1:14">
      <c r="A230" s="122"/>
      <c r="B230" s="122"/>
      <c r="C230" s="122"/>
      <c r="D230" s="122"/>
      <c r="E230" s="122"/>
      <c r="F230" s="122"/>
      <c r="G230" s="122"/>
      <c r="H230" s="122"/>
      <c r="I230" s="122"/>
      <c r="J230" s="122"/>
      <c r="K230" s="122"/>
      <c r="L230" s="122"/>
      <c r="M230" s="122"/>
      <c r="N230" s="122"/>
    </row>
    <row r="231" spans="1:14">
      <c r="A231" s="122"/>
      <c r="B231" s="122"/>
      <c r="C231" s="122"/>
      <c r="D231" s="122"/>
      <c r="E231" s="122"/>
      <c r="F231" s="122"/>
      <c r="G231" s="122"/>
      <c r="H231" s="122"/>
      <c r="I231" s="122"/>
      <c r="J231" s="122"/>
      <c r="K231" s="122"/>
      <c r="L231" s="122"/>
      <c r="M231" s="105"/>
      <c r="N231" s="105"/>
    </row>
    <row r="232" spans="1:14" ht="66" customHeight="1">
      <c r="A232" s="122"/>
      <c r="B232" s="122"/>
      <c r="C232" s="122"/>
      <c r="D232" s="122"/>
      <c r="E232" s="122"/>
      <c r="F232" s="122"/>
      <c r="G232" s="122"/>
      <c r="H232" s="122"/>
      <c r="I232" s="122"/>
      <c r="J232" s="122"/>
      <c r="K232" s="122"/>
      <c r="L232" s="122"/>
      <c r="M232" s="105"/>
      <c r="N232" s="105"/>
    </row>
    <row r="234" spans="1:14">
      <c r="A234" s="122"/>
      <c r="B234" s="122"/>
      <c r="C234" s="122"/>
      <c r="D234" s="122"/>
      <c r="E234" s="122"/>
      <c r="F234" s="122"/>
      <c r="G234" s="122"/>
      <c r="H234" s="122"/>
      <c r="I234" s="122"/>
      <c r="J234" s="122"/>
      <c r="K234" s="122"/>
      <c r="L234" s="122"/>
      <c r="M234" s="122"/>
      <c r="N234" s="122"/>
    </row>
    <row r="235" spans="1:14">
      <c r="A235" s="122"/>
      <c r="B235" s="122"/>
      <c r="C235" s="122"/>
      <c r="D235" s="122"/>
      <c r="E235" s="122"/>
      <c r="F235" s="122"/>
      <c r="G235" s="122"/>
      <c r="H235" s="122"/>
      <c r="I235" s="122"/>
      <c r="J235" s="122"/>
      <c r="K235" s="122"/>
      <c r="L235" s="122"/>
      <c r="M235" s="122"/>
      <c r="N235" s="122"/>
    </row>
    <row r="236" spans="1:14">
      <c r="A236" s="122"/>
      <c r="B236" s="122"/>
      <c r="C236" s="122"/>
      <c r="D236" s="122"/>
      <c r="E236" s="122"/>
      <c r="F236" s="122"/>
      <c r="G236" s="122"/>
      <c r="H236" s="122"/>
      <c r="I236" s="122"/>
      <c r="J236" s="122"/>
      <c r="K236" s="122"/>
      <c r="L236" s="122"/>
      <c r="M236" s="122"/>
      <c r="N236" s="122"/>
    </row>
    <row r="237" spans="1:14">
      <c r="A237" s="122"/>
      <c r="B237" s="122"/>
      <c r="C237" s="122"/>
      <c r="D237" s="122"/>
      <c r="E237" s="122"/>
      <c r="F237" s="122"/>
      <c r="G237" s="122"/>
      <c r="H237" s="122"/>
      <c r="I237" s="122"/>
      <c r="J237" s="122"/>
      <c r="K237" s="122"/>
      <c r="L237" s="122"/>
      <c r="M237" s="122"/>
      <c r="N237" s="122"/>
    </row>
    <row r="238" spans="1:14">
      <c r="A238" s="122"/>
      <c r="B238" s="122"/>
      <c r="C238" s="122"/>
      <c r="D238" s="122"/>
      <c r="E238" s="122"/>
      <c r="F238" s="122"/>
      <c r="G238" s="122"/>
      <c r="H238" s="122"/>
      <c r="I238" s="122"/>
      <c r="J238" s="122"/>
      <c r="K238" s="122"/>
      <c r="L238" s="122"/>
      <c r="M238" s="122"/>
      <c r="N238" s="122"/>
    </row>
    <row r="239" spans="1:14">
      <c r="A239" s="122"/>
      <c r="B239" s="122"/>
      <c r="C239" s="122"/>
      <c r="D239" s="122"/>
      <c r="E239" s="122"/>
      <c r="F239" s="122"/>
      <c r="G239" s="122"/>
      <c r="H239" s="122"/>
      <c r="I239" s="122"/>
      <c r="J239" s="122"/>
      <c r="K239" s="122"/>
      <c r="L239" s="122"/>
      <c r="M239" s="122"/>
      <c r="N239" s="122"/>
    </row>
    <row r="240" spans="1:14" ht="44.25" customHeight="1">
      <c r="A240" s="122"/>
      <c r="B240" s="122"/>
      <c r="C240" s="122"/>
      <c r="D240" s="122"/>
      <c r="E240" s="122"/>
      <c r="F240" s="122"/>
      <c r="G240" s="122"/>
      <c r="H240" s="122"/>
      <c r="I240" s="122"/>
      <c r="J240" s="122"/>
      <c r="K240" s="122"/>
      <c r="L240" s="122"/>
      <c r="M240" s="122"/>
      <c r="N240" s="122"/>
    </row>
    <row r="241" spans="1:14">
      <c r="A241" s="122"/>
      <c r="B241" s="122"/>
      <c r="C241" s="122"/>
      <c r="D241" s="122"/>
      <c r="E241" s="122"/>
      <c r="F241" s="122"/>
      <c r="G241" s="122"/>
      <c r="H241" s="122"/>
      <c r="I241" s="122"/>
      <c r="J241" s="122"/>
      <c r="K241" s="122"/>
      <c r="L241" s="122"/>
      <c r="M241" s="122"/>
      <c r="N241" s="122"/>
    </row>
    <row r="242" spans="1:14">
      <c r="A242" s="122"/>
      <c r="B242" s="122"/>
      <c r="C242" s="122"/>
      <c r="D242" s="122"/>
      <c r="E242" s="122"/>
      <c r="F242" s="122"/>
      <c r="G242" s="122"/>
      <c r="H242" s="122"/>
      <c r="I242" s="122"/>
      <c r="J242" s="122"/>
      <c r="K242" s="122"/>
      <c r="L242" s="122"/>
      <c r="M242" s="105"/>
      <c r="N242" s="105"/>
    </row>
    <row r="243" spans="1:14" ht="65.25" customHeight="1">
      <c r="A243" s="122"/>
      <c r="B243" s="122"/>
      <c r="C243" s="122"/>
      <c r="D243" s="122"/>
      <c r="E243" s="122"/>
      <c r="F243" s="122"/>
      <c r="G243" s="122"/>
      <c r="H243" s="122"/>
      <c r="I243" s="122"/>
      <c r="J243" s="122"/>
      <c r="K243" s="122"/>
      <c r="L243" s="122"/>
      <c r="M243" s="105"/>
      <c r="N243" s="105"/>
    </row>
    <row r="245" spans="1:14">
      <c r="A245" s="122"/>
      <c r="B245" s="122"/>
      <c r="C245" s="122"/>
      <c r="D245" s="122"/>
      <c r="E245" s="122"/>
      <c r="F245" s="122"/>
      <c r="G245" s="122"/>
      <c r="H245" s="122"/>
      <c r="I245" s="122"/>
      <c r="J245" s="122"/>
      <c r="K245" s="122"/>
      <c r="L245" s="122"/>
      <c r="M245" s="122"/>
      <c r="N245" s="122"/>
    </row>
    <row r="246" spans="1:14">
      <c r="A246" s="122"/>
      <c r="B246" s="122"/>
      <c r="C246" s="122"/>
      <c r="D246" s="122"/>
      <c r="E246" s="122"/>
      <c r="F246" s="122"/>
      <c r="G246" s="122"/>
      <c r="H246" s="122"/>
      <c r="I246" s="122"/>
      <c r="J246" s="122"/>
      <c r="K246" s="122"/>
      <c r="L246" s="122"/>
      <c r="M246" s="122"/>
      <c r="N246" s="122"/>
    </row>
    <row r="247" spans="1:14">
      <c r="A247" s="122"/>
      <c r="B247" s="122"/>
      <c r="C247" s="122"/>
      <c r="D247" s="122"/>
      <c r="E247" s="122"/>
      <c r="F247" s="122"/>
      <c r="G247" s="122"/>
      <c r="H247" s="122"/>
      <c r="I247" s="122"/>
      <c r="J247" s="122"/>
      <c r="K247" s="122"/>
      <c r="L247" s="122"/>
      <c r="M247" s="122"/>
      <c r="N247" s="122"/>
    </row>
    <row r="248" spans="1:14">
      <c r="A248" s="122"/>
      <c r="B248" s="122"/>
      <c r="C248" s="122"/>
      <c r="D248" s="122"/>
      <c r="E248" s="122"/>
      <c r="F248" s="122"/>
      <c r="G248" s="122"/>
      <c r="H248" s="122"/>
      <c r="I248" s="122"/>
      <c r="J248" s="122"/>
      <c r="K248" s="122"/>
      <c r="L248" s="122"/>
      <c r="M248" s="122"/>
      <c r="N248" s="122"/>
    </row>
    <row r="249" spans="1:14">
      <c r="A249" s="122"/>
      <c r="B249" s="122"/>
      <c r="C249" s="122"/>
      <c r="D249" s="122"/>
      <c r="E249" s="122"/>
      <c r="F249" s="122"/>
      <c r="G249" s="122"/>
      <c r="H249" s="122"/>
      <c r="I249" s="122"/>
      <c r="J249" s="122"/>
      <c r="K249" s="122"/>
      <c r="L249" s="122"/>
      <c r="M249" s="122"/>
      <c r="N249" s="122"/>
    </row>
    <row r="250" spans="1:14">
      <c r="A250" s="122"/>
      <c r="B250" s="122"/>
      <c r="C250" s="122"/>
      <c r="D250" s="122"/>
      <c r="E250" s="122"/>
      <c r="F250" s="122"/>
      <c r="G250" s="122"/>
      <c r="H250" s="122"/>
      <c r="I250" s="122"/>
      <c r="J250" s="122"/>
      <c r="K250" s="122"/>
      <c r="L250" s="122"/>
      <c r="M250" s="122"/>
      <c r="N250" s="122"/>
    </row>
    <row r="251" spans="1:14" ht="38.25" customHeight="1">
      <c r="A251" s="122"/>
      <c r="B251" s="122"/>
      <c r="C251" s="122"/>
      <c r="D251" s="122"/>
      <c r="E251" s="122"/>
      <c r="F251" s="122"/>
      <c r="G251" s="122"/>
      <c r="H251" s="122"/>
      <c r="I251" s="122"/>
      <c r="J251" s="122"/>
      <c r="K251" s="122"/>
      <c r="L251" s="122"/>
      <c r="M251" s="122"/>
      <c r="N251" s="122"/>
    </row>
    <row r="252" spans="1:14">
      <c r="A252" s="122"/>
      <c r="B252" s="122"/>
      <c r="C252" s="122"/>
      <c r="D252" s="122"/>
      <c r="E252" s="122"/>
      <c r="F252" s="122"/>
      <c r="G252" s="122"/>
      <c r="H252" s="122"/>
      <c r="I252" s="122"/>
      <c r="J252" s="122"/>
      <c r="K252" s="122"/>
      <c r="L252" s="122"/>
      <c r="M252" s="122"/>
      <c r="N252" s="122"/>
    </row>
    <row r="253" spans="1:14">
      <c r="A253" s="122"/>
      <c r="B253" s="122"/>
      <c r="C253" s="122"/>
      <c r="D253" s="122"/>
      <c r="E253" s="122"/>
      <c r="F253" s="122"/>
      <c r="G253" s="122"/>
      <c r="H253" s="122"/>
      <c r="I253" s="122"/>
      <c r="J253" s="122"/>
      <c r="K253" s="122"/>
      <c r="L253" s="122"/>
      <c r="M253" s="105"/>
      <c r="N253" s="105"/>
    </row>
    <row r="254" spans="1:14" ht="72.75" customHeight="1">
      <c r="A254" s="122"/>
      <c r="B254" s="122"/>
      <c r="C254" s="122"/>
      <c r="D254" s="122"/>
      <c r="E254" s="122"/>
      <c r="F254" s="122"/>
      <c r="G254" s="122"/>
      <c r="H254" s="122"/>
      <c r="I254" s="122"/>
      <c r="J254" s="122"/>
      <c r="K254" s="122"/>
      <c r="L254" s="122"/>
      <c r="M254" s="105"/>
      <c r="N254" s="105"/>
    </row>
    <row r="256" spans="1:14">
      <c r="A256" s="122"/>
      <c r="B256" s="122"/>
      <c r="C256" s="122"/>
      <c r="D256" s="122"/>
      <c r="E256" s="122"/>
      <c r="F256" s="122"/>
      <c r="G256" s="122"/>
      <c r="H256" s="122"/>
      <c r="I256" s="122"/>
      <c r="J256" s="122"/>
      <c r="K256" s="122"/>
      <c r="L256" s="122"/>
      <c r="M256" s="122"/>
      <c r="N256" s="122"/>
    </row>
    <row r="257" spans="1:14">
      <c r="A257" s="122"/>
      <c r="B257" s="122"/>
      <c r="C257" s="122"/>
      <c r="D257" s="122"/>
      <c r="E257" s="122"/>
      <c r="F257" s="122"/>
      <c r="G257" s="122"/>
      <c r="H257" s="122"/>
      <c r="I257" s="122"/>
      <c r="J257" s="122"/>
      <c r="K257" s="122"/>
      <c r="L257" s="122"/>
      <c r="M257" s="122"/>
      <c r="N257" s="122"/>
    </row>
    <row r="258" spans="1:14">
      <c r="A258" s="122"/>
      <c r="B258" s="122"/>
      <c r="C258" s="122"/>
      <c r="D258" s="122"/>
      <c r="E258" s="122"/>
      <c r="F258" s="122"/>
      <c r="G258" s="122"/>
      <c r="H258" s="122"/>
      <c r="I258" s="122"/>
      <c r="J258" s="122"/>
      <c r="K258" s="122"/>
      <c r="L258" s="122"/>
      <c r="M258" s="122"/>
      <c r="N258" s="122"/>
    </row>
    <row r="259" spans="1:14">
      <c r="A259" s="122"/>
      <c r="B259" s="122"/>
      <c r="C259" s="122"/>
      <c r="D259" s="122"/>
      <c r="E259" s="122"/>
      <c r="F259" s="122"/>
      <c r="G259" s="122"/>
      <c r="H259" s="122"/>
      <c r="I259" s="122"/>
      <c r="J259" s="122"/>
      <c r="K259" s="122"/>
      <c r="L259" s="122"/>
      <c r="M259" s="122"/>
      <c r="N259" s="122"/>
    </row>
    <row r="260" spans="1:14">
      <c r="A260" s="122"/>
      <c r="B260" s="122"/>
      <c r="C260" s="122"/>
      <c r="D260" s="122"/>
      <c r="E260" s="122"/>
      <c r="F260" s="122"/>
      <c r="G260" s="122"/>
      <c r="H260" s="122"/>
      <c r="I260" s="122"/>
      <c r="J260" s="122"/>
      <c r="K260" s="122"/>
      <c r="L260" s="122"/>
      <c r="M260" s="122"/>
      <c r="N260" s="122"/>
    </row>
    <row r="261" spans="1:14">
      <c r="A261" s="122"/>
      <c r="B261" s="122"/>
      <c r="C261" s="122"/>
      <c r="D261" s="122"/>
      <c r="E261" s="122"/>
      <c r="F261" s="122"/>
      <c r="G261" s="122"/>
      <c r="H261" s="122"/>
      <c r="I261" s="122"/>
      <c r="J261" s="122"/>
      <c r="K261" s="122"/>
      <c r="L261" s="122"/>
      <c r="M261" s="122"/>
      <c r="N261" s="122"/>
    </row>
    <row r="262" spans="1:14" ht="33" customHeight="1">
      <c r="A262" s="122"/>
      <c r="B262" s="122"/>
      <c r="C262" s="122"/>
      <c r="D262" s="122"/>
      <c r="E262" s="122"/>
      <c r="F262" s="122"/>
      <c r="G262" s="122"/>
      <c r="H262" s="122"/>
      <c r="I262" s="122"/>
      <c r="J262" s="122"/>
      <c r="K262" s="122"/>
      <c r="L262" s="122"/>
      <c r="M262" s="122"/>
      <c r="N262" s="122"/>
    </row>
    <row r="263" spans="1:14">
      <c r="A263" s="122"/>
      <c r="B263" s="122"/>
      <c r="C263" s="122"/>
      <c r="D263" s="122"/>
      <c r="E263" s="122"/>
      <c r="F263" s="122"/>
      <c r="G263" s="122"/>
      <c r="H263" s="122"/>
      <c r="I263" s="122"/>
      <c r="J263" s="122"/>
      <c r="K263" s="122"/>
      <c r="L263" s="122"/>
      <c r="M263" s="122"/>
      <c r="N263" s="122"/>
    </row>
    <row r="264" spans="1:14">
      <c r="A264" s="122"/>
      <c r="B264" s="122"/>
      <c r="C264" s="122"/>
      <c r="D264" s="122"/>
      <c r="E264" s="122"/>
      <c r="F264" s="122"/>
      <c r="G264" s="122"/>
      <c r="H264" s="122"/>
      <c r="I264" s="122"/>
      <c r="J264" s="122"/>
      <c r="K264" s="122"/>
      <c r="L264" s="122"/>
      <c r="M264" s="105"/>
      <c r="N264" s="105"/>
    </row>
    <row r="265" spans="1:14" ht="69.75" customHeight="1">
      <c r="A265" s="122"/>
      <c r="B265" s="122"/>
      <c r="C265" s="122"/>
      <c r="D265" s="122"/>
      <c r="E265" s="122"/>
      <c r="F265" s="122"/>
      <c r="G265" s="122"/>
      <c r="H265" s="122"/>
      <c r="I265" s="122"/>
      <c r="J265" s="122"/>
      <c r="K265" s="122"/>
      <c r="L265" s="122"/>
      <c r="M265" s="105"/>
      <c r="N265" s="105"/>
    </row>
    <row r="267" spans="1:14">
      <c r="A267" s="122"/>
      <c r="B267" s="122"/>
      <c r="C267" s="122"/>
      <c r="D267" s="122"/>
      <c r="E267" s="122"/>
      <c r="F267" s="122"/>
      <c r="G267" s="122"/>
      <c r="H267" s="122"/>
      <c r="I267" s="122"/>
      <c r="J267" s="122"/>
      <c r="K267" s="122"/>
      <c r="L267" s="122"/>
      <c r="M267" s="122"/>
      <c r="N267" s="122"/>
    </row>
    <row r="268" spans="1:14">
      <c r="A268" s="122"/>
      <c r="B268" s="122"/>
      <c r="C268" s="122"/>
      <c r="D268" s="122"/>
      <c r="E268" s="122"/>
      <c r="F268" s="122"/>
      <c r="G268" s="122"/>
      <c r="H268" s="122"/>
      <c r="I268" s="122"/>
      <c r="J268" s="122"/>
      <c r="K268" s="122"/>
      <c r="L268" s="122"/>
      <c r="M268" s="122"/>
      <c r="N268" s="122"/>
    </row>
    <row r="269" spans="1:14">
      <c r="A269" s="122"/>
      <c r="B269" s="122"/>
      <c r="C269" s="122"/>
      <c r="D269" s="122"/>
      <c r="E269" s="122"/>
      <c r="F269" s="122"/>
      <c r="G269" s="122"/>
      <c r="H269" s="122"/>
      <c r="I269" s="122"/>
      <c r="J269" s="122"/>
      <c r="K269" s="122"/>
      <c r="L269" s="122"/>
      <c r="M269" s="122"/>
      <c r="N269" s="122"/>
    </row>
    <row r="270" spans="1:14">
      <c r="A270" s="122"/>
      <c r="B270" s="122"/>
      <c r="C270" s="122"/>
      <c r="D270" s="122"/>
      <c r="E270" s="122"/>
      <c r="F270" s="122"/>
      <c r="G270" s="122"/>
      <c r="H270" s="122"/>
      <c r="I270" s="122"/>
      <c r="J270" s="122"/>
      <c r="K270" s="122"/>
      <c r="L270" s="122"/>
      <c r="M270" s="122"/>
      <c r="N270" s="122"/>
    </row>
    <row r="271" spans="1:14">
      <c r="A271" s="122"/>
      <c r="B271" s="122"/>
      <c r="C271" s="122"/>
      <c r="D271" s="122"/>
      <c r="E271" s="122"/>
      <c r="F271" s="122"/>
      <c r="G271" s="122"/>
      <c r="H271" s="122"/>
      <c r="I271" s="122"/>
      <c r="J271" s="122"/>
      <c r="K271" s="122"/>
      <c r="L271" s="122"/>
      <c r="M271" s="122"/>
      <c r="N271" s="122"/>
    </row>
    <row r="272" spans="1:14">
      <c r="A272" s="122"/>
      <c r="B272" s="122"/>
      <c r="C272" s="122"/>
      <c r="D272" s="122"/>
      <c r="E272" s="122"/>
      <c r="F272" s="122"/>
      <c r="G272" s="122"/>
      <c r="H272" s="122"/>
      <c r="I272" s="122"/>
      <c r="J272" s="122"/>
      <c r="K272" s="122"/>
      <c r="L272" s="122"/>
      <c r="M272" s="122"/>
      <c r="N272" s="122"/>
    </row>
    <row r="273" spans="1:14" ht="36.75" customHeight="1">
      <c r="A273" s="122"/>
      <c r="B273" s="122"/>
      <c r="C273" s="122"/>
      <c r="D273" s="122"/>
      <c r="E273" s="122"/>
      <c r="F273" s="122"/>
      <c r="G273" s="122"/>
      <c r="H273" s="122"/>
      <c r="I273" s="122"/>
      <c r="J273" s="122"/>
      <c r="K273" s="122"/>
      <c r="L273" s="122"/>
      <c r="M273" s="122"/>
      <c r="N273" s="122"/>
    </row>
    <row r="274" spans="1:14">
      <c r="A274" s="122"/>
      <c r="B274" s="122"/>
      <c r="C274" s="122"/>
      <c r="D274" s="122"/>
      <c r="E274" s="122"/>
      <c r="F274" s="122"/>
      <c r="G274" s="122"/>
      <c r="H274" s="122"/>
      <c r="I274" s="122"/>
      <c r="J274" s="122"/>
      <c r="K274" s="122"/>
      <c r="L274" s="122"/>
      <c r="M274" s="122"/>
      <c r="N274" s="122"/>
    </row>
    <row r="275" spans="1:14">
      <c r="A275" s="122"/>
      <c r="B275" s="122"/>
      <c r="C275" s="122"/>
      <c r="D275" s="122"/>
      <c r="E275" s="122"/>
      <c r="F275" s="122"/>
      <c r="G275" s="122"/>
      <c r="H275" s="122"/>
      <c r="I275" s="122"/>
      <c r="J275" s="122"/>
      <c r="K275" s="122"/>
      <c r="L275" s="122"/>
      <c r="M275" s="105"/>
      <c r="N275" s="105"/>
    </row>
    <row r="276" spans="1:14" ht="84.75" customHeight="1">
      <c r="A276" s="122"/>
      <c r="B276" s="122"/>
      <c r="C276" s="122"/>
      <c r="D276" s="122"/>
      <c r="E276" s="122"/>
      <c r="F276" s="122"/>
      <c r="G276" s="122"/>
      <c r="H276" s="122"/>
      <c r="I276" s="122"/>
      <c r="J276" s="122"/>
      <c r="K276" s="122"/>
      <c r="L276" s="122"/>
      <c r="M276" s="105"/>
      <c r="N276" s="105"/>
    </row>
    <row r="278" spans="1:14">
      <c r="A278" s="122"/>
      <c r="B278" s="122"/>
      <c r="C278" s="122"/>
      <c r="D278" s="122"/>
      <c r="E278" s="122"/>
      <c r="F278" s="122"/>
      <c r="G278" s="122"/>
      <c r="H278" s="122"/>
      <c r="I278" s="122"/>
      <c r="J278" s="122"/>
      <c r="K278" s="122"/>
      <c r="L278" s="122"/>
      <c r="M278" s="122"/>
      <c r="N278" s="122"/>
    </row>
    <row r="279" spans="1:14">
      <c r="A279" s="122"/>
      <c r="B279" s="122"/>
      <c r="C279" s="122"/>
      <c r="D279" s="122"/>
      <c r="E279" s="122"/>
      <c r="F279" s="122"/>
      <c r="G279" s="122"/>
      <c r="H279" s="122"/>
      <c r="I279" s="122"/>
      <c r="J279" s="122"/>
      <c r="K279" s="122"/>
      <c r="L279" s="122"/>
      <c r="M279" s="122"/>
      <c r="N279" s="122"/>
    </row>
    <row r="280" spans="1:14">
      <c r="A280" s="122"/>
      <c r="B280" s="122"/>
      <c r="C280" s="122"/>
      <c r="D280" s="122"/>
      <c r="E280" s="122"/>
      <c r="F280" s="122"/>
      <c r="G280" s="122"/>
      <c r="H280" s="122"/>
      <c r="I280" s="122"/>
      <c r="J280" s="122"/>
      <c r="K280" s="122"/>
      <c r="L280" s="122"/>
      <c r="M280" s="122"/>
      <c r="N280" s="122"/>
    </row>
    <row r="281" spans="1:14">
      <c r="A281" s="122"/>
      <c r="B281" s="122"/>
      <c r="C281" s="122"/>
      <c r="D281" s="122"/>
      <c r="E281" s="122"/>
      <c r="F281" s="122"/>
      <c r="G281" s="122"/>
      <c r="H281" s="122"/>
      <c r="I281" s="122"/>
      <c r="J281" s="122"/>
      <c r="K281" s="122"/>
      <c r="L281" s="122"/>
      <c r="M281" s="122"/>
      <c r="N281" s="122"/>
    </row>
    <row r="282" spans="1:14">
      <c r="A282" s="122"/>
      <c r="B282" s="122"/>
      <c r="C282" s="122"/>
      <c r="D282" s="122"/>
      <c r="E282" s="122"/>
      <c r="F282" s="122"/>
      <c r="G282" s="122"/>
      <c r="H282" s="122"/>
      <c r="I282" s="122"/>
      <c r="J282" s="122"/>
      <c r="K282" s="122"/>
      <c r="L282" s="122"/>
      <c r="M282" s="122"/>
      <c r="N282" s="122"/>
    </row>
    <row r="283" spans="1:14">
      <c r="A283" s="122"/>
      <c r="B283" s="122"/>
      <c r="C283" s="122"/>
      <c r="D283" s="122"/>
      <c r="E283" s="122"/>
      <c r="F283" s="122"/>
      <c r="G283" s="122"/>
      <c r="H283" s="122"/>
      <c r="I283" s="122"/>
      <c r="J283" s="122"/>
      <c r="K283" s="122"/>
      <c r="L283" s="122"/>
      <c r="M283" s="122"/>
      <c r="N283" s="122"/>
    </row>
    <row r="284" spans="1:14" ht="50.25" customHeight="1">
      <c r="A284" s="122"/>
      <c r="B284" s="122"/>
      <c r="C284" s="122"/>
      <c r="D284" s="122"/>
      <c r="E284" s="122"/>
      <c r="F284" s="122"/>
      <c r="G284" s="122"/>
      <c r="H284" s="122"/>
      <c r="I284" s="122"/>
      <c r="J284" s="122"/>
      <c r="K284" s="122"/>
      <c r="L284" s="122"/>
      <c r="M284" s="122"/>
      <c r="N284" s="122"/>
    </row>
    <row r="285" spans="1:14">
      <c r="A285" s="122"/>
      <c r="B285" s="122"/>
      <c r="C285" s="122"/>
      <c r="D285" s="122"/>
      <c r="E285" s="122"/>
      <c r="F285" s="122"/>
      <c r="G285" s="122"/>
      <c r="H285" s="122"/>
      <c r="I285" s="122"/>
      <c r="J285" s="122"/>
      <c r="K285" s="122"/>
      <c r="L285" s="122"/>
      <c r="M285" s="122"/>
      <c r="N285" s="122"/>
    </row>
    <row r="286" spans="1:14">
      <c r="A286" s="122"/>
      <c r="B286" s="122"/>
      <c r="C286" s="122"/>
      <c r="D286" s="122"/>
      <c r="E286" s="122"/>
      <c r="F286" s="122"/>
      <c r="G286" s="122"/>
      <c r="H286" s="122"/>
      <c r="I286" s="122"/>
      <c r="J286" s="122"/>
      <c r="K286" s="122"/>
      <c r="L286" s="122"/>
      <c r="M286" s="105"/>
      <c r="N286" s="105"/>
    </row>
    <row r="287" spans="1:14" ht="105" customHeight="1">
      <c r="A287" s="122"/>
      <c r="B287" s="122"/>
      <c r="C287" s="122"/>
      <c r="D287" s="122"/>
      <c r="E287" s="122"/>
      <c r="F287" s="122"/>
      <c r="G287" s="122"/>
      <c r="H287" s="122"/>
      <c r="I287" s="122"/>
      <c r="J287" s="122"/>
      <c r="K287" s="122"/>
      <c r="L287" s="122"/>
      <c r="M287" s="105"/>
      <c r="N287" s="105"/>
    </row>
    <row r="289" spans="1:14">
      <c r="A289" s="122"/>
      <c r="B289" s="122"/>
      <c r="C289" s="122"/>
      <c r="D289" s="122"/>
      <c r="E289" s="122"/>
      <c r="F289" s="122"/>
      <c r="G289" s="122"/>
      <c r="H289" s="122"/>
      <c r="I289" s="122"/>
      <c r="J289" s="122"/>
      <c r="K289" s="122"/>
      <c r="L289" s="122"/>
      <c r="M289" s="122"/>
      <c r="N289" s="122"/>
    </row>
    <row r="290" spans="1:14">
      <c r="A290" s="122"/>
      <c r="B290" s="122"/>
      <c r="C290" s="122"/>
      <c r="D290" s="122"/>
      <c r="E290" s="122"/>
      <c r="F290" s="122"/>
      <c r="G290" s="122"/>
      <c r="H290" s="122"/>
      <c r="I290" s="122"/>
      <c r="J290" s="122"/>
      <c r="K290" s="122"/>
      <c r="L290" s="122"/>
      <c r="M290" s="122"/>
      <c r="N290" s="122"/>
    </row>
    <row r="291" spans="1:14">
      <c r="A291" s="122"/>
      <c r="B291" s="122"/>
      <c r="C291" s="122"/>
      <c r="D291" s="122"/>
      <c r="E291" s="122"/>
      <c r="F291" s="122"/>
      <c r="G291" s="122"/>
      <c r="H291" s="122"/>
      <c r="I291" s="122"/>
      <c r="J291" s="122"/>
      <c r="K291" s="122"/>
      <c r="L291" s="122"/>
      <c r="M291" s="122"/>
      <c r="N291" s="122"/>
    </row>
    <row r="292" spans="1:14">
      <c r="A292" s="122"/>
      <c r="B292" s="122"/>
      <c r="C292" s="122"/>
      <c r="D292" s="122"/>
      <c r="E292" s="122"/>
      <c r="F292" s="122"/>
      <c r="G292" s="122"/>
      <c r="H292" s="122"/>
      <c r="I292" s="122"/>
      <c r="J292" s="122"/>
      <c r="K292" s="122"/>
      <c r="L292" s="122"/>
      <c r="M292" s="122"/>
      <c r="N292" s="122"/>
    </row>
    <row r="293" spans="1:14">
      <c r="A293" s="122"/>
      <c r="B293" s="122"/>
      <c r="C293" s="122"/>
      <c r="D293" s="122"/>
      <c r="E293" s="122"/>
      <c r="F293" s="122"/>
      <c r="G293" s="122"/>
      <c r="H293" s="122"/>
      <c r="I293" s="122"/>
      <c r="J293" s="122"/>
      <c r="K293" s="122"/>
      <c r="L293" s="122"/>
      <c r="M293" s="122"/>
      <c r="N293" s="122"/>
    </row>
    <row r="294" spans="1:14">
      <c r="A294" s="122"/>
      <c r="B294" s="122"/>
      <c r="C294" s="122"/>
      <c r="D294" s="122"/>
      <c r="E294" s="122"/>
      <c r="F294" s="122"/>
      <c r="G294" s="122"/>
      <c r="H294" s="122"/>
      <c r="I294" s="122"/>
      <c r="J294" s="122"/>
      <c r="K294" s="122"/>
      <c r="L294" s="122"/>
      <c r="M294" s="122"/>
      <c r="N294" s="122"/>
    </row>
    <row r="295" spans="1:14" ht="32.25" customHeight="1">
      <c r="A295" s="122"/>
      <c r="B295" s="122"/>
      <c r="C295" s="122"/>
      <c r="D295" s="122"/>
      <c r="E295" s="122"/>
      <c r="F295" s="122"/>
      <c r="G295" s="122"/>
      <c r="H295" s="122"/>
      <c r="I295" s="122"/>
      <c r="J295" s="122"/>
      <c r="K295" s="122"/>
      <c r="L295" s="122"/>
      <c r="M295" s="122"/>
      <c r="N295" s="122"/>
    </row>
    <row r="296" spans="1:14">
      <c r="A296" s="122"/>
      <c r="B296" s="122"/>
      <c r="C296" s="122"/>
      <c r="D296" s="122"/>
      <c r="E296" s="122"/>
      <c r="F296" s="122"/>
      <c r="G296" s="122"/>
      <c r="H296" s="122"/>
      <c r="I296" s="122"/>
      <c r="J296" s="122"/>
      <c r="K296" s="122"/>
      <c r="L296" s="122"/>
      <c r="M296" s="122"/>
      <c r="N296" s="122"/>
    </row>
    <row r="297" spans="1:14">
      <c r="A297" s="122"/>
      <c r="B297" s="122"/>
      <c r="C297" s="122"/>
      <c r="D297" s="122"/>
      <c r="E297" s="122"/>
      <c r="F297" s="122"/>
      <c r="G297" s="122"/>
      <c r="H297" s="122"/>
      <c r="I297" s="122"/>
      <c r="J297" s="122"/>
      <c r="K297" s="122"/>
      <c r="L297" s="122"/>
      <c r="M297" s="105"/>
      <c r="N297" s="105"/>
    </row>
    <row r="298" spans="1:14" ht="62.25" customHeight="1">
      <c r="A298" s="122"/>
      <c r="B298" s="122"/>
      <c r="C298" s="122"/>
      <c r="D298" s="122"/>
      <c r="E298" s="122"/>
      <c r="F298" s="122"/>
      <c r="G298" s="122"/>
      <c r="H298" s="122"/>
      <c r="I298" s="122"/>
      <c r="J298" s="122"/>
      <c r="K298" s="122"/>
      <c r="L298" s="122"/>
      <c r="M298" s="105"/>
      <c r="N298" s="105"/>
    </row>
    <row r="300" spans="1:14">
      <c r="A300" s="122"/>
      <c r="B300" s="122"/>
      <c r="C300" s="122"/>
      <c r="D300" s="122"/>
      <c r="E300" s="122"/>
      <c r="F300" s="122"/>
      <c r="G300" s="122"/>
      <c r="H300" s="122"/>
      <c r="I300" s="122"/>
      <c r="J300" s="122"/>
      <c r="K300" s="122"/>
      <c r="L300" s="122"/>
      <c r="M300" s="122"/>
      <c r="N300" s="122"/>
    </row>
    <row r="301" spans="1:14">
      <c r="A301" s="122"/>
      <c r="B301" s="122"/>
      <c r="C301" s="122"/>
      <c r="D301" s="122"/>
      <c r="E301" s="122"/>
      <c r="F301" s="122"/>
      <c r="G301" s="122"/>
      <c r="H301" s="122"/>
      <c r="I301" s="122"/>
      <c r="J301" s="122"/>
      <c r="K301" s="122"/>
      <c r="L301" s="122"/>
      <c r="M301" s="122"/>
      <c r="N301" s="122"/>
    </row>
    <row r="302" spans="1:14">
      <c r="A302" s="122"/>
      <c r="B302" s="122"/>
      <c r="C302" s="122"/>
      <c r="D302" s="122"/>
      <c r="E302" s="122"/>
      <c r="F302" s="122"/>
      <c r="G302" s="122"/>
      <c r="H302" s="122"/>
      <c r="I302" s="122"/>
      <c r="J302" s="122"/>
      <c r="K302" s="122"/>
      <c r="L302" s="122"/>
      <c r="M302" s="122"/>
      <c r="N302" s="122"/>
    </row>
    <row r="303" spans="1:14">
      <c r="A303" s="122"/>
      <c r="B303" s="122"/>
      <c r="C303" s="122"/>
      <c r="D303" s="122"/>
      <c r="E303" s="122"/>
      <c r="F303" s="122"/>
      <c r="G303" s="122"/>
      <c r="H303" s="122"/>
      <c r="I303" s="122"/>
      <c r="J303" s="122"/>
      <c r="K303" s="122"/>
      <c r="L303" s="122"/>
      <c r="M303" s="122"/>
      <c r="N303" s="122"/>
    </row>
    <row r="304" spans="1:14">
      <c r="A304" s="122"/>
      <c r="B304" s="122"/>
      <c r="C304" s="122"/>
      <c r="D304" s="122"/>
      <c r="E304" s="122"/>
      <c r="F304" s="122"/>
      <c r="G304" s="122"/>
      <c r="H304" s="122"/>
      <c r="I304" s="122"/>
      <c r="J304" s="122"/>
      <c r="K304" s="122"/>
      <c r="L304" s="122"/>
      <c r="M304" s="122"/>
      <c r="N304" s="122"/>
    </row>
    <row r="305" spans="1:14">
      <c r="A305" s="122"/>
      <c r="B305" s="122"/>
      <c r="C305" s="122"/>
      <c r="D305" s="122"/>
      <c r="E305" s="122"/>
      <c r="F305" s="122"/>
      <c r="G305" s="122"/>
      <c r="H305" s="122"/>
      <c r="I305" s="122"/>
      <c r="J305" s="122"/>
      <c r="K305" s="122"/>
      <c r="L305" s="122"/>
      <c r="M305" s="122"/>
      <c r="N305" s="122"/>
    </row>
    <row r="306" spans="1:14" ht="37.5" customHeight="1">
      <c r="A306" s="122"/>
      <c r="B306" s="122"/>
      <c r="C306" s="122"/>
      <c r="D306" s="122"/>
      <c r="E306" s="122"/>
      <c r="F306" s="122"/>
      <c r="G306" s="122"/>
      <c r="H306" s="122"/>
      <c r="I306" s="122"/>
      <c r="J306" s="122"/>
      <c r="K306" s="122"/>
      <c r="L306" s="122"/>
      <c r="M306" s="122"/>
      <c r="N306" s="122"/>
    </row>
    <row r="307" spans="1:14">
      <c r="A307" s="122"/>
      <c r="B307" s="122"/>
      <c r="C307" s="122"/>
      <c r="D307" s="122"/>
      <c r="E307" s="122"/>
      <c r="F307" s="122"/>
      <c r="G307" s="122"/>
      <c r="H307" s="122"/>
      <c r="I307" s="122"/>
      <c r="J307" s="122"/>
      <c r="K307" s="122"/>
      <c r="L307" s="122"/>
      <c r="M307" s="122"/>
      <c r="N307" s="122"/>
    </row>
    <row r="308" spans="1:14">
      <c r="A308" s="122"/>
      <c r="B308" s="122"/>
      <c r="C308" s="122"/>
      <c r="D308" s="122"/>
      <c r="E308" s="122"/>
      <c r="F308" s="122"/>
      <c r="G308" s="122"/>
      <c r="H308" s="122"/>
      <c r="I308" s="122"/>
      <c r="J308" s="122"/>
      <c r="K308" s="122"/>
      <c r="L308" s="122"/>
      <c r="M308" s="105"/>
      <c r="N308" s="105"/>
    </row>
    <row r="309" spans="1:14" ht="67.5" customHeight="1">
      <c r="A309" s="122"/>
      <c r="B309" s="122"/>
      <c r="C309" s="122"/>
      <c r="D309" s="122"/>
      <c r="E309" s="122"/>
      <c r="F309" s="122"/>
      <c r="G309" s="122"/>
      <c r="H309" s="122"/>
      <c r="I309" s="122"/>
      <c r="J309" s="122"/>
      <c r="K309" s="122"/>
      <c r="L309" s="122"/>
      <c r="M309" s="105"/>
      <c r="N309" s="105"/>
    </row>
    <row r="311" spans="1:14">
      <c r="A311" s="122"/>
      <c r="B311" s="122"/>
      <c r="C311" s="122"/>
      <c r="D311" s="122"/>
      <c r="E311" s="122"/>
      <c r="F311" s="122"/>
      <c r="G311" s="122"/>
      <c r="H311" s="122"/>
      <c r="I311" s="122"/>
      <c r="J311" s="122"/>
      <c r="K311" s="122"/>
      <c r="L311" s="122"/>
      <c r="M311" s="122"/>
      <c r="N311" s="122"/>
    </row>
    <row r="312" spans="1:14">
      <c r="A312" s="122"/>
      <c r="B312" s="122"/>
      <c r="C312" s="122"/>
      <c r="D312" s="122"/>
      <c r="E312" s="122"/>
      <c r="F312" s="122"/>
      <c r="G312" s="122"/>
      <c r="H312" s="122"/>
      <c r="I312" s="122"/>
      <c r="J312" s="122"/>
      <c r="K312" s="122"/>
      <c r="L312" s="122"/>
      <c r="M312" s="122"/>
      <c r="N312" s="122"/>
    </row>
    <row r="313" spans="1:14">
      <c r="A313" s="122"/>
      <c r="B313" s="122"/>
      <c r="C313" s="122"/>
      <c r="D313" s="122"/>
      <c r="E313" s="122"/>
      <c r="F313" s="122"/>
      <c r="G313" s="122"/>
      <c r="H313" s="122"/>
      <c r="I313" s="122"/>
      <c r="J313" s="122"/>
      <c r="K313" s="122"/>
      <c r="L313" s="122"/>
      <c r="M313" s="122"/>
      <c r="N313" s="122"/>
    </row>
    <row r="314" spans="1:14">
      <c r="A314" s="122"/>
      <c r="B314" s="122"/>
      <c r="C314" s="122"/>
      <c r="D314" s="122"/>
      <c r="E314" s="122"/>
      <c r="F314" s="122"/>
      <c r="G314" s="122"/>
      <c r="H314" s="122"/>
      <c r="I314" s="122"/>
      <c r="J314" s="122"/>
      <c r="K314" s="122"/>
      <c r="L314" s="122"/>
      <c r="M314" s="122"/>
      <c r="N314" s="122"/>
    </row>
    <row r="315" spans="1:14">
      <c r="A315" s="122"/>
      <c r="B315" s="122"/>
      <c r="C315" s="122"/>
      <c r="D315" s="122"/>
      <c r="E315" s="122"/>
      <c r="F315" s="122"/>
      <c r="G315" s="122"/>
      <c r="H315" s="122"/>
      <c r="I315" s="122"/>
      <c r="J315" s="122"/>
      <c r="K315" s="122"/>
      <c r="L315" s="122"/>
      <c r="M315" s="122"/>
      <c r="N315" s="122"/>
    </row>
    <row r="316" spans="1:14">
      <c r="A316" s="122"/>
      <c r="B316" s="122"/>
      <c r="C316" s="122"/>
      <c r="D316" s="122"/>
      <c r="E316" s="122"/>
      <c r="F316" s="122"/>
      <c r="G316" s="122"/>
      <c r="H316" s="122"/>
      <c r="I316" s="122"/>
      <c r="J316" s="122"/>
      <c r="K316" s="122"/>
      <c r="L316" s="122"/>
      <c r="M316" s="122"/>
      <c r="N316" s="122"/>
    </row>
    <row r="317" spans="1:14" ht="39.75" customHeight="1">
      <c r="A317" s="122"/>
      <c r="B317" s="122"/>
      <c r="C317" s="122"/>
      <c r="D317" s="122"/>
      <c r="E317" s="122"/>
      <c r="F317" s="122"/>
      <c r="G317" s="122"/>
      <c r="H317" s="122"/>
      <c r="I317" s="122"/>
      <c r="J317" s="122"/>
      <c r="K317" s="122"/>
      <c r="L317" s="122"/>
      <c r="M317" s="122"/>
      <c r="N317" s="122"/>
    </row>
    <row r="318" spans="1:14">
      <c r="A318" s="122"/>
      <c r="B318" s="122"/>
      <c r="C318" s="122"/>
      <c r="D318" s="122"/>
      <c r="E318" s="122"/>
      <c r="F318" s="122"/>
      <c r="G318" s="122"/>
      <c r="H318" s="122"/>
      <c r="I318" s="122"/>
      <c r="J318" s="122"/>
      <c r="K318" s="122"/>
      <c r="L318" s="122"/>
      <c r="M318" s="122"/>
      <c r="N318" s="122"/>
    </row>
    <row r="319" spans="1:14">
      <c r="A319" s="122"/>
      <c r="B319" s="122"/>
      <c r="C319" s="122"/>
      <c r="D319" s="122"/>
      <c r="E319" s="122"/>
      <c r="F319" s="122"/>
      <c r="G319" s="122"/>
      <c r="H319" s="122"/>
      <c r="I319" s="122"/>
      <c r="J319" s="122"/>
      <c r="K319" s="122"/>
      <c r="L319" s="122"/>
      <c r="M319" s="105"/>
      <c r="N319" s="105"/>
    </row>
    <row r="320" spans="1:14" ht="77.25" customHeight="1">
      <c r="A320" s="122"/>
      <c r="B320" s="122"/>
      <c r="C320" s="122"/>
      <c r="D320" s="122"/>
      <c r="E320" s="122"/>
      <c r="F320" s="122"/>
      <c r="G320" s="122"/>
      <c r="H320" s="122"/>
      <c r="I320" s="122"/>
      <c r="J320" s="122"/>
      <c r="K320" s="122"/>
      <c r="L320" s="122"/>
      <c r="M320" s="105"/>
      <c r="N320" s="105"/>
    </row>
    <row r="322" spans="1:14">
      <c r="A322" s="122"/>
      <c r="B322" s="122"/>
      <c r="C322" s="122"/>
      <c r="D322" s="122"/>
      <c r="E322" s="122"/>
      <c r="F322" s="122"/>
      <c r="G322" s="122"/>
      <c r="H322" s="122"/>
      <c r="I322" s="122"/>
      <c r="J322" s="122"/>
      <c r="K322" s="122"/>
      <c r="L322" s="122"/>
      <c r="M322" s="122"/>
      <c r="N322" s="122"/>
    </row>
    <row r="323" spans="1:14">
      <c r="A323" s="122"/>
      <c r="B323" s="122"/>
      <c r="C323" s="122"/>
      <c r="D323" s="122"/>
      <c r="E323" s="122"/>
      <c r="F323" s="122"/>
      <c r="G323" s="122"/>
      <c r="H323" s="122"/>
      <c r="I323" s="122"/>
      <c r="J323" s="122"/>
      <c r="K323" s="122"/>
      <c r="L323" s="122"/>
      <c r="M323" s="122"/>
      <c r="N323" s="122"/>
    </row>
    <row r="324" spans="1:14">
      <c r="A324" s="122"/>
      <c r="B324" s="122"/>
      <c r="C324" s="122"/>
      <c r="D324" s="122"/>
      <c r="E324" s="122"/>
      <c r="F324" s="122"/>
      <c r="G324" s="122"/>
      <c r="H324" s="122"/>
      <c r="I324" s="122"/>
      <c r="J324" s="122"/>
      <c r="K324" s="122"/>
      <c r="L324" s="122"/>
      <c r="M324" s="122"/>
      <c r="N324" s="122"/>
    </row>
    <row r="325" spans="1:14">
      <c r="A325" s="122"/>
      <c r="B325" s="122"/>
      <c r="C325" s="122"/>
      <c r="D325" s="122"/>
      <c r="E325" s="122"/>
      <c r="F325" s="122"/>
      <c r="G325" s="122"/>
      <c r="H325" s="122"/>
      <c r="I325" s="122"/>
      <c r="J325" s="122"/>
      <c r="K325" s="122"/>
      <c r="L325" s="122"/>
      <c r="M325" s="122"/>
      <c r="N325" s="122"/>
    </row>
    <row r="326" spans="1:14">
      <c r="A326" s="122"/>
      <c r="B326" s="122"/>
      <c r="C326" s="122"/>
      <c r="D326" s="122"/>
      <c r="E326" s="122"/>
      <c r="F326" s="122"/>
      <c r="G326" s="122"/>
      <c r="H326" s="122"/>
      <c r="I326" s="122"/>
      <c r="J326" s="122"/>
      <c r="K326" s="122"/>
      <c r="L326" s="122"/>
      <c r="M326" s="122"/>
      <c r="N326" s="122"/>
    </row>
    <row r="327" spans="1:14">
      <c r="A327" s="122"/>
      <c r="B327" s="122"/>
      <c r="C327" s="122"/>
      <c r="D327" s="122"/>
      <c r="E327" s="122"/>
      <c r="F327" s="122"/>
      <c r="G327" s="122"/>
      <c r="H327" s="122"/>
      <c r="I327" s="122"/>
      <c r="J327" s="122"/>
      <c r="K327" s="122"/>
      <c r="L327" s="122"/>
      <c r="M327" s="122"/>
      <c r="N327" s="122"/>
    </row>
    <row r="328" spans="1:14" ht="38.25" customHeight="1">
      <c r="A328" s="122"/>
      <c r="B328" s="122"/>
      <c r="C328" s="122"/>
      <c r="D328" s="122"/>
      <c r="E328" s="122"/>
      <c r="F328" s="122"/>
      <c r="G328" s="122"/>
      <c r="H328" s="122"/>
      <c r="I328" s="122"/>
      <c r="J328" s="122"/>
      <c r="K328" s="122"/>
      <c r="L328" s="122"/>
      <c r="M328" s="122"/>
      <c r="N328" s="122"/>
    </row>
    <row r="329" spans="1:14">
      <c r="A329" s="122"/>
      <c r="B329" s="122"/>
      <c r="C329" s="122"/>
      <c r="D329" s="122"/>
      <c r="E329" s="122"/>
      <c r="F329" s="122"/>
      <c r="G329" s="122"/>
      <c r="H329" s="122"/>
      <c r="I329" s="122"/>
      <c r="J329" s="122"/>
      <c r="K329" s="122"/>
      <c r="L329" s="122"/>
      <c r="M329" s="122"/>
      <c r="N329" s="122"/>
    </row>
    <row r="330" spans="1:14">
      <c r="A330" s="122"/>
      <c r="B330" s="122"/>
      <c r="C330" s="122"/>
      <c r="D330" s="122"/>
      <c r="E330" s="122"/>
      <c r="F330" s="122"/>
      <c r="G330" s="122"/>
      <c r="H330" s="122"/>
      <c r="I330" s="122"/>
      <c r="J330" s="122"/>
      <c r="K330" s="122"/>
      <c r="L330" s="122"/>
      <c r="M330" s="105"/>
      <c r="N330" s="105"/>
    </row>
    <row r="331" spans="1:14" ht="65.25" customHeight="1">
      <c r="A331" s="122"/>
      <c r="B331" s="122"/>
      <c r="C331" s="122"/>
      <c r="D331" s="122"/>
      <c r="E331" s="122"/>
      <c r="F331" s="122"/>
      <c r="G331" s="122"/>
      <c r="H331" s="122"/>
      <c r="I331" s="122"/>
      <c r="J331" s="122"/>
      <c r="K331" s="122"/>
      <c r="L331" s="122"/>
      <c r="M331" s="105"/>
      <c r="N331" s="105"/>
    </row>
    <row r="333" spans="1:14">
      <c r="A333" s="122"/>
      <c r="B333" s="122"/>
      <c r="C333" s="122"/>
      <c r="D333" s="122"/>
      <c r="E333" s="122"/>
      <c r="F333" s="122"/>
      <c r="G333" s="122"/>
      <c r="H333" s="122"/>
      <c r="I333" s="122"/>
      <c r="J333" s="122"/>
      <c r="K333" s="122"/>
      <c r="L333" s="122"/>
      <c r="M333" s="122"/>
      <c r="N333" s="122"/>
    </row>
    <row r="334" spans="1:14">
      <c r="A334" s="122"/>
      <c r="B334" s="122"/>
      <c r="C334" s="122"/>
      <c r="D334" s="122"/>
      <c r="E334" s="122"/>
      <c r="F334" s="122"/>
      <c r="G334" s="122"/>
      <c r="H334" s="122"/>
      <c r="I334" s="122"/>
      <c r="J334" s="122"/>
      <c r="K334" s="122"/>
      <c r="L334" s="122"/>
      <c r="M334" s="122"/>
      <c r="N334" s="122"/>
    </row>
    <row r="335" spans="1:14">
      <c r="A335" s="122"/>
      <c r="B335" s="122"/>
      <c r="C335" s="122"/>
      <c r="D335" s="122"/>
      <c r="E335" s="122"/>
      <c r="F335" s="122"/>
      <c r="G335" s="122"/>
      <c r="H335" s="122"/>
      <c r="I335" s="122"/>
      <c r="J335" s="122"/>
      <c r="K335" s="122"/>
      <c r="L335" s="122"/>
      <c r="M335" s="122"/>
      <c r="N335" s="122"/>
    </row>
    <row r="336" spans="1:14">
      <c r="A336" s="122"/>
      <c r="B336" s="122"/>
      <c r="C336" s="122"/>
      <c r="D336" s="122"/>
      <c r="E336" s="122"/>
      <c r="F336" s="122"/>
      <c r="G336" s="122"/>
      <c r="H336" s="122"/>
      <c r="I336" s="122"/>
      <c r="J336" s="122"/>
      <c r="K336" s="122"/>
      <c r="L336" s="122"/>
      <c r="M336" s="122"/>
      <c r="N336" s="122"/>
    </row>
    <row r="337" spans="1:14">
      <c r="A337" s="122"/>
      <c r="B337" s="122"/>
      <c r="C337" s="122"/>
      <c r="D337" s="122"/>
      <c r="E337" s="122"/>
      <c r="F337" s="122"/>
      <c r="G337" s="122"/>
      <c r="H337" s="122"/>
      <c r="I337" s="122"/>
      <c r="J337" s="122"/>
      <c r="K337" s="122"/>
      <c r="L337" s="122"/>
      <c r="M337" s="122"/>
      <c r="N337" s="122"/>
    </row>
    <row r="338" spans="1:14">
      <c r="A338" s="122"/>
      <c r="B338" s="122"/>
      <c r="C338" s="122"/>
      <c r="D338" s="122"/>
      <c r="E338" s="122"/>
      <c r="F338" s="122"/>
      <c r="G338" s="122"/>
      <c r="H338" s="122"/>
      <c r="I338" s="122"/>
      <c r="J338" s="122"/>
      <c r="K338" s="122"/>
      <c r="L338" s="122"/>
      <c r="M338" s="122"/>
      <c r="N338" s="122"/>
    </row>
    <row r="339" spans="1:14" ht="47.25" customHeight="1">
      <c r="A339" s="122"/>
      <c r="B339" s="122"/>
      <c r="C339" s="122"/>
      <c r="D339" s="122"/>
      <c r="E339" s="122"/>
      <c r="F339" s="122"/>
      <c r="G339" s="122"/>
      <c r="H339" s="122"/>
      <c r="I339" s="122"/>
      <c r="J339" s="122"/>
      <c r="K339" s="122"/>
      <c r="L339" s="122"/>
      <c r="M339" s="122"/>
      <c r="N339" s="122"/>
    </row>
    <row r="340" spans="1:14">
      <c r="A340" s="122"/>
      <c r="B340" s="122"/>
      <c r="C340" s="122"/>
      <c r="D340" s="122"/>
      <c r="E340" s="122"/>
      <c r="F340" s="122"/>
      <c r="G340" s="122"/>
      <c r="H340" s="122"/>
      <c r="I340" s="122"/>
      <c r="J340" s="122"/>
      <c r="K340" s="122"/>
      <c r="L340" s="122"/>
      <c r="M340" s="122"/>
      <c r="N340" s="122"/>
    </row>
    <row r="341" spans="1:14">
      <c r="A341" s="122"/>
      <c r="B341" s="122"/>
      <c r="C341" s="122"/>
      <c r="D341" s="122"/>
      <c r="E341" s="122"/>
      <c r="F341" s="122"/>
      <c r="G341" s="122"/>
      <c r="H341" s="122"/>
      <c r="I341" s="122"/>
      <c r="J341" s="122"/>
      <c r="K341" s="122"/>
      <c r="L341" s="122"/>
      <c r="M341" s="105"/>
      <c r="N341" s="105"/>
    </row>
    <row r="342" spans="1:14" ht="59.25" customHeight="1">
      <c r="A342" s="122"/>
      <c r="B342" s="122"/>
      <c r="C342" s="122"/>
      <c r="D342" s="122"/>
      <c r="E342" s="122"/>
      <c r="F342" s="122"/>
      <c r="G342" s="122"/>
      <c r="H342" s="122"/>
      <c r="I342" s="122"/>
      <c r="J342" s="122"/>
      <c r="K342" s="122"/>
      <c r="L342" s="122"/>
      <c r="M342" s="105"/>
      <c r="N342" s="105"/>
    </row>
    <row r="344" spans="1:14">
      <c r="A344" s="122"/>
      <c r="B344" s="122"/>
      <c r="C344" s="122"/>
      <c r="D344" s="122"/>
      <c r="E344" s="122"/>
      <c r="F344" s="122"/>
      <c r="G344" s="122"/>
      <c r="H344" s="122"/>
      <c r="I344" s="122"/>
      <c r="J344" s="122"/>
      <c r="K344" s="122"/>
      <c r="L344" s="122"/>
      <c r="M344" s="122"/>
      <c r="N344" s="122"/>
    </row>
    <row r="345" spans="1:14">
      <c r="A345" s="122"/>
      <c r="B345" s="122"/>
      <c r="C345" s="122"/>
      <c r="D345" s="122"/>
      <c r="E345" s="122"/>
      <c r="F345" s="122"/>
      <c r="G345" s="122"/>
      <c r="H345" s="122"/>
      <c r="I345" s="122"/>
      <c r="J345" s="122"/>
      <c r="K345" s="122"/>
      <c r="L345" s="122"/>
      <c r="M345" s="122"/>
      <c r="N345" s="122"/>
    </row>
    <row r="346" spans="1:14">
      <c r="A346" s="122"/>
      <c r="B346" s="122"/>
      <c r="C346" s="122"/>
      <c r="D346" s="122"/>
      <c r="E346" s="122"/>
      <c r="F346" s="122"/>
      <c r="G346" s="122"/>
      <c r="H346" s="122"/>
      <c r="I346" s="122"/>
      <c r="J346" s="122"/>
      <c r="K346" s="122"/>
      <c r="L346" s="122"/>
      <c r="M346" s="122"/>
      <c r="N346" s="122"/>
    </row>
    <row r="347" spans="1:14">
      <c r="A347" s="122"/>
      <c r="B347" s="122"/>
      <c r="C347" s="122"/>
      <c r="D347" s="122"/>
      <c r="E347" s="122"/>
      <c r="F347" s="122"/>
      <c r="G347" s="122"/>
      <c r="H347" s="122"/>
      <c r="I347" s="122"/>
      <c r="J347" s="122"/>
      <c r="K347" s="122"/>
      <c r="L347" s="122"/>
      <c r="M347" s="122"/>
      <c r="N347" s="122"/>
    </row>
    <row r="348" spans="1:14">
      <c r="A348" s="122"/>
      <c r="B348" s="122"/>
      <c r="C348" s="122"/>
      <c r="D348" s="122"/>
      <c r="E348" s="122"/>
      <c r="F348" s="122"/>
      <c r="G348" s="122"/>
      <c r="H348" s="122"/>
      <c r="I348" s="122"/>
      <c r="J348" s="122"/>
      <c r="K348" s="122"/>
      <c r="L348" s="122"/>
      <c r="M348" s="122"/>
      <c r="N348" s="122"/>
    </row>
    <row r="349" spans="1:14">
      <c r="A349" s="122"/>
      <c r="B349" s="122"/>
      <c r="C349" s="122"/>
      <c r="D349" s="122"/>
      <c r="E349" s="122"/>
      <c r="F349" s="122"/>
      <c r="G349" s="122"/>
      <c r="H349" s="122"/>
      <c r="I349" s="122"/>
      <c r="J349" s="122"/>
      <c r="K349" s="122"/>
      <c r="L349" s="122"/>
      <c r="M349" s="122"/>
      <c r="N349" s="122"/>
    </row>
    <row r="350" spans="1:14" ht="48.75" customHeight="1">
      <c r="A350" s="122"/>
      <c r="B350" s="122"/>
      <c r="C350" s="122"/>
      <c r="D350" s="122"/>
      <c r="E350" s="122"/>
      <c r="F350" s="122"/>
      <c r="G350" s="122"/>
      <c r="H350" s="122"/>
      <c r="I350" s="122"/>
      <c r="J350" s="122"/>
      <c r="K350" s="122"/>
      <c r="L350" s="122"/>
      <c r="M350" s="122"/>
      <c r="N350" s="122"/>
    </row>
    <row r="351" spans="1:14">
      <c r="A351" s="122"/>
      <c r="B351" s="122"/>
      <c r="C351" s="122"/>
      <c r="D351" s="122"/>
      <c r="E351" s="122"/>
      <c r="F351" s="122"/>
      <c r="G351" s="122"/>
      <c r="H351" s="122"/>
      <c r="I351" s="122"/>
      <c r="J351" s="122"/>
      <c r="K351" s="122"/>
      <c r="L351" s="122"/>
      <c r="M351" s="122"/>
      <c r="N351" s="122"/>
    </row>
    <row r="352" spans="1:14">
      <c r="A352" s="122"/>
      <c r="B352" s="122"/>
      <c r="C352" s="122"/>
      <c r="D352" s="122"/>
      <c r="E352" s="122"/>
      <c r="F352" s="122"/>
      <c r="G352" s="122"/>
      <c r="H352" s="122"/>
      <c r="I352" s="122"/>
      <c r="J352" s="122"/>
      <c r="K352" s="122"/>
      <c r="L352" s="122"/>
      <c r="M352" s="105"/>
      <c r="N352" s="105"/>
    </row>
    <row r="353" spans="1:14" ht="63" customHeight="1">
      <c r="A353" s="122"/>
      <c r="B353" s="122"/>
      <c r="C353" s="122"/>
      <c r="D353" s="122"/>
      <c r="E353" s="122"/>
      <c r="F353" s="122"/>
      <c r="G353" s="122"/>
      <c r="H353" s="122"/>
      <c r="I353" s="122"/>
      <c r="J353" s="122"/>
      <c r="K353" s="122"/>
      <c r="L353" s="122"/>
      <c r="M353" s="105"/>
      <c r="N353" s="105"/>
    </row>
    <row r="355" spans="1:14">
      <c r="A355" s="122"/>
      <c r="B355" s="122"/>
      <c r="C355" s="122"/>
      <c r="D355" s="122"/>
      <c r="E355" s="122"/>
      <c r="F355" s="122"/>
      <c r="G355" s="122"/>
      <c r="H355" s="122"/>
      <c r="I355" s="122"/>
      <c r="J355" s="122"/>
      <c r="K355" s="122"/>
      <c r="L355" s="122"/>
      <c r="M355" s="122"/>
      <c r="N355" s="122"/>
    </row>
    <row r="356" spans="1:14">
      <c r="A356" s="122"/>
      <c r="B356" s="122"/>
      <c r="C356" s="122"/>
      <c r="D356" s="122"/>
      <c r="E356" s="122"/>
      <c r="F356" s="122"/>
      <c r="G356" s="122"/>
      <c r="H356" s="122"/>
      <c r="I356" s="122"/>
      <c r="J356" s="122"/>
      <c r="K356" s="122"/>
      <c r="L356" s="122"/>
      <c r="M356" s="122"/>
      <c r="N356" s="122"/>
    </row>
    <row r="357" spans="1:14">
      <c r="A357" s="122"/>
      <c r="B357" s="122"/>
      <c r="C357" s="122"/>
      <c r="D357" s="122"/>
      <c r="E357" s="122"/>
      <c r="F357" s="122"/>
      <c r="G357" s="122"/>
      <c r="H357" s="122"/>
      <c r="I357" s="122"/>
      <c r="J357" s="122"/>
      <c r="K357" s="122"/>
      <c r="L357" s="122"/>
      <c r="M357" s="122"/>
      <c r="N357" s="122"/>
    </row>
    <row r="358" spans="1:14">
      <c r="A358" s="122"/>
      <c r="B358" s="122"/>
      <c r="C358" s="122"/>
      <c r="D358" s="122"/>
      <c r="E358" s="122"/>
      <c r="F358" s="122"/>
      <c r="G358" s="122"/>
      <c r="H358" s="122"/>
      <c r="I358" s="122"/>
      <c r="J358" s="122"/>
      <c r="K358" s="122"/>
      <c r="L358" s="122"/>
      <c r="M358" s="122"/>
      <c r="N358" s="122"/>
    </row>
    <row r="359" spans="1:14">
      <c r="A359" s="122"/>
      <c r="B359" s="122"/>
      <c r="C359" s="122"/>
      <c r="D359" s="122"/>
      <c r="E359" s="122"/>
      <c r="F359" s="122"/>
      <c r="G359" s="122"/>
      <c r="H359" s="122"/>
      <c r="I359" s="122"/>
      <c r="J359" s="122"/>
      <c r="K359" s="122"/>
      <c r="L359" s="122"/>
      <c r="M359" s="122"/>
      <c r="N359" s="122"/>
    </row>
    <row r="360" spans="1:14">
      <c r="A360" s="122"/>
      <c r="B360" s="122"/>
      <c r="C360" s="122"/>
      <c r="D360" s="122"/>
      <c r="E360" s="122"/>
      <c r="F360" s="122"/>
      <c r="G360" s="122"/>
      <c r="H360" s="122"/>
      <c r="I360" s="122"/>
      <c r="J360" s="122"/>
      <c r="K360" s="122"/>
      <c r="L360" s="122"/>
      <c r="M360" s="122"/>
      <c r="N360" s="122"/>
    </row>
    <row r="361" spans="1:14" ht="36.75" customHeight="1">
      <c r="A361" s="122"/>
      <c r="B361" s="122"/>
      <c r="C361" s="122"/>
      <c r="D361" s="122"/>
      <c r="E361" s="122"/>
      <c r="F361" s="122"/>
      <c r="G361" s="122"/>
      <c r="H361" s="122"/>
      <c r="I361" s="122"/>
      <c r="J361" s="122"/>
      <c r="K361" s="122"/>
      <c r="L361" s="122"/>
      <c r="M361" s="122"/>
      <c r="N361" s="122"/>
    </row>
    <row r="362" spans="1:14">
      <c r="A362" s="122"/>
      <c r="B362" s="122"/>
      <c r="C362" s="122"/>
      <c r="D362" s="122"/>
      <c r="E362" s="122"/>
      <c r="F362" s="122"/>
      <c r="G362" s="122"/>
      <c r="H362" s="122"/>
      <c r="I362" s="122"/>
      <c r="J362" s="122"/>
      <c r="K362" s="122"/>
      <c r="L362" s="122"/>
      <c r="M362" s="122"/>
      <c r="N362" s="122"/>
    </row>
    <row r="363" spans="1:14">
      <c r="A363" s="122"/>
      <c r="B363" s="122"/>
      <c r="C363" s="122"/>
      <c r="D363" s="122"/>
      <c r="E363" s="122"/>
      <c r="F363" s="122"/>
      <c r="G363" s="122"/>
      <c r="H363" s="122"/>
      <c r="I363" s="122"/>
      <c r="J363" s="122"/>
      <c r="K363" s="122"/>
      <c r="L363" s="122"/>
      <c r="M363" s="105"/>
      <c r="N363" s="105"/>
    </row>
    <row r="364" spans="1:14" ht="62.25" customHeight="1">
      <c r="A364" s="122"/>
      <c r="B364" s="122"/>
      <c r="C364" s="122"/>
      <c r="D364" s="122"/>
      <c r="E364" s="122"/>
      <c r="F364" s="122"/>
      <c r="G364" s="122"/>
      <c r="H364" s="122"/>
      <c r="I364" s="122"/>
      <c r="J364" s="122"/>
      <c r="K364" s="122"/>
      <c r="L364" s="122"/>
      <c r="M364" s="105"/>
      <c r="N364" s="105"/>
    </row>
    <row r="366" spans="1:14">
      <c r="A366" s="122"/>
      <c r="B366" s="122"/>
      <c r="C366" s="122"/>
      <c r="D366" s="122"/>
      <c r="E366" s="122"/>
      <c r="F366" s="122"/>
      <c r="G366" s="122"/>
      <c r="H366" s="122"/>
      <c r="I366" s="122"/>
      <c r="J366" s="122"/>
      <c r="K366" s="122"/>
      <c r="L366" s="122"/>
      <c r="M366" s="122"/>
      <c r="N366" s="122"/>
    </row>
    <row r="367" spans="1:14">
      <c r="A367" s="122"/>
      <c r="B367" s="122"/>
      <c r="C367" s="122"/>
      <c r="D367" s="122"/>
      <c r="E367" s="122"/>
      <c r="F367" s="122"/>
      <c r="G367" s="122"/>
      <c r="H367" s="122"/>
      <c r="I367" s="122"/>
      <c r="J367" s="122"/>
      <c r="K367" s="122"/>
      <c r="L367" s="122"/>
      <c r="M367" s="122"/>
      <c r="N367" s="122"/>
    </row>
    <row r="368" spans="1:14">
      <c r="A368" s="122"/>
      <c r="B368" s="122"/>
      <c r="C368" s="122"/>
      <c r="D368" s="122"/>
      <c r="E368" s="122"/>
      <c r="F368" s="122"/>
      <c r="G368" s="122"/>
      <c r="H368" s="122"/>
      <c r="I368" s="122"/>
      <c r="J368" s="122"/>
      <c r="K368" s="122"/>
      <c r="L368" s="122"/>
      <c r="M368" s="122"/>
      <c r="N368" s="122"/>
    </row>
    <row r="369" spans="1:14">
      <c r="A369" s="122"/>
      <c r="B369" s="122"/>
      <c r="C369" s="122"/>
      <c r="D369" s="122"/>
      <c r="E369" s="122"/>
      <c r="F369" s="122"/>
      <c r="G369" s="122"/>
      <c r="H369" s="122"/>
      <c r="I369" s="122"/>
      <c r="J369" s="122"/>
      <c r="K369" s="122"/>
      <c r="L369" s="122"/>
      <c r="M369" s="122"/>
      <c r="N369" s="122"/>
    </row>
    <row r="370" spans="1:14">
      <c r="A370" s="122"/>
      <c r="B370" s="122"/>
      <c r="C370" s="122"/>
      <c r="D370" s="122"/>
      <c r="E370" s="122"/>
      <c r="F370" s="122"/>
      <c r="G370" s="122"/>
      <c r="H370" s="122"/>
      <c r="I370" s="122"/>
      <c r="J370" s="122"/>
      <c r="K370" s="122"/>
      <c r="L370" s="122"/>
      <c r="M370" s="122"/>
      <c r="N370" s="122"/>
    </row>
    <row r="371" spans="1:14">
      <c r="A371" s="122"/>
      <c r="B371" s="122"/>
      <c r="C371" s="122"/>
      <c r="D371" s="122"/>
      <c r="E371" s="122"/>
      <c r="F371" s="122"/>
      <c r="G371" s="122"/>
      <c r="H371" s="122"/>
      <c r="I371" s="122"/>
      <c r="J371" s="122"/>
      <c r="K371" s="122"/>
      <c r="L371" s="122"/>
      <c r="M371" s="122"/>
      <c r="N371" s="122"/>
    </row>
    <row r="372" spans="1:14" ht="45" customHeight="1">
      <c r="A372" s="122"/>
      <c r="B372" s="122"/>
      <c r="C372" s="122"/>
      <c r="D372" s="122"/>
      <c r="E372" s="122"/>
      <c r="F372" s="122"/>
      <c r="G372" s="122"/>
      <c r="H372" s="122"/>
      <c r="I372" s="122"/>
      <c r="J372" s="122"/>
      <c r="K372" s="122"/>
      <c r="L372" s="122"/>
      <c r="M372" s="122"/>
      <c r="N372" s="122"/>
    </row>
    <row r="373" spans="1:14" ht="24.75" customHeight="1">
      <c r="A373" s="122"/>
      <c r="B373" s="122"/>
      <c r="C373" s="122"/>
      <c r="D373" s="122"/>
      <c r="E373" s="122"/>
      <c r="F373" s="122"/>
      <c r="G373" s="122"/>
      <c r="H373" s="122"/>
      <c r="I373" s="122"/>
      <c r="J373" s="122"/>
      <c r="K373" s="122"/>
      <c r="L373" s="122"/>
      <c r="M373" s="122"/>
      <c r="N373" s="122"/>
    </row>
    <row r="374" spans="1:14">
      <c r="A374" s="122"/>
      <c r="B374" s="122"/>
      <c r="C374" s="122"/>
      <c r="D374" s="122"/>
      <c r="E374" s="122"/>
      <c r="F374" s="122"/>
      <c r="G374" s="122"/>
      <c r="H374" s="122"/>
      <c r="I374" s="122"/>
      <c r="J374" s="122"/>
      <c r="K374" s="122"/>
      <c r="L374" s="122"/>
      <c r="M374" s="105"/>
      <c r="N374" s="105"/>
    </row>
    <row r="375" spans="1:14" ht="72.75" customHeight="1">
      <c r="A375" s="122"/>
      <c r="B375" s="122"/>
      <c r="C375" s="122"/>
      <c r="D375" s="122"/>
      <c r="E375" s="122"/>
      <c r="F375" s="122"/>
      <c r="G375" s="122"/>
      <c r="H375" s="122"/>
      <c r="I375" s="122"/>
      <c r="J375" s="122"/>
      <c r="K375" s="122"/>
      <c r="L375" s="122"/>
      <c r="M375" s="105"/>
      <c r="N375" s="105"/>
    </row>
    <row r="377" spans="1:14">
      <c r="A377" s="122"/>
      <c r="B377" s="122"/>
      <c r="C377" s="122"/>
      <c r="D377" s="122"/>
      <c r="E377" s="122"/>
      <c r="F377" s="122"/>
      <c r="G377" s="122"/>
      <c r="H377" s="122"/>
      <c r="I377" s="122"/>
      <c r="J377" s="122"/>
      <c r="K377" s="122"/>
      <c r="L377" s="122"/>
      <c r="M377" s="122"/>
      <c r="N377" s="122"/>
    </row>
    <row r="378" spans="1:14">
      <c r="A378" s="122"/>
      <c r="B378" s="122"/>
      <c r="C378" s="122"/>
      <c r="D378" s="122"/>
      <c r="E378" s="122"/>
      <c r="F378" s="122"/>
      <c r="G378" s="122"/>
      <c r="H378" s="122"/>
      <c r="I378" s="122"/>
      <c r="J378" s="122"/>
      <c r="K378" s="122"/>
      <c r="L378" s="122"/>
      <c r="M378" s="122"/>
      <c r="N378" s="122"/>
    </row>
    <row r="379" spans="1:14">
      <c r="A379" s="122"/>
      <c r="B379" s="122"/>
      <c r="C379" s="122"/>
      <c r="D379" s="122"/>
      <c r="E379" s="122"/>
      <c r="F379" s="122"/>
      <c r="G379" s="122"/>
      <c r="H379" s="122"/>
      <c r="I379" s="122"/>
      <c r="J379" s="122"/>
      <c r="K379" s="122"/>
      <c r="L379" s="122"/>
      <c r="M379" s="122"/>
      <c r="N379" s="122"/>
    </row>
    <row r="380" spans="1:14">
      <c r="A380" s="122"/>
      <c r="B380" s="122"/>
      <c r="C380" s="122"/>
      <c r="D380" s="122"/>
      <c r="E380" s="122"/>
      <c r="F380" s="122"/>
      <c r="G380" s="122"/>
      <c r="H380" s="122"/>
      <c r="I380" s="122"/>
      <c r="J380" s="122"/>
      <c r="K380" s="122"/>
      <c r="L380" s="122"/>
      <c r="M380" s="122"/>
      <c r="N380" s="122"/>
    </row>
    <row r="381" spans="1:14">
      <c r="A381" s="122"/>
      <c r="B381" s="122"/>
      <c r="C381" s="122"/>
      <c r="D381" s="122"/>
      <c r="E381" s="122"/>
      <c r="F381" s="122"/>
      <c r="G381" s="122"/>
      <c r="H381" s="122"/>
      <c r="I381" s="122"/>
      <c r="J381" s="122"/>
      <c r="K381" s="122"/>
      <c r="L381" s="122"/>
      <c r="M381" s="122"/>
      <c r="N381" s="122"/>
    </row>
    <row r="382" spans="1:14">
      <c r="A382" s="122"/>
      <c r="B382" s="122"/>
      <c r="C382" s="122"/>
      <c r="D382" s="122"/>
      <c r="E382" s="122"/>
      <c r="F382" s="122"/>
      <c r="G382" s="122"/>
      <c r="H382" s="122"/>
      <c r="I382" s="122"/>
      <c r="J382" s="122"/>
      <c r="K382" s="122"/>
      <c r="L382" s="122"/>
      <c r="M382" s="122"/>
      <c r="N382" s="122"/>
    </row>
    <row r="383" spans="1:14" ht="42" customHeight="1">
      <c r="A383" s="122"/>
      <c r="B383" s="122"/>
      <c r="C383" s="122"/>
      <c r="D383" s="122"/>
      <c r="E383" s="122"/>
      <c r="F383" s="122"/>
      <c r="G383" s="122"/>
      <c r="H383" s="122"/>
      <c r="I383" s="122"/>
      <c r="J383" s="122"/>
      <c r="K383" s="122"/>
      <c r="L383" s="122"/>
      <c r="M383" s="122"/>
      <c r="N383" s="122"/>
    </row>
    <row r="384" spans="1:14">
      <c r="A384" s="122"/>
      <c r="B384" s="122"/>
      <c r="C384" s="122"/>
      <c r="D384" s="122"/>
      <c r="E384" s="122"/>
      <c r="F384" s="122"/>
      <c r="G384" s="122"/>
      <c r="H384" s="122"/>
      <c r="I384" s="122"/>
      <c r="J384" s="122"/>
      <c r="K384" s="122"/>
      <c r="L384" s="122"/>
      <c r="M384" s="122"/>
      <c r="N384" s="122"/>
    </row>
    <row r="385" spans="1:14">
      <c r="A385" s="122"/>
      <c r="B385" s="122"/>
      <c r="C385" s="122"/>
      <c r="D385" s="122"/>
      <c r="E385" s="122"/>
      <c r="F385" s="122"/>
      <c r="G385" s="122"/>
      <c r="H385" s="122"/>
      <c r="I385" s="122"/>
      <c r="J385" s="122"/>
      <c r="K385" s="122"/>
      <c r="L385" s="122"/>
      <c r="M385" s="105"/>
      <c r="N385" s="105"/>
    </row>
    <row r="386" spans="1:14" ht="75.75" customHeight="1">
      <c r="A386" s="122"/>
      <c r="B386" s="122"/>
      <c r="C386" s="122"/>
      <c r="D386" s="122"/>
      <c r="E386" s="122"/>
      <c r="F386" s="122"/>
      <c r="G386" s="122"/>
      <c r="H386" s="122"/>
      <c r="I386" s="122"/>
      <c r="J386" s="122"/>
      <c r="K386" s="122"/>
      <c r="L386" s="122"/>
      <c r="M386" s="105"/>
      <c r="N386" s="105"/>
    </row>
    <row r="388" spans="1:14">
      <c r="A388" s="122"/>
      <c r="B388" s="122"/>
      <c r="C388" s="122"/>
      <c r="D388" s="122"/>
      <c r="E388" s="122"/>
      <c r="F388" s="122"/>
      <c r="G388" s="122"/>
      <c r="H388" s="122"/>
      <c r="I388" s="122"/>
      <c r="J388" s="122"/>
      <c r="K388" s="122"/>
      <c r="L388" s="122"/>
      <c r="M388" s="122"/>
      <c r="N388" s="122"/>
    </row>
    <row r="389" spans="1:14">
      <c r="A389" s="122"/>
      <c r="B389" s="122"/>
      <c r="C389" s="122"/>
      <c r="D389" s="122"/>
      <c r="E389" s="122"/>
      <c r="F389" s="122"/>
      <c r="G389" s="122"/>
      <c r="H389" s="122"/>
      <c r="I389" s="122"/>
      <c r="J389" s="122"/>
      <c r="K389" s="122"/>
      <c r="L389" s="122"/>
      <c r="M389" s="122"/>
      <c r="N389" s="122"/>
    </row>
    <row r="390" spans="1:14">
      <c r="A390" s="122"/>
      <c r="B390" s="122"/>
      <c r="C390" s="122"/>
      <c r="D390" s="122"/>
      <c r="E390" s="122"/>
      <c r="F390" s="122"/>
      <c r="G390" s="122"/>
      <c r="H390" s="122"/>
      <c r="I390" s="122"/>
      <c r="J390" s="122"/>
      <c r="K390" s="122"/>
      <c r="L390" s="122"/>
      <c r="M390" s="122"/>
      <c r="N390" s="122"/>
    </row>
    <row r="391" spans="1:14">
      <c r="A391" s="122"/>
      <c r="B391" s="122"/>
      <c r="C391" s="122"/>
      <c r="D391" s="122"/>
      <c r="E391" s="122"/>
      <c r="F391" s="122"/>
      <c r="G391" s="122"/>
      <c r="H391" s="122"/>
      <c r="I391" s="122"/>
      <c r="J391" s="122"/>
      <c r="K391" s="122"/>
      <c r="L391" s="122"/>
      <c r="M391" s="122"/>
      <c r="N391" s="122"/>
    </row>
    <row r="392" spans="1:14">
      <c r="A392" s="122"/>
      <c r="B392" s="122"/>
      <c r="C392" s="122"/>
      <c r="D392" s="122"/>
      <c r="E392" s="122"/>
      <c r="F392" s="122"/>
      <c r="G392" s="122"/>
      <c r="H392" s="122"/>
      <c r="I392" s="122"/>
      <c r="J392" s="122"/>
      <c r="K392" s="122"/>
      <c r="L392" s="122"/>
      <c r="M392" s="122"/>
      <c r="N392" s="122"/>
    </row>
    <row r="393" spans="1:14" ht="28.5" customHeight="1">
      <c r="A393" s="122"/>
      <c r="B393" s="122"/>
      <c r="C393" s="122"/>
      <c r="D393" s="122"/>
      <c r="E393" s="122"/>
      <c r="F393" s="122"/>
      <c r="G393" s="122"/>
      <c r="H393" s="122"/>
      <c r="I393" s="122"/>
      <c r="J393" s="122"/>
      <c r="K393" s="122"/>
      <c r="L393" s="122"/>
      <c r="M393" s="122"/>
      <c r="N393" s="122"/>
    </row>
    <row r="394" spans="1:14" ht="36" customHeight="1">
      <c r="A394" s="122"/>
      <c r="B394" s="122"/>
      <c r="C394" s="122"/>
      <c r="D394" s="122"/>
      <c r="E394" s="122"/>
      <c r="F394" s="122"/>
      <c r="G394" s="122"/>
      <c r="H394" s="122"/>
      <c r="I394" s="122"/>
      <c r="J394" s="122"/>
      <c r="K394" s="122"/>
      <c r="L394" s="122"/>
      <c r="M394" s="122"/>
      <c r="N394" s="122"/>
    </row>
    <row r="395" spans="1:14">
      <c r="A395" s="122"/>
      <c r="B395" s="122"/>
      <c r="C395" s="122"/>
      <c r="D395" s="122"/>
      <c r="E395" s="122"/>
      <c r="F395" s="122"/>
      <c r="G395" s="122"/>
      <c r="H395" s="122"/>
      <c r="I395" s="122"/>
      <c r="J395" s="122"/>
      <c r="K395" s="122"/>
      <c r="L395" s="122"/>
      <c r="M395" s="122"/>
      <c r="N395" s="122"/>
    </row>
    <row r="396" spans="1:14">
      <c r="A396" s="122"/>
      <c r="B396" s="122"/>
      <c r="C396" s="122"/>
      <c r="D396" s="122"/>
      <c r="E396" s="122"/>
      <c r="F396" s="122"/>
      <c r="G396" s="122"/>
      <c r="H396" s="122"/>
      <c r="I396" s="122"/>
      <c r="J396" s="122"/>
      <c r="K396" s="122"/>
      <c r="L396" s="122"/>
      <c r="M396" s="105"/>
      <c r="N396" s="105"/>
    </row>
    <row r="397" spans="1:14" ht="68.25" customHeight="1">
      <c r="A397" s="122"/>
      <c r="B397" s="122"/>
      <c r="C397" s="122"/>
      <c r="D397" s="122"/>
      <c r="E397" s="122"/>
      <c r="F397" s="122"/>
      <c r="G397" s="122"/>
      <c r="H397" s="122"/>
      <c r="I397" s="122"/>
      <c r="J397" s="122"/>
      <c r="K397" s="122"/>
      <c r="L397" s="122"/>
      <c r="M397" s="105"/>
      <c r="N397" s="105"/>
    </row>
    <row r="399" spans="1:14">
      <c r="A399" s="122"/>
      <c r="B399" s="122"/>
      <c r="C399" s="122"/>
      <c r="D399" s="122"/>
      <c r="E399" s="122"/>
      <c r="F399" s="122"/>
      <c r="G399" s="122"/>
      <c r="H399" s="122"/>
      <c r="I399" s="122"/>
      <c r="J399" s="122"/>
      <c r="K399" s="122"/>
      <c r="L399" s="122"/>
      <c r="M399" s="122"/>
      <c r="N399" s="122"/>
    </row>
    <row r="400" spans="1:14">
      <c r="A400" s="122"/>
      <c r="B400" s="122"/>
      <c r="C400" s="122"/>
      <c r="D400" s="122"/>
      <c r="E400" s="122"/>
      <c r="F400" s="122"/>
      <c r="G400" s="122"/>
      <c r="H400" s="122"/>
      <c r="I400" s="122"/>
      <c r="J400" s="122"/>
      <c r="K400" s="122"/>
      <c r="L400" s="122"/>
      <c r="M400" s="122"/>
      <c r="N400" s="122"/>
    </row>
    <row r="401" spans="1:14">
      <c r="A401" s="122"/>
      <c r="B401" s="122"/>
      <c r="C401" s="122"/>
      <c r="D401" s="122"/>
      <c r="E401" s="122"/>
      <c r="F401" s="122"/>
      <c r="G401" s="122"/>
      <c r="H401" s="122"/>
      <c r="I401" s="122"/>
      <c r="J401" s="122"/>
      <c r="K401" s="122"/>
      <c r="L401" s="122"/>
      <c r="M401" s="122"/>
      <c r="N401" s="122"/>
    </row>
    <row r="402" spans="1:14">
      <c r="A402" s="122"/>
      <c r="B402" s="122"/>
      <c r="C402" s="122"/>
      <c r="D402" s="122"/>
      <c r="E402" s="122"/>
      <c r="F402" s="122"/>
      <c r="G402" s="122"/>
      <c r="H402" s="122"/>
      <c r="I402" s="122"/>
      <c r="J402" s="122"/>
      <c r="K402" s="122"/>
      <c r="L402" s="122"/>
      <c r="M402" s="122"/>
      <c r="N402" s="122"/>
    </row>
    <row r="403" spans="1:14">
      <c r="A403" s="122"/>
      <c r="B403" s="122"/>
      <c r="C403" s="122"/>
      <c r="D403" s="122"/>
      <c r="E403" s="122"/>
      <c r="F403" s="122"/>
      <c r="G403" s="122"/>
      <c r="H403" s="122"/>
      <c r="I403" s="122"/>
      <c r="J403" s="122"/>
      <c r="K403" s="122"/>
      <c r="L403" s="122"/>
      <c r="M403" s="122"/>
      <c r="N403" s="122"/>
    </row>
    <row r="404" spans="1:14">
      <c r="A404" s="122"/>
      <c r="B404" s="122"/>
      <c r="C404" s="122"/>
      <c r="D404" s="122"/>
      <c r="E404" s="122"/>
      <c r="F404" s="122"/>
      <c r="G404" s="122"/>
      <c r="H404" s="122"/>
      <c r="I404" s="122"/>
      <c r="J404" s="122"/>
      <c r="K404" s="122"/>
      <c r="L404" s="122"/>
      <c r="M404" s="122"/>
      <c r="N404" s="122"/>
    </row>
    <row r="405" spans="1:14" ht="42.75" customHeight="1">
      <c r="A405" s="122"/>
      <c r="B405" s="122"/>
      <c r="C405" s="122"/>
      <c r="D405" s="122"/>
      <c r="E405" s="122"/>
      <c r="F405" s="122"/>
      <c r="G405" s="122"/>
      <c r="H405" s="122"/>
      <c r="I405" s="122"/>
      <c r="J405" s="122"/>
      <c r="K405" s="122"/>
      <c r="L405" s="122"/>
      <c r="M405" s="122"/>
      <c r="N405" s="122"/>
    </row>
    <row r="406" spans="1:14">
      <c r="A406" s="122"/>
      <c r="B406" s="122"/>
      <c r="C406" s="122"/>
      <c r="D406" s="122"/>
      <c r="E406" s="122"/>
      <c r="F406" s="122"/>
      <c r="G406" s="122"/>
      <c r="H406" s="122"/>
      <c r="I406" s="122"/>
      <c r="J406" s="122"/>
      <c r="K406" s="122"/>
      <c r="L406" s="122"/>
      <c r="M406" s="122"/>
      <c r="N406" s="122"/>
    </row>
    <row r="407" spans="1:14">
      <c r="A407" s="122"/>
      <c r="B407" s="122"/>
      <c r="C407" s="122"/>
      <c r="D407" s="122"/>
      <c r="E407" s="122"/>
      <c r="F407" s="122"/>
      <c r="G407" s="122"/>
      <c r="H407" s="122"/>
      <c r="I407" s="122"/>
      <c r="J407" s="122"/>
      <c r="K407" s="122"/>
      <c r="L407" s="122"/>
      <c r="M407" s="105"/>
      <c r="N407" s="105"/>
    </row>
    <row r="408" spans="1:14" ht="79.5" customHeight="1">
      <c r="A408" s="122"/>
      <c r="B408" s="122"/>
      <c r="C408" s="122"/>
      <c r="D408" s="122"/>
      <c r="E408" s="122"/>
      <c r="F408" s="122"/>
      <c r="G408" s="122"/>
      <c r="H408" s="122"/>
      <c r="I408" s="122"/>
      <c r="J408" s="122"/>
      <c r="K408" s="122"/>
      <c r="L408" s="122"/>
      <c r="M408" s="105"/>
      <c r="N408" s="105"/>
    </row>
    <row r="410" spans="1:14">
      <c r="A410" s="122"/>
      <c r="B410" s="122"/>
      <c r="C410" s="122"/>
      <c r="D410" s="122"/>
      <c r="E410" s="122"/>
      <c r="F410" s="122"/>
      <c r="G410" s="122"/>
      <c r="H410" s="122"/>
      <c r="I410" s="122"/>
      <c r="J410" s="122"/>
      <c r="K410" s="122"/>
      <c r="L410" s="122"/>
      <c r="M410" s="122"/>
      <c r="N410" s="122"/>
    </row>
    <row r="411" spans="1:14">
      <c r="A411" s="122"/>
      <c r="B411" s="122"/>
      <c r="C411" s="122"/>
      <c r="D411" s="122"/>
      <c r="E411" s="122"/>
      <c r="F411" s="122"/>
      <c r="G411" s="122"/>
      <c r="H411" s="122"/>
      <c r="I411" s="122"/>
      <c r="J411" s="122"/>
      <c r="K411" s="122"/>
      <c r="L411" s="122"/>
      <c r="M411" s="122"/>
      <c r="N411" s="122"/>
    </row>
    <row r="412" spans="1:14">
      <c r="A412" s="122"/>
      <c r="B412" s="122"/>
      <c r="C412" s="122"/>
      <c r="D412" s="122"/>
      <c r="E412" s="122"/>
      <c r="F412" s="122"/>
      <c r="G412" s="122"/>
      <c r="H412" s="122"/>
      <c r="I412" s="122"/>
      <c r="J412" s="122"/>
      <c r="K412" s="122"/>
      <c r="L412" s="122"/>
      <c r="M412" s="122"/>
      <c r="N412" s="122"/>
    </row>
    <row r="413" spans="1:14">
      <c r="A413" s="122"/>
      <c r="B413" s="122"/>
      <c r="C413" s="122"/>
      <c r="D413" s="122"/>
      <c r="E413" s="122"/>
      <c r="F413" s="122"/>
      <c r="G413" s="122"/>
      <c r="H413" s="122"/>
      <c r="I413" s="122"/>
      <c r="J413" s="122"/>
      <c r="K413" s="122"/>
      <c r="L413" s="122"/>
      <c r="M413" s="122"/>
      <c r="N413" s="122"/>
    </row>
    <row r="414" spans="1:14">
      <c r="A414" s="122"/>
      <c r="B414" s="122"/>
      <c r="C414" s="122"/>
      <c r="D414" s="122"/>
      <c r="E414" s="122"/>
      <c r="F414" s="122"/>
      <c r="G414" s="122"/>
      <c r="H414" s="122"/>
      <c r="I414" s="122"/>
      <c r="J414" s="122"/>
      <c r="K414" s="122"/>
      <c r="L414" s="122"/>
      <c r="M414" s="122"/>
      <c r="N414" s="122"/>
    </row>
    <row r="415" spans="1:14">
      <c r="A415" s="122"/>
      <c r="B415" s="122"/>
      <c r="C415" s="122"/>
      <c r="D415" s="122"/>
      <c r="E415" s="122"/>
      <c r="F415" s="122"/>
      <c r="G415" s="122"/>
      <c r="H415" s="122"/>
      <c r="I415" s="122"/>
      <c r="J415" s="122"/>
      <c r="K415" s="122"/>
      <c r="L415" s="122"/>
      <c r="M415" s="122"/>
      <c r="N415" s="122"/>
    </row>
    <row r="416" spans="1:14">
      <c r="A416" s="122"/>
      <c r="B416" s="122"/>
      <c r="C416" s="122"/>
      <c r="D416" s="122"/>
      <c r="E416" s="122"/>
      <c r="F416" s="122"/>
      <c r="G416" s="122"/>
      <c r="H416" s="122"/>
      <c r="I416" s="122"/>
      <c r="J416" s="122"/>
      <c r="K416" s="122"/>
      <c r="L416" s="122"/>
      <c r="M416" s="122"/>
      <c r="N416" s="122"/>
    </row>
    <row r="417" spans="1:14">
      <c r="A417" s="122"/>
      <c r="B417" s="122"/>
      <c r="C417" s="122"/>
      <c r="D417" s="122"/>
      <c r="E417" s="122"/>
      <c r="F417" s="122"/>
      <c r="G417" s="122"/>
      <c r="H417" s="122"/>
      <c r="I417" s="122"/>
      <c r="J417" s="122"/>
      <c r="K417" s="122"/>
      <c r="L417" s="122"/>
      <c r="M417" s="122"/>
      <c r="N417" s="122"/>
    </row>
    <row r="418" spans="1:14">
      <c r="A418" s="122"/>
      <c r="B418" s="122"/>
      <c r="C418" s="122"/>
      <c r="D418" s="122"/>
      <c r="E418" s="122"/>
      <c r="F418" s="122"/>
      <c r="G418" s="122"/>
      <c r="H418" s="122"/>
      <c r="I418" s="122"/>
      <c r="J418" s="122"/>
      <c r="K418" s="122"/>
      <c r="L418" s="122"/>
      <c r="M418" s="105"/>
      <c r="N418" s="105"/>
    </row>
    <row r="419" spans="1:14" ht="54" customHeight="1">
      <c r="A419" s="122"/>
      <c r="B419" s="122"/>
      <c r="C419" s="122"/>
      <c r="D419" s="122"/>
      <c r="E419" s="122"/>
      <c r="F419" s="122"/>
      <c r="G419" s="122"/>
      <c r="H419" s="122"/>
      <c r="I419" s="122"/>
      <c r="J419" s="122"/>
      <c r="K419" s="122"/>
      <c r="L419" s="122"/>
      <c r="M419" s="105"/>
      <c r="N419" s="105"/>
    </row>
    <row r="421" spans="1:14">
      <c r="A421" s="122"/>
      <c r="B421" s="122"/>
      <c r="C421" s="122"/>
      <c r="D421" s="122"/>
      <c r="E421" s="122"/>
      <c r="F421" s="122"/>
      <c r="G421" s="122"/>
      <c r="H421" s="122"/>
      <c r="I421" s="122"/>
      <c r="J421" s="122"/>
      <c r="K421" s="122"/>
      <c r="L421" s="122"/>
      <c r="M421" s="122"/>
      <c r="N421" s="122"/>
    </row>
    <row r="422" spans="1:14">
      <c r="A422" s="122"/>
      <c r="B422" s="122"/>
      <c r="C422" s="122"/>
      <c r="D422" s="122"/>
      <c r="E422" s="122"/>
      <c r="F422" s="122"/>
      <c r="G422" s="122"/>
      <c r="H422" s="122"/>
      <c r="I422" s="122"/>
      <c r="J422" s="122"/>
      <c r="K422" s="122"/>
      <c r="L422" s="122"/>
      <c r="M422" s="122"/>
      <c r="N422" s="122"/>
    </row>
    <row r="423" spans="1:14">
      <c r="A423" s="122"/>
      <c r="B423" s="122"/>
      <c r="C423" s="122"/>
      <c r="D423" s="122"/>
      <c r="E423" s="122"/>
      <c r="F423" s="122"/>
      <c r="G423" s="122"/>
      <c r="H423" s="122"/>
      <c r="I423" s="122"/>
      <c r="J423" s="122"/>
      <c r="K423" s="122"/>
      <c r="L423" s="122"/>
      <c r="M423" s="122"/>
      <c r="N423" s="122"/>
    </row>
    <row r="424" spans="1:14">
      <c r="A424" s="122"/>
      <c r="B424" s="122"/>
      <c r="C424" s="122"/>
      <c r="D424" s="122"/>
      <c r="E424" s="122"/>
      <c r="F424" s="122"/>
      <c r="G424" s="122"/>
      <c r="H424" s="122"/>
      <c r="I424" s="122"/>
      <c r="J424" s="122"/>
      <c r="K424" s="122"/>
      <c r="L424" s="122"/>
      <c r="M424" s="122"/>
      <c r="N424" s="122"/>
    </row>
    <row r="425" spans="1:14">
      <c r="A425" s="122"/>
      <c r="B425" s="122"/>
      <c r="C425" s="122"/>
      <c r="D425" s="122"/>
      <c r="E425" s="122"/>
      <c r="F425" s="122"/>
      <c r="G425" s="122"/>
      <c r="H425" s="122"/>
      <c r="I425" s="122"/>
      <c r="J425" s="122"/>
      <c r="K425" s="122"/>
      <c r="L425" s="122"/>
      <c r="M425" s="122"/>
      <c r="N425" s="122"/>
    </row>
    <row r="426" spans="1:14">
      <c r="A426" s="122"/>
      <c r="B426" s="122"/>
      <c r="C426" s="122"/>
      <c r="D426" s="122"/>
      <c r="E426" s="122"/>
      <c r="F426" s="122"/>
      <c r="G426" s="122"/>
      <c r="H426" s="122"/>
      <c r="I426" s="122"/>
      <c r="J426" s="122"/>
      <c r="K426" s="122"/>
      <c r="L426" s="122"/>
      <c r="M426" s="122"/>
      <c r="N426" s="122"/>
    </row>
    <row r="427" spans="1:14" ht="39.75" customHeight="1">
      <c r="A427" s="122"/>
      <c r="B427" s="122"/>
      <c r="C427" s="122"/>
      <c r="D427" s="122"/>
      <c r="E427" s="122"/>
      <c r="F427" s="122"/>
      <c r="G427" s="122"/>
      <c r="H427" s="122"/>
      <c r="I427" s="122"/>
      <c r="J427" s="122"/>
      <c r="K427" s="122"/>
      <c r="L427" s="122"/>
      <c r="M427" s="122"/>
      <c r="N427" s="122"/>
    </row>
    <row r="428" spans="1:14">
      <c r="A428" s="122"/>
      <c r="B428" s="122"/>
      <c r="C428" s="122"/>
      <c r="D428" s="122"/>
      <c r="E428" s="122"/>
      <c r="F428" s="122"/>
      <c r="G428" s="122"/>
      <c r="H428" s="122"/>
      <c r="I428" s="122"/>
      <c r="J428" s="122"/>
      <c r="K428" s="122"/>
      <c r="L428" s="122"/>
      <c r="M428" s="122"/>
      <c r="N428" s="122"/>
    </row>
    <row r="429" spans="1:14">
      <c r="A429" s="122"/>
      <c r="B429" s="122"/>
      <c r="C429" s="122"/>
      <c r="D429" s="122"/>
      <c r="E429" s="122"/>
      <c r="F429" s="122"/>
      <c r="G429" s="122"/>
      <c r="H429" s="122"/>
      <c r="I429" s="122"/>
      <c r="J429" s="122"/>
      <c r="K429" s="122"/>
      <c r="L429" s="122"/>
      <c r="M429" s="105"/>
      <c r="N429" s="105"/>
    </row>
    <row r="430" spans="1:14" ht="70.5" customHeight="1">
      <c r="A430" s="122"/>
      <c r="B430" s="122"/>
      <c r="C430" s="122"/>
      <c r="D430" s="122"/>
      <c r="E430" s="122"/>
      <c r="F430" s="122"/>
      <c r="G430" s="122"/>
      <c r="H430" s="122"/>
      <c r="I430" s="122"/>
      <c r="J430" s="122"/>
      <c r="K430" s="122"/>
      <c r="L430" s="122"/>
      <c r="M430" s="105"/>
      <c r="N430" s="105"/>
    </row>
    <row r="432" spans="1:14">
      <c r="A432" s="122"/>
      <c r="B432" s="122"/>
      <c r="C432" s="122"/>
      <c r="D432" s="122"/>
      <c r="E432" s="122"/>
      <c r="F432" s="122"/>
      <c r="G432" s="122"/>
      <c r="H432" s="122"/>
      <c r="I432" s="122"/>
      <c r="J432" s="122"/>
      <c r="K432" s="122"/>
      <c r="L432" s="122"/>
      <c r="M432" s="122"/>
      <c r="N432" s="122"/>
    </row>
    <row r="433" spans="1:14">
      <c r="A433" s="122"/>
      <c r="B433" s="122"/>
      <c r="C433" s="122"/>
      <c r="D433" s="122"/>
      <c r="E433" s="122"/>
      <c r="F433" s="122"/>
      <c r="G433" s="122"/>
      <c r="H433" s="122"/>
      <c r="I433" s="122"/>
      <c r="J433" s="122"/>
      <c r="K433" s="122"/>
      <c r="L433" s="122"/>
      <c r="M433" s="122"/>
      <c r="N433" s="122"/>
    </row>
    <row r="434" spans="1:14">
      <c r="A434" s="122"/>
      <c r="B434" s="122"/>
      <c r="C434" s="122"/>
      <c r="D434" s="122"/>
      <c r="E434" s="122"/>
      <c r="F434" s="122"/>
      <c r="G434" s="122"/>
      <c r="H434" s="122"/>
      <c r="I434" s="122"/>
      <c r="J434" s="122"/>
      <c r="K434" s="122"/>
      <c r="L434" s="122"/>
      <c r="M434" s="122"/>
      <c r="N434" s="122"/>
    </row>
    <row r="435" spans="1:14">
      <c r="A435" s="122"/>
      <c r="B435" s="122"/>
      <c r="C435" s="122"/>
      <c r="D435" s="122"/>
      <c r="E435" s="122"/>
      <c r="F435" s="122"/>
      <c r="G435" s="122"/>
      <c r="H435" s="122"/>
      <c r="I435" s="122"/>
      <c r="J435" s="122"/>
      <c r="K435" s="122"/>
      <c r="L435" s="122"/>
      <c r="M435" s="122"/>
      <c r="N435" s="122"/>
    </row>
    <row r="436" spans="1:14">
      <c r="A436" s="122"/>
      <c r="B436" s="122"/>
      <c r="C436" s="122"/>
      <c r="D436" s="122"/>
      <c r="E436" s="122"/>
      <c r="F436" s="122"/>
      <c r="G436" s="122"/>
      <c r="H436" s="122"/>
      <c r="I436" s="122"/>
      <c r="J436" s="122"/>
      <c r="K436" s="122"/>
      <c r="L436" s="122"/>
      <c r="M436" s="122"/>
      <c r="N436" s="122"/>
    </row>
    <row r="437" spans="1:14">
      <c r="A437" s="122"/>
      <c r="B437" s="122"/>
      <c r="C437" s="122"/>
      <c r="D437" s="122"/>
      <c r="E437" s="122"/>
      <c r="F437" s="122"/>
      <c r="G437" s="122"/>
      <c r="H437" s="122"/>
      <c r="I437" s="122"/>
      <c r="J437" s="122"/>
      <c r="K437" s="122"/>
      <c r="L437" s="122"/>
      <c r="M437" s="122"/>
      <c r="N437" s="122"/>
    </row>
    <row r="438" spans="1:14" ht="45" customHeight="1">
      <c r="A438" s="122"/>
      <c r="B438" s="122"/>
      <c r="C438" s="122"/>
      <c r="D438" s="122"/>
      <c r="E438" s="122"/>
      <c r="F438" s="122"/>
      <c r="G438" s="122"/>
      <c r="H438" s="122"/>
      <c r="I438" s="122"/>
      <c r="J438" s="122"/>
      <c r="K438" s="122"/>
      <c r="L438" s="122"/>
      <c r="M438" s="122"/>
      <c r="N438" s="122"/>
    </row>
    <row r="439" spans="1:14" ht="43.5" customHeight="1">
      <c r="A439" s="122"/>
      <c r="B439" s="122"/>
      <c r="C439" s="122"/>
      <c r="D439" s="122"/>
      <c r="E439" s="122"/>
      <c r="F439" s="122"/>
      <c r="G439" s="122"/>
      <c r="H439" s="122"/>
      <c r="I439" s="122"/>
      <c r="J439" s="122"/>
      <c r="K439" s="122"/>
      <c r="L439" s="122"/>
      <c r="M439" s="122"/>
      <c r="N439" s="122"/>
    </row>
    <row r="440" spans="1:14">
      <c r="A440" s="122"/>
      <c r="B440" s="122"/>
      <c r="C440" s="122"/>
      <c r="D440" s="122"/>
      <c r="E440" s="122"/>
      <c r="F440" s="122"/>
      <c r="G440" s="122"/>
      <c r="H440" s="122"/>
      <c r="I440" s="122"/>
      <c r="J440" s="122"/>
      <c r="K440" s="122"/>
      <c r="L440" s="122"/>
      <c r="M440" s="105"/>
      <c r="N440" s="105"/>
    </row>
    <row r="441" spans="1:14" ht="75.95" customHeight="1">
      <c r="A441" s="122"/>
      <c r="B441" s="122"/>
      <c r="C441" s="122"/>
      <c r="D441" s="122"/>
      <c r="E441" s="122"/>
      <c r="F441" s="122"/>
      <c r="G441" s="122"/>
      <c r="H441" s="122"/>
      <c r="I441" s="122"/>
      <c r="J441" s="122"/>
      <c r="K441" s="122"/>
      <c r="L441" s="122"/>
      <c r="M441" s="105"/>
      <c r="N441" s="105"/>
    </row>
  </sheetData>
  <mergeCells count="1120">
    <mergeCell ref="C363:D363"/>
    <mergeCell ref="A128:C128"/>
    <mergeCell ref="A426:C426"/>
    <mergeCell ref="D60:N60"/>
    <mergeCell ref="A326:C326"/>
    <mergeCell ref="I419:J419"/>
    <mergeCell ref="K177:L177"/>
    <mergeCell ref="I275:J275"/>
    <mergeCell ref="K33:L33"/>
    <mergeCell ref="A413:C413"/>
    <mergeCell ref="D423:N423"/>
    <mergeCell ref="D174:N174"/>
    <mergeCell ref="A136:C136"/>
    <mergeCell ref="A192:C192"/>
    <mergeCell ref="A21:C21"/>
    <mergeCell ref="D410:N410"/>
    <mergeCell ref="A428:C428"/>
    <mergeCell ref="A113:C113"/>
    <mergeCell ref="A415:C415"/>
    <mergeCell ref="D281:N281"/>
    <mergeCell ref="C407:D407"/>
    <mergeCell ref="A194:C194"/>
    <mergeCell ref="C121:D121"/>
    <mergeCell ref="A181:C181"/>
    <mergeCell ref="E308:F308"/>
    <mergeCell ref="G66:H66"/>
    <mergeCell ref="K99:L99"/>
    <mergeCell ref="I66:J66"/>
    <mergeCell ref="D136:N136"/>
    <mergeCell ref="D70:N70"/>
    <mergeCell ref="D263:N263"/>
    <mergeCell ref="A52:C52"/>
    <mergeCell ref="D312:N312"/>
    <mergeCell ref="D434:N434"/>
    <mergeCell ref="D238:N238"/>
    <mergeCell ref="D426:N426"/>
    <mergeCell ref="I155:J155"/>
    <mergeCell ref="E166:F166"/>
    <mergeCell ref="K155:L155"/>
    <mergeCell ref="D7:N7"/>
    <mergeCell ref="A33:B33"/>
    <mergeCell ref="D205:N205"/>
    <mergeCell ref="A440:B440"/>
    <mergeCell ref="D436:N436"/>
    <mergeCell ref="D292:N292"/>
    <mergeCell ref="A83:C83"/>
    <mergeCell ref="D357:N357"/>
    <mergeCell ref="A270:C270"/>
    <mergeCell ref="D71:N71"/>
    <mergeCell ref="A231:B231"/>
    <mergeCell ref="A368:C368"/>
    <mergeCell ref="D307:N307"/>
    <mergeCell ref="D58:N58"/>
    <mergeCell ref="A49:C49"/>
    <mergeCell ref="G143:H143"/>
    <mergeCell ref="D294:N294"/>
    <mergeCell ref="A334:C334"/>
    <mergeCell ref="A383:C383"/>
    <mergeCell ref="D73:N73"/>
    <mergeCell ref="K221:L221"/>
    <mergeCell ref="A370:C370"/>
    <mergeCell ref="D358:N358"/>
    <mergeCell ref="A174:C174"/>
    <mergeCell ref="A205:C205"/>
    <mergeCell ref="A410:C410"/>
    <mergeCell ref="A118:C118"/>
    <mergeCell ref="E55:F55"/>
    <mergeCell ref="E353:F353"/>
    <mergeCell ref="A238:C238"/>
    <mergeCell ref="E67:F67"/>
    <mergeCell ref="G67:H67"/>
    <mergeCell ref="D131:N131"/>
    <mergeCell ref="A263:C263"/>
    <mergeCell ref="D124:N124"/>
    <mergeCell ref="D195:N195"/>
    <mergeCell ref="A364:B364"/>
    <mergeCell ref="D360:N360"/>
    <mergeCell ref="C242:D242"/>
    <mergeCell ref="A29:C29"/>
    <mergeCell ref="A4:C4"/>
    <mergeCell ref="G298:H298"/>
    <mergeCell ref="I56:J56"/>
    <mergeCell ref="K331:L331"/>
    <mergeCell ref="C331:D331"/>
    <mergeCell ref="E89:F89"/>
    <mergeCell ref="E331:F331"/>
    <mergeCell ref="G89:H89"/>
    <mergeCell ref="A366:C366"/>
    <mergeCell ref="A74:C74"/>
    <mergeCell ref="E309:F309"/>
    <mergeCell ref="A139:C139"/>
    <mergeCell ref="A381:C381"/>
    <mergeCell ref="C88:D88"/>
    <mergeCell ref="E188:F188"/>
    <mergeCell ref="E88:F88"/>
    <mergeCell ref="K110:L110"/>
    <mergeCell ref="A436:C436"/>
    <mergeCell ref="K56:L56"/>
    <mergeCell ref="D126:N126"/>
    <mergeCell ref="D197:N197"/>
    <mergeCell ref="I176:J176"/>
    <mergeCell ref="D53:N53"/>
    <mergeCell ref="K243:L243"/>
    <mergeCell ref="I341:J341"/>
    <mergeCell ref="D47:N47"/>
    <mergeCell ref="K341:L341"/>
    <mergeCell ref="D289:N289"/>
    <mergeCell ref="D351:N351"/>
    <mergeCell ref="A357:C357"/>
    <mergeCell ref="A31:C31"/>
    <mergeCell ref="A202:C202"/>
    <mergeCell ref="A58:C58"/>
    <mergeCell ref="A258:C258"/>
    <mergeCell ref="A329:C329"/>
    <mergeCell ref="D411:N411"/>
    <mergeCell ref="A421:C421"/>
    <mergeCell ref="C110:D110"/>
    <mergeCell ref="E110:F110"/>
    <mergeCell ref="C408:D408"/>
    <mergeCell ref="A73:C73"/>
    <mergeCell ref="D76:N76"/>
    <mergeCell ref="A190:C190"/>
    <mergeCell ref="A55:B55"/>
    <mergeCell ref="A152:C152"/>
    <mergeCell ref="E77:F77"/>
    <mergeCell ref="E133:F133"/>
    <mergeCell ref="G133:H133"/>
    <mergeCell ref="D284:N284"/>
    <mergeCell ref="A437:C437"/>
    <mergeCell ref="A260:C260"/>
    <mergeCell ref="A60:C60"/>
    <mergeCell ref="A358:C358"/>
    <mergeCell ref="E187:F187"/>
    <mergeCell ref="D15:N15"/>
    <mergeCell ref="G374:H374"/>
    <mergeCell ref="A197:C197"/>
    <mergeCell ref="D142:N142"/>
    <mergeCell ref="I374:J374"/>
    <mergeCell ref="K407:L407"/>
    <mergeCell ref="A124:C124"/>
    <mergeCell ref="D378:N378"/>
    <mergeCell ref="D129:N129"/>
    <mergeCell ref="A422:C422"/>
    <mergeCell ref="A360:C360"/>
    <mergeCell ref="A352:B352"/>
    <mergeCell ref="A34:B34"/>
    <mergeCell ref="A143:B143"/>
    <mergeCell ref="C34:D34"/>
    <mergeCell ref="A276:B276"/>
    <mergeCell ref="C265:D265"/>
    <mergeCell ref="A126:C126"/>
    <mergeCell ref="A363:B363"/>
    <mergeCell ref="E265:F265"/>
    <mergeCell ref="I298:J298"/>
    <mergeCell ref="A424:C424"/>
    <mergeCell ref="A150:C150"/>
    <mergeCell ref="K44:L44"/>
    <mergeCell ref="C44:D44"/>
    <mergeCell ref="A411:C411"/>
    <mergeCell ref="A215:C215"/>
    <mergeCell ref="A441:B441"/>
    <mergeCell ref="G232:H232"/>
    <mergeCell ref="D315:N315"/>
    <mergeCell ref="I232:J232"/>
    <mergeCell ref="C397:D397"/>
    <mergeCell ref="A84:C84"/>
    <mergeCell ref="D302:N302"/>
    <mergeCell ref="G11:H11"/>
    <mergeCell ref="A149:C149"/>
    <mergeCell ref="I11:J11"/>
    <mergeCell ref="K419:L419"/>
    <mergeCell ref="D10:N10"/>
    <mergeCell ref="D81:N81"/>
    <mergeCell ref="I198:J198"/>
    <mergeCell ref="G440:H440"/>
    <mergeCell ref="D208:N208"/>
    <mergeCell ref="K198:L198"/>
    <mergeCell ref="A50:C50"/>
    <mergeCell ref="D379:N379"/>
    <mergeCell ref="A434:C434"/>
    <mergeCell ref="I440:J440"/>
    <mergeCell ref="D366:N366"/>
    <mergeCell ref="A86:C86"/>
    <mergeCell ref="D300:N300"/>
    <mergeCell ref="C309:D309"/>
    <mergeCell ref="A42:C42"/>
    <mergeCell ref="A78:B78"/>
    <mergeCell ref="A151:C151"/>
    <mergeCell ref="A213:C213"/>
    <mergeCell ref="A384:C384"/>
    <mergeCell ref="C100:D100"/>
    <mergeCell ref="D139:N139"/>
    <mergeCell ref="G418:H418"/>
    <mergeCell ref="I418:J418"/>
    <mergeCell ref="D28:N28"/>
    <mergeCell ref="K176:L176"/>
    <mergeCell ref="D326:N326"/>
    <mergeCell ref="D3:N3"/>
    <mergeCell ref="D313:N313"/>
    <mergeCell ref="D432:N432"/>
    <mergeCell ref="D236:N236"/>
    <mergeCell ref="A291:C291"/>
    <mergeCell ref="D92:N92"/>
    <mergeCell ref="D30:N30"/>
    <mergeCell ref="D223:N223"/>
    <mergeCell ref="D279:N279"/>
    <mergeCell ref="A70:C70"/>
    <mergeCell ref="D5:N5"/>
    <mergeCell ref="G364:H364"/>
    <mergeCell ref="D303:N303"/>
    <mergeCell ref="I364:J364"/>
    <mergeCell ref="D29:N29"/>
    <mergeCell ref="A355:C355"/>
    <mergeCell ref="A220:B220"/>
    <mergeCell ref="D290:N290"/>
    <mergeCell ref="D94:N94"/>
    <mergeCell ref="K242:L242"/>
    <mergeCell ref="K342:L342"/>
    <mergeCell ref="A137:C137"/>
    <mergeCell ref="A379:C379"/>
    <mergeCell ref="I363:J363"/>
    <mergeCell ref="K121:L121"/>
    <mergeCell ref="D69:N69"/>
    <mergeCell ref="A268:C268"/>
    <mergeCell ref="K12:L12"/>
    <mergeCell ref="G319:H319"/>
    <mergeCell ref="D16:N16"/>
    <mergeCell ref="A392:C392"/>
    <mergeCell ref="D380:N380"/>
    <mergeCell ref="D147:N147"/>
    <mergeCell ref="I297:J297"/>
    <mergeCell ref="D274:N274"/>
    <mergeCell ref="D245:N245"/>
    <mergeCell ref="D301:N301"/>
    <mergeCell ref="K297:L297"/>
    <mergeCell ref="A92:C92"/>
    <mergeCell ref="D224:N224"/>
    <mergeCell ref="A279:C279"/>
    <mergeCell ref="A144:B144"/>
    <mergeCell ref="A350:C350"/>
    <mergeCell ref="D18:N18"/>
    <mergeCell ref="C144:D144"/>
    <mergeCell ref="D382:N382"/>
    <mergeCell ref="A386:B386"/>
    <mergeCell ref="A300:C300"/>
    <mergeCell ref="A26:C26"/>
    <mergeCell ref="D31:N31"/>
    <mergeCell ref="A71:C71"/>
    <mergeCell ref="I33:J33"/>
    <mergeCell ref="D37:N37"/>
    <mergeCell ref="K220:L220"/>
    <mergeCell ref="D168:N168"/>
    <mergeCell ref="D339:N339"/>
    <mergeCell ref="E253:F253"/>
    <mergeCell ref="I286:J286"/>
    <mergeCell ref="G253:H253"/>
    <mergeCell ref="C429:D429"/>
    <mergeCell ref="A94:C94"/>
    <mergeCell ref="I78:J78"/>
    <mergeCell ref="A216:C216"/>
    <mergeCell ref="E429:F429"/>
    <mergeCell ref="A281:C281"/>
    <mergeCell ref="D82:N82"/>
    <mergeCell ref="C352:D352"/>
    <mergeCell ref="D240:N240"/>
    <mergeCell ref="A427:C427"/>
    <mergeCell ref="A87:C87"/>
    <mergeCell ref="A218:C218"/>
    <mergeCell ref="D334:N334"/>
    <mergeCell ref="A345:C345"/>
    <mergeCell ref="A316:C316"/>
    <mergeCell ref="C210:D210"/>
    <mergeCell ref="A193:C193"/>
    <mergeCell ref="E210:F210"/>
    <mergeCell ref="D271:N271"/>
    <mergeCell ref="A282:C282"/>
    <mergeCell ref="E111:F111"/>
    <mergeCell ref="A105:C105"/>
    <mergeCell ref="D237:N237"/>
    <mergeCell ref="D158:N158"/>
    <mergeCell ref="D329:N329"/>
    <mergeCell ref="D229:N229"/>
    <mergeCell ref="D400:N400"/>
    <mergeCell ref="K429:L429"/>
    <mergeCell ref="E275:F275"/>
    <mergeCell ref="G275:H275"/>
    <mergeCell ref="D103:N103"/>
    <mergeCell ref="D230:N230"/>
    <mergeCell ref="D6:N6"/>
    <mergeCell ref="A313:C313"/>
    <mergeCell ref="A307:C307"/>
    <mergeCell ref="D108:N108"/>
    <mergeCell ref="A243:B243"/>
    <mergeCell ref="A234:C234"/>
    <mergeCell ref="A99:B99"/>
    <mergeCell ref="D239:N239"/>
    <mergeCell ref="D95:N95"/>
    <mergeCell ref="A397:B397"/>
    <mergeCell ref="A405:C405"/>
    <mergeCell ref="A286:B286"/>
    <mergeCell ref="D160:N160"/>
    <mergeCell ref="A184:C184"/>
    <mergeCell ref="C286:D286"/>
    <mergeCell ref="A380:C380"/>
    <mergeCell ref="A371:C371"/>
    <mergeCell ref="A171:C171"/>
    <mergeCell ref="D306:N306"/>
    <mergeCell ref="K363:L363"/>
    <mergeCell ref="D311:N311"/>
    <mergeCell ref="D115:N115"/>
    <mergeCell ref="E122:F122"/>
    <mergeCell ref="A351:C351"/>
    <mergeCell ref="D19:N19"/>
    <mergeCell ref="A45:B45"/>
    <mergeCell ref="D261:N261"/>
    <mergeCell ref="C45:D45"/>
    <mergeCell ref="A120:C120"/>
    <mergeCell ref="A395:C395"/>
    <mergeCell ref="D402:N402"/>
    <mergeCell ref="I177:J177"/>
    <mergeCell ref="A432:C432"/>
    <mergeCell ref="D97:N97"/>
    <mergeCell ref="D395:N395"/>
    <mergeCell ref="A382:C382"/>
    <mergeCell ref="D72:N72"/>
    <mergeCell ref="G231:H231"/>
    <mergeCell ref="A374:B374"/>
    <mergeCell ref="A173:C173"/>
    <mergeCell ref="A229:C229"/>
    <mergeCell ref="K287:L287"/>
    <mergeCell ref="A148:C148"/>
    <mergeCell ref="K352:L352"/>
    <mergeCell ref="D184:N184"/>
    <mergeCell ref="A6:C6"/>
    <mergeCell ref="E419:F419"/>
    <mergeCell ref="D42:N42"/>
    <mergeCell ref="E22:F22"/>
    <mergeCell ref="D113:N113"/>
    <mergeCell ref="C264:D264"/>
    <mergeCell ref="E198:F198"/>
    <mergeCell ref="G22:H22"/>
    <mergeCell ref="E264:F264"/>
    <mergeCell ref="G198:H198"/>
    <mergeCell ref="G320:H320"/>
    <mergeCell ref="I320:J320"/>
    <mergeCell ref="K78:L78"/>
    <mergeCell ref="D148:N148"/>
    <mergeCell ref="D26:N26"/>
    <mergeCell ref="G385:H385"/>
    <mergeCell ref="I385:J385"/>
    <mergeCell ref="D250:N250"/>
    <mergeCell ref="D50:N50"/>
    <mergeCell ref="A3:C3"/>
    <mergeCell ref="A287:B287"/>
    <mergeCell ref="D388:N388"/>
    <mergeCell ref="A301:C301"/>
    <mergeCell ref="A239:C239"/>
    <mergeCell ref="K55:L55"/>
    <mergeCell ref="A95:C95"/>
    <mergeCell ref="A393:C393"/>
    <mergeCell ref="A160:C160"/>
    <mergeCell ref="I144:J144"/>
    <mergeCell ref="C353:D353"/>
    <mergeCell ref="K144:L144"/>
    <mergeCell ref="E209:F209"/>
    <mergeCell ref="I242:J242"/>
    <mergeCell ref="A5:C5"/>
    <mergeCell ref="G209:H209"/>
    <mergeCell ref="A32:C32"/>
    <mergeCell ref="A303:C303"/>
    <mergeCell ref="D390:N390"/>
    <mergeCell ref="A159:C159"/>
    <mergeCell ref="A97:C97"/>
    <mergeCell ref="A219:C219"/>
    <mergeCell ref="A290:C290"/>
    <mergeCell ref="A224:C224"/>
    <mergeCell ref="A89:B89"/>
    <mergeCell ref="A96:C96"/>
    <mergeCell ref="D179:N179"/>
    <mergeCell ref="A161:C161"/>
    <mergeCell ref="D337:N337"/>
    <mergeCell ref="G177:H177"/>
    <mergeCell ref="A242:B242"/>
    <mergeCell ref="G33:H33"/>
    <mergeCell ref="D9:N9"/>
    <mergeCell ref="D118:N118"/>
    <mergeCell ref="A100:B100"/>
    <mergeCell ref="I231:J231"/>
    <mergeCell ref="A342:B342"/>
    <mergeCell ref="A165:B165"/>
    <mergeCell ref="D161:N161"/>
    <mergeCell ref="C165:D165"/>
    <mergeCell ref="A407:B407"/>
    <mergeCell ref="D403:N403"/>
    <mergeCell ref="A250:C250"/>
    <mergeCell ref="K66:L66"/>
    <mergeCell ref="I308:J308"/>
    <mergeCell ref="A308:B308"/>
    <mergeCell ref="C66:D66"/>
    <mergeCell ref="G99:H99"/>
    <mergeCell ref="A237:C237"/>
    <mergeCell ref="E66:F66"/>
    <mergeCell ref="D38:N38"/>
    <mergeCell ref="I99:J99"/>
    <mergeCell ref="D98:N98"/>
    <mergeCell ref="D169:N169"/>
    <mergeCell ref="C308:D308"/>
    <mergeCell ref="I397:J397"/>
    <mergeCell ref="A212:C212"/>
    <mergeCell ref="A16:C16"/>
    <mergeCell ref="A77:B77"/>
    <mergeCell ref="C77:D77"/>
    <mergeCell ref="E341:F341"/>
    <mergeCell ref="I276:J276"/>
    <mergeCell ref="I12:J12"/>
    <mergeCell ref="G254:H254"/>
    <mergeCell ref="A423:C423"/>
    <mergeCell ref="C375:D375"/>
    <mergeCell ref="A108:C108"/>
    <mergeCell ref="A166:B166"/>
    <mergeCell ref="G155:H155"/>
    <mergeCell ref="C166:D166"/>
    <mergeCell ref="K353:L353"/>
    <mergeCell ref="D63:N63"/>
    <mergeCell ref="A18:C18"/>
    <mergeCell ref="A214:C214"/>
    <mergeCell ref="A306:C306"/>
    <mergeCell ref="E132:F132"/>
    <mergeCell ref="G132:H132"/>
    <mergeCell ref="E430:F430"/>
    <mergeCell ref="G122:H122"/>
    <mergeCell ref="A278:C278"/>
    <mergeCell ref="G430:H430"/>
    <mergeCell ref="C143:D143"/>
    <mergeCell ref="A47:C47"/>
    <mergeCell ref="D258:N258"/>
    <mergeCell ref="E143:F143"/>
    <mergeCell ref="D52:N52"/>
    <mergeCell ref="I23:J23"/>
    <mergeCell ref="A23:B23"/>
    <mergeCell ref="K23:L23"/>
    <mergeCell ref="C23:D23"/>
    <mergeCell ref="E56:F56"/>
    <mergeCell ref="C154:D154"/>
    <mergeCell ref="C298:D298"/>
    <mergeCell ref="G56:H56"/>
    <mergeCell ref="G276:H276"/>
    <mergeCell ref="I34:J34"/>
    <mergeCell ref="C441:D441"/>
    <mergeCell ref="E441:F441"/>
    <mergeCell ref="G199:H199"/>
    <mergeCell ref="D350:N350"/>
    <mergeCell ref="D27:N27"/>
    <mergeCell ref="I221:J221"/>
    <mergeCell ref="G386:H386"/>
    <mergeCell ref="D325:N325"/>
    <mergeCell ref="I386:J386"/>
    <mergeCell ref="D116:N116"/>
    <mergeCell ref="I165:J165"/>
    <mergeCell ref="D414:N414"/>
    <mergeCell ref="A401:C401"/>
    <mergeCell ref="D91:N91"/>
    <mergeCell ref="D327:N327"/>
    <mergeCell ref="D106:N106"/>
    <mergeCell ref="D416:N416"/>
    <mergeCell ref="A403:C403"/>
    <mergeCell ref="D93:N93"/>
    <mergeCell ref="D391:N391"/>
    <mergeCell ref="K210:L210"/>
    <mergeCell ref="A182:C182"/>
    <mergeCell ref="A304:C304"/>
    <mergeCell ref="K308:L308"/>
    <mergeCell ref="A98:C98"/>
    <mergeCell ref="A169:C169"/>
    <mergeCell ref="A225:C225"/>
    <mergeCell ref="D157:N157"/>
    <mergeCell ref="D328:N328"/>
    <mergeCell ref="D251:N251"/>
    <mergeCell ref="A162:C162"/>
    <mergeCell ref="A227:C227"/>
    <mergeCell ref="A408:B408"/>
    <mergeCell ref="D282:N282"/>
    <mergeCell ref="D338:N338"/>
    <mergeCell ref="A195:C195"/>
    <mergeCell ref="A251:C251"/>
    <mergeCell ref="A322:C322"/>
    <mergeCell ref="A187:B187"/>
    <mergeCell ref="D183:N183"/>
    <mergeCell ref="A116:C116"/>
    <mergeCell ref="I100:J100"/>
    <mergeCell ref="A309:B309"/>
    <mergeCell ref="A130:C130"/>
    <mergeCell ref="D348:N348"/>
    <mergeCell ref="A188:B188"/>
    <mergeCell ref="A261:C261"/>
    <mergeCell ref="D62:N62"/>
    <mergeCell ref="E286:F286"/>
    <mergeCell ref="G110:H110"/>
    <mergeCell ref="D193:N193"/>
    <mergeCell ref="G408:H408"/>
    <mergeCell ref="A253:B253"/>
    <mergeCell ref="D401:N401"/>
    <mergeCell ref="D180:N180"/>
    <mergeCell ref="E319:F319"/>
    <mergeCell ref="K286:L286"/>
    <mergeCell ref="A76:C76"/>
    <mergeCell ref="D356:N356"/>
    <mergeCell ref="A203:C203"/>
    <mergeCell ref="A361:C361"/>
    <mergeCell ref="D170:N170"/>
    <mergeCell ref="A140:C140"/>
    <mergeCell ref="A311:C311"/>
    <mergeCell ref="D399:N399"/>
    <mergeCell ref="D59:N59"/>
    <mergeCell ref="D361:N361"/>
    <mergeCell ref="D295:N295"/>
    <mergeCell ref="D21:N21"/>
    <mergeCell ref="D346:N346"/>
    <mergeCell ref="G121:H121"/>
    <mergeCell ref="E363:F363"/>
    <mergeCell ref="I407:J407"/>
    <mergeCell ref="I121:J121"/>
    <mergeCell ref="A63:C63"/>
    <mergeCell ref="D283:N283"/>
    <mergeCell ref="D87:N87"/>
    <mergeCell ref="K34:L34"/>
    <mergeCell ref="G341:H341"/>
    <mergeCell ref="A164:C164"/>
    <mergeCell ref="D280:N280"/>
    <mergeCell ref="A335:C335"/>
    <mergeCell ref="K397:L397"/>
    <mergeCell ref="D119:N119"/>
    <mergeCell ref="D190:N190"/>
    <mergeCell ref="D246:N246"/>
    <mergeCell ref="A110:B110"/>
    <mergeCell ref="D40:N40"/>
    <mergeCell ref="C55:D55"/>
    <mergeCell ref="D316:N316"/>
    <mergeCell ref="D272:N272"/>
    <mergeCell ref="A385:B385"/>
    <mergeCell ref="D381:N381"/>
    <mergeCell ref="D234:N234"/>
    <mergeCell ref="D182:N182"/>
    <mergeCell ref="I110:J110"/>
    <mergeCell ref="C11:D11"/>
    <mergeCell ref="K375:L375"/>
    <mergeCell ref="G419:H419"/>
    <mergeCell ref="E11:F11"/>
    <mergeCell ref="K440:L440"/>
    <mergeCell ref="D43:N43"/>
    <mergeCell ref="D214:N214"/>
    <mergeCell ref="A328:C328"/>
    <mergeCell ref="D137:N137"/>
    <mergeCell ref="A48:C48"/>
    <mergeCell ref="D259:N259"/>
    <mergeCell ref="D422:N422"/>
    <mergeCell ref="A142:C142"/>
    <mergeCell ref="G265:H265"/>
    <mergeCell ref="D74:N74"/>
    <mergeCell ref="D130:N130"/>
    <mergeCell ref="I265:J265"/>
    <mergeCell ref="D201:N201"/>
    <mergeCell ref="A265:B265"/>
    <mergeCell ref="A121:B121"/>
    <mergeCell ref="D335:N335"/>
    <mergeCell ref="D117:N117"/>
    <mergeCell ref="D372:N372"/>
    <mergeCell ref="A44:B44"/>
    <mergeCell ref="D424:N424"/>
    <mergeCell ref="A414:C414"/>
    <mergeCell ref="K100:L100"/>
    <mergeCell ref="D219:N219"/>
    <mergeCell ref="D104:N104"/>
    <mergeCell ref="D248:N248"/>
    <mergeCell ref="C374:D374"/>
    <mergeCell ref="A17:C17"/>
    <mergeCell ref="E418:F418"/>
    <mergeCell ref="G176:H176"/>
    <mergeCell ref="C187:D187"/>
    <mergeCell ref="K232:L232"/>
    <mergeCell ref="A272:C272"/>
    <mergeCell ref="K88:L88"/>
    <mergeCell ref="A235:C235"/>
    <mergeCell ref="A406:C406"/>
    <mergeCell ref="A247:C247"/>
    <mergeCell ref="A185:C185"/>
    <mergeCell ref="C177:D177"/>
    <mergeCell ref="E155:F155"/>
    <mergeCell ref="C364:D364"/>
    <mergeCell ref="E364:F364"/>
    <mergeCell ref="E220:F220"/>
    <mergeCell ref="G220:H220"/>
    <mergeCell ref="G342:H342"/>
    <mergeCell ref="I342:J342"/>
    <mergeCell ref="G407:H407"/>
    <mergeCell ref="A416:C416"/>
    <mergeCell ref="C232:D232"/>
    <mergeCell ref="E232:F232"/>
    <mergeCell ref="A117:C117"/>
    <mergeCell ref="D371:N371"/>
    <mergeCell ref="K165:L165"/>
    <mergeCell ref="A259:C259"/>
    <mergeCell ref="D340:N340"/>
    <mergeCell ref="E374:F374"/>
    <mergeCell ref="D406:N406"/>
    <mergeCell ref="A109:C109"/>
    <mergeCell ref="A324:C324"/>
    <mergeCell ref="A180:C180"/>
    <mergeCell ref="I408:J408"/>
    <mergeCell ref="A325:C325"/>
    <mergeCell ref="K408:L408"/>
    <mergeCell ref="D412:N412"/>
    <mergeCell ref="D64:N64"/>
    <mergeCell ref="A119:C119"/>
    <mergeCell ref="D362:N362"/>
    <mergeCell ref="A417:C417"/>
    <mergeCell ref="A111:B111"/>
    <mergeCell ref="D51:N51"/>
    <mergeCell ref="A353:B353"/>
    <mergeCell ref="C111:D111"/>
    <mergeCell ref="D349:N349"/>
    <mergeCell ref="A69:C69"/>
    <mergeCell ref="A196:C196"/>
    <mergeCell ref="A367:C367"/>
    <mergeCell ref="A256:C256"/>
    <mergeCell ref="E298:F298"/>
    <mergeCell ref="K143:L143"/>
    <mergeCell ref="A183:C183"/>
    <mergeCell ref="A147:C147"/>
    <mergeCell ref="A280:C280"/>
    <mergeCell ref="D141:N141"/>
    <mergeCell ref="D75:N75"/>
    <mergeCell ref="D417:N417"/>
    <mergeCell ref="A208:C208"/>
    <mergeCell ref="G331:H331"/>
    <mergeCell ref="I89:J89"/>
    <mergeCell ref="A396:B396"/>
    <mergeCell ref="I331:J331"/>
    <mergeCell ref="K89:L89"/>
    <mergeCell ref="C396:D396"/>
    <mergeCell ref="E12:F12"/>
    <mergeCell ref="C254:D254"/>
    <mergeCell ref="A319:B319"/>
    <mergeCell ref="G12:H12"/>
    <mergeCell ref="C319:D319"/>
    <mergeCell ref="C419:D419"/>
    <mergeCell ref="E297:F297"/>
    <mergeCell ref="G441:H441"/>
    <mergeCell ref="D138:N138"/>
    <mergeCell ref="I199:J199"/>
    <mergeCell ref="G297:H297"/>
    <mergeCell ref="A369:C369"/>
    <mergeCell ref="D203:N203"/>
    <mergeCell ref="A356:C356"/>
    <mergeCell ref="D140:N140"/>
    <mergeCell ref="D267:N267"/>
    <mergeCell ref="D438:N438"/>
    <mergeCell ref="A429:B429"/>
    <mergeCell ref="D425:N425"/>
    <mergeCell ref="D359:N359"/>
    <mergeCell ref="G243:H243"/>
    <mergeCell ref="I330:J330"/>
    <mergeCell ref="I243:J243"/>
    <mergeCell ref="A330:B330"/>
    <mergeCell ref="D204:N204"/>
    <mergeCell ref="C330:D330"/>
    <mergeCell ref="K330:L330"/>
    <mergeCell ref="D369:N369"/>
    <mergeCell ref="D269:N269"/>
    <mergeCell ref="D296:N296"/>
    <mergeCell ref="A38:C38"/>
    <mergeCell ref="D427:N427"/>
    <mergeCell ref="K396:L396"/>
    <mergeCell ref="A186:C186"/>
    <mergeCell ref="A15:C15"/>
    <mergeCell ref="E154:F154"/>
    <mergeCell ref="A257:C257"/>
    <mergeCell ref="D235:N235"/>
    <mergeCell ref="G154:H154"/>
    <mergeCell ref="A51:C51"/>
    <mergeCell ref="A82:C82"/>
    <mergeCell ref="A349:C349"/>
    <mergeCell ref="A340:C340"/>
    <mergeCell ref="G221:H221"/>
    <mergeCell ref="A315:C315"/>
    <mergeCell ref="A146:C146"/>
    <mergeCell ref="D322:N322"/>
    <mergeCell ref="D260:N260"/>
    <mergeCell ref="D393:N393"/>
    <mergeCell ref="E34:F34"/>
    <mergeCell ref="G34:H34"/>
    <mergeCell ref="D36:N36"/>
    <mergeCell ref="C155:D155"/>
    <mergeCell ref="D216:N216"/>
    <mergeCell ref="C220:D220"/>
    <mergeCell ref="C342:D342"/>
    <mergeCell ref="I44:J44"/>
    <mergeCell ref="C253:D253"/>
    <mergeCell ref="K166:L166"/>
    <mergeCell ref="D114:N114"/>
    <mergeCell ref="A138:C138"/>
    <mergeCell ref="D285:N285"/>
    <mergeCell ref="D347:N347"/>
    <mergeCell ref="E375:F375"/>
    <mergeCell ref="G429:H429"/>
    <mergeCell ref="I187:J187"/>
    <mergeCell ref="A252:C252"/>
    <mergeCell ref="K187:L187"/>
    <mergeCell ref="D153:N153"/>
    <mergeCell ref="D324:N324"/>
    <mergeCell ref="A438:C438"/>
    <mergeCell ref="D128:N128"/>
    <mergeCell ref="G287:H287"/>
    <mergeCell ref="A158:C158"/>
    <mergeCell ref="I45:J45"/>
    <mergeCell ref="E254:F254"/>
    <mergeCell ref="K45:L45"/>
    <mergeCell ref="I287:J287"/>
    <mergeCell ref="A425:C425"/>
    <mergeCell ref="D186:N186"/>
    <mergeCell ref="I352:J352"/>
    <mergeCell ref="D217:N217"/>
    <mergeCell ref="D413:N413"/>
    <mergeCell ref="A204:C204"/>
    <mergeCell ref="I188:J188"/>
    <mergeCell ref="D65:N65"/>
    <mergeCell ref="K188:L188"/>
    <mergeCell ref="A435:C435"/>
    <mergeCell ref="D212:N212"/>
    <mergeCell ref="D317:N317"/>
    <mergeCell ref="G397:H397"/>
    <mergeCell ref="A391:C391"/>
    <mergeCell ref="A248:C248"/>
    <mergeCell ref="A104:C104"/>
    <mergeCell ref="A175:C175"/>
    <mergeCell ref="K122:L122"/>
    <mergeCell ref="K11:L11"/>
    <mergeCell ref="K253:L253"/>
    <mergeCell ref="D428:N428"/>
    <mergeCell ref="A141:C141"/>
    <mergeCell ref="A419:B419"/>
    <mergeCell ref="D415:N415"/>
    <mergeCell ref="A135:C135"/>
    <mergeCell ref="E177:F177"/>
    <mergeCell ref="A377:C377"/>
    <mergeCell ref="A133:B133"/>
    <mergeCell ref="A206:C206"/>
    <mergeCell ref="C133:D133"/>
    <mergeCell ref="A62:C62"/>
    <mergeCell ref="C22:D22"/>
    <mergeCell ref="A262:C262"/>
    <mergeCell ref="D194:N194"/>
    <mergeCell ref="A418:B418"/>
    <mergeCell ref="A264:B264"/>
    <mergeCell ref="E78:F78"/>
    <mergeCell ref="C176:D176"/>
    <mergeCell ref="C320:D320"/>
    <mergeCell ref="K111:L111"/>
    <mergeCell ref="G78:H78"/>
    <mergeCell ref="A72:C72"/>
    <mergeCell ref="D17:N17"/>
    <mergeCell ref="E176:F176"/>
    <mergeCell ref="A28:C28"/>
    <mergeCell ref="E320:F320"/>
    <mergeCell ref="E385:F385"/>
    <mergeCell ref="G363:H363"/>
    <mergeCell ref="A362:C362"/>
    <mergeCell ref="A30:C30"/>
    <mergeCell ref="A439:C439"/>
    <mergeCell ref="A59:C59"/>
    <mergeCell ref="D439:N439"/>
    <mergeCell ref="D304:N304"/>
    <mergeCell ref="E144:F144"/>
    <mergeCell ref="G144:H144"/>
    <mergeCell ref="A209:B209"/>
    <mergeCell ref="A433:C433"/>
    <mergeCell ref="D83:N83"/>
    <mergeCell ref="C209:D209"/>
    <mergeCell ref="A61:C61"/>
    <mergeCell ref="D368:N368"/>
    <mergeCell ref="E396:F396"/>
    <mergeCell ref="A359:C359"/>
    <mergeCell ref="I429:J429"/>
    <mergeCell ref="A153:C153"/>
    <mergeCell ref="A346:C346"/>
    <mergeCell ref="A389:C389"/>
    <mergeCell ref="A154:B154"/>
    <mergeCell ref="K276:L276"/>
    <mergeCell ref="D150:N150"/>
    <mergeCell ref="C276:D276"/>
    <mergeCell ref="A327:C327"/>
    <mergeCell ref="E276:F276"/>
    <mergeCell ref="K67:L67"/>
    <mergeCell ref="E99:F99"/>
    <mergeCell ref="D215:N215"/>
    <mergeCell ref="A341:B341"/>
    <mergeCell ref="C341:D341"/>
    <mergeCell ref="A293:C293"/>
    <mergeCell ref="A93:C93"/>
    <mergeCell ref="E397:F397"/>
    <mergeCell ref="A388:C388"/>
    <mergeCell ref="A275:B275"/>
    <mergeCell ref="C33:D33"/>
    <mergeCell ref="C275:D275"/>
    <mergeCell ref="E33:F33"/>
    <mergeCell ref="D314:N314"/>
    <mergeCell ref="E23:F23"/>
    <mergeCell ref="G23:H23"/>
    <mergeCell ref="I209:J209"/>
    <mergeCell ref="D86:N86"/>
    <mergeCell ref="K209:L209"/>
    <mergeCell ref="D257:N257"/>
    <mergeCell ref="D213:N213"/>
    <mergeCell ref="K374:L374"/>
    <mergeCell ref="D151:N151"/>
    <mergeCell ref="D384:N384"/>
    <mergeCell ref="A375:B375"/>
    <mergeCell ref="I122:J122"/>
    <mergeCell ref="A91:C91"/>
    <mergeCell ref="A56:B56"/>
    <mergeCell ref="C56:D56"/>
    <mergeCell ref="A40:C40"/>
    <mergeCell ref="A338:C338"/>
    <mergeCell ref="C132:D132"/>
    <mergeCell ref="A37:C37"/>
    <mergeCell ref="C89:D89"/>
    <mergeCell ref="K309:L309"/>
    <mergeCell ref="A43:C43"/>
    <mergeCell ref="D48:N48"/>
    <mergeCell ref="K77:L77"/>
    <mergeCell ref="A53:C53"/>
    <mergeCell ref="D185:N185"/>
    <mergeCell ref="A88:B88"/>
    <mergeCell ref="D345:N345"/>
    <mergeCell ref="D84:N84"/>
    <mergeCell ref="D149:N149"/>
    <mergeCell ref="I210:J210"/>
    <mergeCell ref="A179:C179"/>
    <mergeCell ref="A302:C302"/>
    <mergeCell ref="D14:N14"/>
    <mergeCell ref="A67:B67"/>
    <mergeCell ref="D85:N85"/>
    <mergeCell ref="D207:N207"/>
    <mergeCell ref="D256:N256"/>
    <mergeCell ref="A54:C54"/>
    <mergeCell ref="D383:N383"/>
    <mergeCell ref="D370:N370"/>
    <mergeCell ref="A41:C41"/>
    <mergeCell ref="A283:C283"/>
    <mergeCell ref="A217:C217"/>
    <mergeCell ref="A19:C19"/>
    <mergeCell ref="A240:C240"/>
    <mergeCell ref="D41:N41"/>
    <mergeCell ref="I166:J166"/>
    <mergeCell ref="A274:C274"/>
    <mergeCell ref="D135:N135"/>
    <mergeCell ref="A210:B210"/>
    <mergeCell ref="D206:N206"/>
    <mergeCell ref="A372:C372"/>
    <mergeCell ref="D377:N377"/>
    <mergeCell ref="C188:D188"/>
    <mergeCell ref="I111:J111"/>
    <mergeCell ref="A249:C249"/>
    <mergeCell ref="D181:N181"/>
    <mergeCell ref="D20:N20"/>
    <mergeCell ref="A80:C80"/>
    <mergeCell ref="D318:N318"/>
    <mergeCell ref="A273:C273"/>
    <mergeCell ref="A378:C378"/>
    <mergeCell ref="D389:N389"/>
    <mergeCell ref="D109:N109"/>
    <mergeCell ref="C440:D440"/>
    <mergeCell ref="A27:C27"/>
    <mergeCell ref="E440:F440"/>
    <mergeCell ref="D159:N159"/>
    <mergeCell ref="A285:C285"/>
    <mergeCell ref="A390:C390"/>
    <mergeCell ref="A129:C129"/>
    <mergeCell ref="D80:N80"/>
    <mergeCell ref="C231:D231"/>
    <mergeCell ref="E231:F231"/>
    <mergeCell ref="D96:N96"/>
    <mergeCell ref="A85:C85"/>
    <mergeCell ref="G308:H308"/>
    <mergeCell ref="C99:D99"/>
    <mergeCell ref="A131:C131"/>
    <mergeCell ref="A66:B66"/>
    <mergeCell ref="D225:N225"/>
    <mergeCell ref="A230:C230"/>
    <mergeCell ref="I55:J55"/>
    <mergeCell ref="G353:H353"/>
    <mergeCell ref="D162:N162"/>
    <mergeCell ref="A295:C295"/>
    <mergeCell ref="A331:B331"/>
    <mergeCell ref="I353:J353"/>
    <mergeCell ref="I67:J67"/>
    <mergeCell ref="D437:N437"/>
    <mergeCell ref="D241:N241"/>
    <mergeCell ref="A232:B232"/>
    <mergeCell ref="G77:H77"/>
    <mergeCell ref="D228:N228"/>
    <mergeCell ref="D333:N333"/>
    <mergeCell ref="D404:N404"/>
    <mergeCell ref="I77:J77"/>
    <mergeCell ref="I133:J133"/>
    <mergeCell ref="A75:C75"/>
    <mergeCell ref="A246:C246"/>
    <mergeCell ref="K133:L133"/>
    <mergeCell ref="A11:B11"/>
    <mergeCell ref="A317:C317"/>
    <mergeCell ref="G375:H375"/>
    <mergeCell ref="I375:J375"/>
    <mergeCell ref="D172:N172"/>
    <mergeCell ref="D305:N305"/>
    <mergeCell ref="D270:N270"/>
    <mergeCell ref="K418:L418"/>
    <mergeCell ref="D227:N227"/>
    <mergeCell ref="I132:J132"/>
    <mergeCell ref="K132:L132"/>
    <mergeCell ref="D202:N202"/>
    <mergeCell ref="K254:L254"/>
    <mergeCell ref="A122:B122"/>
    <mergeCell ref="D373:N373"/>
    <mergeCell ref="I430:J430"/>
    <mergeCell ref="C122:D122"/>
    <mergeCell ref="C430:D430"/>
    <mergeCell ref="K430:L430"/>
    <mergeCell ref="A36:C36"/>
    <mergeCell ref="K275:L275"/>
    <mergeCell ref="D323:N323"/>
    <mergeCell ref="D394:N394"/>
    <mergeCell ref="A241:C241"/>
    <mergeCell ref="A155:B155"/>
    <mergeCell ref="A228:C228"/>
    <mergeCell ref="A399:C399"/>
    <mergeCell ref="D4:N4"/>
    <mergeCell ref="A157:C157"/>
    <mergeCell ref="A22:B22"/>
    <mergeCell ref="A284:C284"/>
    <mergeCell ref="E100:F100"/>
    <mergeCell ref="C385:D385"/>
    <mergeCell ref="G100:H100"/>
    <mergeCell ref="C67:D67"/>
    <mergeCell ref="G165:H165"/>
    <mergeCell ref="D226:N226"/>
    <mergeCell ref="D164:N164"/>
    <mergeCell ref="G44:H44"/>
    <mergeCell ref="A9:C9"/>
    <mergeCell ref="D8:N8"/>
    <mergeCell ref="A207:C207"/>
    <mergeCell ref="A199:B199"/>
    <mergeCell ref="C199:D199"/>
    <mergeCell ref="E199:F199"/>
    <mergeCell ref="A296:C296"/>
    <mergeCell ref="E386:F386"/>
    <mergeCell ref="E242:F242"/>
    <mergeCell ref="A271:C271"/>
    <mergeCell ref="G242:H242"/>
    <mergeCell ref="A65:C65"/>
    <mergeCell ref="K298:L298"/>
    <mergeCell ref="A7:C7"/>
    <mergeCell ref="E342:F342"/>
    <mergeCell ref="A172:C172"/>
    <mergeCell ref="D252:N252"/>
    <mergeCell ref="A305:C305"/>
    <mergeCell ref="E407:F407"/>
    <mergeCell ref="A25:C25"/>
    <mergeCell ref="A292:C292"/>
    <mergeCell ref="E121:F121"/>
    <mergeCell ref="I319:J319"/>
    <mergeCell ref="K319:L319"/>
    <mergeCell ref="D218:N218"/>
    <mergeCell ref="A236:C236"/>
    <mergeCell ref="D247:N247"/>
    <mergeCell ref="A163:C163"/>
    <mergeCell ref="A223:C223"/>
    <mergeCell ref="A394:C394"/>
    <mergeCell ref="A294:C294"/>
    <mergeCell ref="C386:D386"/>
    <mergeCell ref="E44:F44"/>
    <mergeCell ref="A14:C14"/>
    <mergeCell ref="A312:C312"/>
    <mergeCell ref="A177:B177"/>
    <mergeCell ref="A106:C106"/>
    <mergeCell ref="A373:C373"/>
    <mergeCell ref="K364:L364"/>
    <mergeCell ref="A404:C404"/>
    <mergeCell ref="A81:C81"/>
    <mergeCell ref="A323:C323"/>
    <mergeCell ref="D61:N61"/>
    <mergeCell ref="A170:C170"/>
    <mergeCell ref="D175:N175"/>
    <mergeCell ref="A20:C20"/>
    <mergeCell ref="A125:C125"/>
    <mergeCell ref="D405:N405"/>
    <mergeCell ref="A318:C318"/>
    <mergeCell ref="A12:B12"/>
    <mergeCell ref="I143:J143"/>
    <mergeCell ref="C12:D12"/>
    <mergeCell ref="D25:N25"/>
    <mergeCell ref="D39:N39"/>
    <mergeCell ref="D54:N54"/>
    <mergeCell ref="A132:B132"/>
    <mergeCell ref="E165:F165"/>
    <mergeCell ref="K154:L154"/>
    <mergeCell ref="A267:C267"/>
    <mergeCell ref="I396:J396"/>
    <mergeCell ref="E45:F45"/>
    <mergeCell ref="A245:C245"/>
    <mergeCell ref="A254:B254"/>
    <mergeCell ref="G45:H45"/>
    <mergeCell ref="E287:F287"/>
    <mergeCell ref="A289:C289"/>
    <mergeCell ref="A298:B298"/>
    <mergeCell ref="D125:N125"/>
    <mergeCell ref="G309:H309"/>
    <mergeCell ref="D392:N392"/>
    <mergeCell ref="I309:J309"/>
    <mergeCell ref="G88:H88"/>
    <mergeCell ref="A226:C226"/>
    <mergeCell ref="I88:J88"/>
    <mergeCell ref="A201:C201"/>
    <mergeCell ref="I253:J253"/>
    <mergeCell ref="D152:N152"/>
    <mergeCell ref="I441:J441"/>
    <mergeCell ref="K199:L199"/>
    <mergeCell ref="G210:H210"/>
    <mergeCell ref="K441:L441"/>
    <mergeCell ref="A348:C348"/>
    <mergeCell ref="A297:B297"/>
    <mergeCell ref="D171:N171"/>
    <mergeCell ref="C297:D297"/>
    <mergeCell ref="D336:N336"/>
    <mergeCell ref="A127:C127"/>
    <mergeCell ref="A347:C347"/>
    <mergeCell ref="A314:C314"/>
    <mergeCell ref="A114:C114"/>
    <mergeCell ref="A412:C412"/>
    <mergeCell ref="D102:N102"/>
    <mergeCell ref="D273:N273"/>
    <mergeCell ref="A64:C64"/>
    <mergeCell ref="A191:C191"/>
    <mergeCell ref="D196:N196"/>
    <mergeCell ref="A107:C107"/>
    <mergeCell ref="K265:L265"/>
    <mergeCell ref="C243:D243"/>
    <mergeCell ref="E330:F330"/>
    <mergeCell ref="E243:F243"/>
    <mergeCell ref="G330:H330"/>
    <mergeCell ref="G286:H286"/>
    <mergeCell ref="D191:N191"/>
    <mergeCell ref="D262:N262"/>
    <mergeCell ref="D433:N433"/>
    <mergeCell ref="K231:L231"/>
    <mergeCell ref="G396:H396"/>
    <mergeCell ref="I154:J154"/>
    <mergeCell ref="A430:B430"/>
    <mergeCell ref="D435:N435"/>
    <mergeCell ref="D291:N291"/>
    <mergeCell ref="A221:B221"/>
    <mergeCell ref="A269:C269"/>
    <mergeCell ref="C221:D221"/>
    <mergeCell ref="A8:C8"/>
    <mergeCell ref="E221:F221"/>
    <mergeCell ref="I254:J254"/>
    <mergeCell ref="D355:N355"/>
    <mergeCell ref="G264:H264"/>
    <mergeCell ref="I22:J22"/>
    <mergeCell ref="D293:N293"/>
    <mergeCell ref="A336:C336"/>
    <mergeCell ref="D32:N32"/>
    <mergeCell ref="K22:L22"/>
    <mergeCell ref="A333:C333"/>
    <mergeCell ref="I264:J264"/>
    <mergeCell ref="I220:J220"/>
    <mergeCell ref="A198:B198"/>
    <mergeCell ref="D268:N268"/>
    <mergeCell ref="G187:H187"/>
    <mergeCell ref="C198:D198"/>
    <mergeCell ref="A10:C10"/>
    <mergeCell ref="A115:C115"/>
    <mergeCell ref="K264:L264"/>
    <mergeCell ref="K320:L320"/>
    <mergeCell ref="K385:L385"/>
    <mergeCell ref="A102:C102"/>
    <mergeCell ref="A344:C344"/>
    <mergeCell ref="A400:C400"/>
    <mergeCell ref="C287:D287"/>
    <mergeCell ref="D421:N421"/>
    <mergeCell ref="C418:D418"/>
    <mergeCell ref="A39:C39"/>
    <mergeCell ref="D367:N367"/>
    <mergeCell ref="A337:C337"/>
    <mergeCell ref="D146:N146"/>
    <mergeCell ref="A402:C402"/>
    <mergeCell ref="G188:H188"/>
    <mergeCell ref="G55:H55"/>
    <mergeCell ref="K386:L386"/>
    <mergeCell ref="G111:H111"/>
    <mergeCell ref="D192:N192"/>
    <mergeCell ref="A103:C103"/>
    <mergeCell ref="A168:C168"/>
    <mergeCell ref="A339:C339"/>
    <mergeCell ref="D173:N173"/>
    <mergeCell ref="D344:N344"/>
    <mergeCell ref="A320:B320"/>
    <mergeCell ref="C78:D78"/>
    <mergeCell ref="A176:B176"/>
    <mergeCell ref="E408:F408"/>
    <mergeCell ref="G166:H166"/>
    <mergeCell ref="D249:N249"/>
    <mergeCell ref="D105:N105"/>
    <mergeCell ref="E352:F352"/>
    <mergeCell ref="G352:H352"/>
    <mergeCell ref="D49:N49"/>
    <mergeCell ref="D120:N120"/>
    <mergeCell ref="D107:N107"/>
    <mergeCell ref="D163:N163"/>
    <mergeCell ref="D278:N278"/>
    <mergeCell ref="D127:N127"/>
  </mergeCells>
  <hyperlinks>
    <hyperlink ref="A1" location="'Seguridad'!A1" display="Seguridad" xr:uid="{00000000-0004-0000-0E00-000000000000}"/>
  </hyperlinks>
  <pageMargins left="0.7" right="0.7" top="0.75" bottom="0.75" header="0.3" footer="0.3"/>
  <pageSetup paperSize="8" fitToHeight="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e624dad-cee3-4b66-80dc-7c7c21f39107" xsi:nil="true"/>
    <lcf76f155ced4ddcb4097134ff3c332f xmlns="bfbcb919-221e-4660-bc81-b6db271e57d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4076E23045831469D3B486532F6A668" ma:contentTypeVersion="12" ma:contentTypeDescription="Create a new document." ma:contentTypeScope="" ma:versionID="2a0b3b6cf8fdcae976a24c66a0212eb1">
  <xsd:schema xmlns:xsd="http://www.w3.org/2001/XMLSchema" xmlns:xs="http://www.w3.org/2001/XMLSchema" xmlns:p="http://schemas.microsoft.com/office/2006/metadata/properties" xmlns:ns2="bfbcb919-221e-4660-bc81-b6db271e57dd" xmlns:ns3="3e624dad-cee3-4b66-80dc-7c7c21f39107" targetNamespace="http://schemas.microsoft.com/office/2006/metadata/properties" ma:root="true" ma:fieldsID="e5593480f80b800f30869a117b9b5f4b" ns2:_="" ns3:_="">
    <xsd:import namespace="bfbcb919-221e-4660-bc81-b6db271e57dd"/>
    <xsd:import namespace="3e624dad-cee3-4b66-80dc-7c7c21f3910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bcb919-221e-4660-bc81-b6db271e57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e624dad-cee3-4b66-80dc-7c7c21f3910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b5c5de-de87-45e6-a016-f2c7f05d1a4d}" ma:internalName="TaxCatchAll" ma:showField="CatchAllData" ma:web="3e624dad-cee3-4b66-80dc-7c7c21f391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3890528-73C3-4364-A3C8-941B04893C11}"/>
</file>

<file path=customXml/itemProps2.xml><?xml version="1.0" encoding="utf-8"?>
<ds:datastoreItem xmlns:ds="http://schemas.openxmlformats.org/officeDocument/2006/customXml" ds:itemID="{E7BFC8F5-C451-4BB8-87D2-F19BD25E044F}"/>
</file>

<file path=customXml/itemProps3.xml><?xml version="1.0" encoding="utf-8"?>
<ds:datastoreItem xmlns:ds="http://schemas.openxmlformats.org/officeDocument/2006/customXml" ds:itemID="{FFFAE711-37C4-42D1-A174-606CF6F4817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207</dc:creator>
  <cp:keywords/>
  <dc:description/>
  <cp:lastModifiedBy>Adolfo  Esteban Agudelo Florez</cp:lastModifiedBy>
  <cp:revision/>
  <dcterms:created xsi:type="dcterms:W3CDTF">2022-02-23T01:28:13Z</dcterms:created>
  <dcterms:modified xsi:type="dcterms:W3CDTF">2026-03-09T14:18:34Z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0x01010014076E23045831469D3B486532F6A668</vt:lpwstr>
  </property>
  <property fmtid="{D5CDD505-2E9C-101B-9397-08002B2CF9AE}" pid="3" name="MSIP_Label_666bb131-2344-48ed-84db-fe1e84a9fae2_Enabled">
    <vt:lpwstr>true</vt:lpwstr>
  </property>
  <property fmtid="{D5CDD505-2E9C-101B-9397-08002B2CF9AE}" pid="4" name="MSIP_Label_666bb131-2344-48ed-84db-fe1e84a9fae2_SetDate">
    <vt:lpwstr>2022-03-01T23:52:54Z</vt:lpwstr>
  </property>
  <property fmtid="{D5CDD505-2E9C-101B-9397-08002B2CF9AE}" pid="5" name="MSIP_Label_666bb131-2344-48ed-84db-fe1e84a9fae2_Method">
    <vt:lpwstr>Standard</vt:lpwstr>
  </property>
  <property fmtid="{D5CDD505-2E9C-101B-9397-08002B2CF9AE}" pid="6" name="MSIP_Label_666bb131-2344-48ed-84db-fe1e84a9fae2_Name">
    <vt:lpwstr>666bb131-2344-48ed-84db-fe1e84a9fae2</vt:lpwstr>
  </property>
  <property fmtid="{D5CDD505-2E9C-101B-9397-08002B2CF9AE}" pid="7" name="MSIP_Label_666bb131-2344-48ed-84db-fe1e84a9fae2_SiteId">
    <vt:lpwstr>bf1ce8b5-5d39-4bc5-ad6e-07b3e4d7d67a</vt:lpwstr>
  </property>
  <property fmtid="{D5CDD505-2E9C-101B-9397-08002B2CF9AE}" pid="8" name="MSIP_Label_666bb131-2344-48ed-84db-fe1e84a9fae2_ActionId">
    <vt:lpwstr>ce4393ab-81fc-42aa-beca-075ae20de0ff</vt:lpwstr>
  </property>
  <property fmtid="{D5CDD505-2E9C-101B-9397-08002B2CF9AE}" pid="9" name="MSIP_Label_666bb131-2344-48ed-84db-fe1e84a9fae2_ContentBits">
    <vt:lpwstr>0</vt:lpwstr>
  </property>
  <property fmtid="{D5CDD505-2E9C-101B-9397-08002B2CF9AE}" pid="10" name="MediaServiceImageTags">
    <vt:lpwstr/>
  </property>
</Properties>
</file>